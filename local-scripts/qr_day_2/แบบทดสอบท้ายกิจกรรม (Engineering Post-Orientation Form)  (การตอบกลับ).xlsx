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การตอบแบบฟอร์ม 1" sheetId="1" r:id="rId5"/>
    <sheet state="visible" name="StudentId" sheetId="2" r:id="rId6"/>
  </sheets>
  <definedNames/>
  <calcPr/>
</workbook>
</file>

<file path=xl/sharedStrings.xml><?xml version="1.0" encoding="utf-8"?>
<sst xmlns="http://schemas.openxmlformats.org/spreadsheetml/2006/main" count="41873" uniqueCount="12649">
  <si>
    <t>รหัสรวม</t>
  </si>
  <si>
    <t>ชื่อ</t>
  </si>
  <si>
    <t>นามสกุล</t>
  </si>
  <si>
    <t>รหัสนักศึกษา (F)</t>
  </si>
  <si>
    <t>Student ID (AJ)</t>
  </si>
  <si>
    <t>จำนวนจาก F</t>
  </si>
  <si>
    <t>จำนวนจาก AJ</t>
  </si>
  <si>
    <t>จำนวน 69070500000</t>
  </si>
  <si>
    <t>ประทับเวลา</t>
  </si>
  <si>
    <t>คะแนน</t>
  </si>
  <si>
    <t>คุณเรียนหลักสูตรอะไร (What program are you studying in?)</t>
  </si>
  <si>
    <t>รหัสนักศึกษา
*สำหรับนักศึกษาใหม่ที่ยังไม่ได้รับรหัสนักศึกษาให้ใส่ 69070500000</t>
  </si>
  <si>
    <t xml:space="preserve">ภาควิชา </t>
  </si>
  <si>
    <t>1. ลองนึกถึงเพื่อนใหม่ที่คุณได้รู้จักจากกิจกรรมวันนี้</t>
  </si>
  <si>
    <t>1.1 เพื่อนคนที่ 1 (โปรดระบุชื่อเล่นและภาควิชา)</t>
  </si>
  <si>
    <t>1.2 เพื่อนคนที่ 2 (โปรดระบุชื่อเล่นและภาควิชา)</t>
  </si>
  <si>
    <t>1.3 เพื่อนคนที่ 3 (โปรดระบุชื่อเล่นและภาควิชา)</t>
  </si>
  <si>
    <t>1.4 เพื่อนคนที่ 4 (โปรดระบุชื่อเล่นและภาควิชา)</t>
  </si>
  <si>
    <t>1.5 เพื่อนคนที่ 5 (โปรดระบุชื่อเล่นและภาควิชา)</t>
  </si>
  <si>
    <t>1.6 เพื่อนคนอื่นๆ เพิ่มเติม (โปรดระบุชื่อเล่นและภาควิชา)</t>
  </si>
  <si>
    <t>จากรายชื่อข้างต้น เลือกเพื่อนอย่างน้อย 1 คน แล้วเล่าสั้น ๆ ว่าคุณได้รู้จักเพื่อนคนนั้นจากกิจกรรมใด หรือมีเหตุการณ์อะไรที่ทำให้คุณจดจำหรือประทับใจ</t>
  </si>
  <si>
    <t>ลองนึกถึงรุ่นพี่ที่คุณได้รู้จักจากกิจกรรมวันนี้ แล้วระบุชื่อเล่นและภาควิชาของรุ่นพี่อย่างน้อย 3 คน</t>
  </si>
  <si>
    <t>จากรายชื่อข้างต้น เลือกรุ่นพี่อย่างน้อย 1 คน แล้วเล่าสั้น ๆ ว่าคุณได้รู้จักรุ่นพี่คนนั้นจากกิจกรรมใด หรือมีเหตุการณ์อะไรที่ทำให้คุณจดจำหรือประทับใจ</t>
  </si>
  <si>
    <t>1. ถ้านักศึกษาต้องการดูวัน เวลาและเลขที่นั่งสอบในรายวิชาต่าง ๆ สามารถดูได้ที่ใด</t>
  </si>
  <si>
    <t>2. นักศึกษาจำเป็นต้องเก็บชั่วโมงกิจกรรมอย่างน้อยกี่ชั่วโมง ต่อหนึ่งปีการศึกษา</t>
  </si>
  <si>
    <t>3. แพลตฟอร์มใดที่ใช้ในการเรียนการสอนเป็นหลักของมจธ.</t>
  </si>
  <si>
    <t>4. ข้อใด” ไม่ใช่“ กิจกรรมส่วนกลางของหน่วยงาน คณะวิศวกรรมศาสตร์</t>
  </si>
  <si>
    <t>5. หากนักศึกษาต้องการลงทะเบียนรายวิชา ลงทะเบียนล่าช้า เพิ่ม ลด และเปลี่ยนกลุ่มได้จากแพลตฟอร์มใด</t>
  </si>
  <si>
    <t>6. ถ้านักศึกษาต้องลาป่วยหรือลากิจในรายวิชาต่าง ๆ ทางนักศึกษาต้องยื่นเอกสารใดให้กับอาจารย์ของรายวิชานั้น</t>
  </si>
  <si>
    <t>7. หากนักศึกษาต้องการร้องเรียนปัญหาทั่วไปในมจธ. เช่น แอร์เสีย นักศึกษาต้องแจ้งในแพลตฟอร์มใด</t>
  </si>
  <si>
    <t>8. ข้อใดต่อไปนี้ถือเป็นความผิดวินัยร้ายแรง</t>
  </si>
  <si>
    <t>9. หากนักศึกษาต้องการเข้าร่วมกิจกรรมแข่งขันกีฬาภายในคณะวิศวกรรมศาสตร์ นักศึกษาควรเข้าร่วมกิจกรรมใด</t>
  </si>
  <si>
    <t>10. หากนักศึกษาต้องการเดินทางไปยังห้อง CB2501 นักศึกษาจะต้องเดินทางไปที่อาคารใด ชั้นใด</t>
  </si>
  <si>
    <t>11. หากนักศึกษาต้องการเข้าไปใช้บริการภายในหอสมุด นักศึกษาจำเป็นจะต้องเตรียมสิ่งใดไปด้วย</t>
  </si>
  <si>
    <t>12. สมมุติว่านักศึกษามีการจัดสอบโดยที่นักศึกษาจะต้องไปสอบที่ห้อง SCL300นักศึกษาจะต้องเดินทางไปที่อาคารใด</t>
  </si>
  <si>
    <t>ปิโยรส</t>
  </si>
  <si>
    <t>ลามอ</t>
  </si>
  <si>
    <t>13. ถ้านักศึกษารู้สึกป่วยหรือได้รับบาดเจ็บนักศึกษาสามารถขอรับการช่วยเหลือได้จากที่ใดในมจธ.</t>
  </si>
  <si>
    <t>14. หากนักศึกษาต้องการใช้เครื่องมือสร้างนวัตกรรม เช่น Laser Cutter หรือเครื่องพิมพ์ 3 มิติ ควรไปใช้บริการที่ใดของคณะฯ</t>
  </si>
  <si>
    <t>พัทร์ธีรา</t>
  </si>
  <si>
    <t>15. นักศึกษาสามารถซื้อของที่จำเป็นต่อการเรียน เช่น เสื้อกราว อุปกรณ์เขียนแบบ เครื่องคิดเลข ได้จากที่ใดในมจธ.</t>
  </si>
  <si>
    <t>พรรณโส</t>
  </si>
  <si>
    <t>16. หากนักศึกษาต้องการติดต่อเรื่องคำร้องทางการศึกษา นักศึกษาควรติดต่อหน่วยงานใด</t>
  </si>
  <si>
    <t>First name</t>
  </si>
  <si>
    <t>กุลธาดา</t>
  </si>
  <si>
    <t>ศักดิ์ศรีศิริสกุล</t>
  </si>
  <si>
    <t>Surname</t>
  </si>
  <si>
    <t>Student ID
*For new students who haven't received a student ID, enter 69070500000</t>
  </si>
  <si>
    <t>เตชิค</t>
  </si>
  <si>
    <t>เรืองธุระกิจ</t>
  </si>
  <si>
    <t>Department</t>
  </si>
  <si>
    <t xml:space="preserve">1. Think of a new friend you met from today’s activity. </t>
  </si>
  <si>
    <t>ปภาวรินท์</t>
  </si>
  <si>
    <t>พร้อมกลาง</t>
  </si>
  <si>
    <t>1.1 Friend 1 (Please state nickname and department)</t>
  </si>
  <si>
    <t>1.2 Friend 2 (Please state nickname and department)</t>
  </si>
  <si>
    <t>ฐาพัช</t>
  </si>
  <si>
    <t>สระสำราญ</t>
  </si>
  <si>
    <t>1.3 Friend 3 (Please state nickname and department)</t>
  </si>
  <si>
    <t>1.4 Friend 4 (Please state nickname and department)</t>
  </si>
  <si>
    <t>พัชรพล</t>
  </si>
  <si>
    <t>เงินกอง</t>
  </si>
  <si>
    <t>1.5 Friend 5 (Please state nickname and department)</t>
  </si>
  <si>
    <t>1.6 Additional friends (Please state nickname and department)</t>
  </si>
  <si>
    <t>พิมพ์มาดา</t>
  </si>
  <si>
    <t>คำขำ</t>
  </si>
  <si>
    <t>2. From the list above, pick at least 1 friend and briefly share what activity you met them at, or what moment made them memorable to you.</t>
  </si>
  <si>
    <t>3. From the list above, pick at least 1 2nd-year senior and briefly share what activity you met them at, or what moment made them memorable to you.</t>
  </si>
  <si>
    <t>นรภัทร</t>
  </si>
  <si>
    <t>มณีขัติย์</t>
  </si>
  <si>
    <t>4. Think of a 2nd-year senior you met from today’s activity. List the nickname and department of at least 3 2nd-year senior.</t>
  </si>
  <si>
    <t>พร้อมบุญ</t>
  </si>
  <si>
    <t>1. If students want to check the date, time, and seat number for their exams, where can they find this information?</t>
  </si>
  <si>
    <t>ตั้งเกษมุกดา</t>
  </si>
  <si>
    <t>2. How many activity hours are students required to complete per academic year?</t>
  </si>
  <si>
    <t>เกียรติกุล</t>
  </si>
  <si>
    <t>ฮะยู้</t>
  </si>
  <si>
    <t>3. Which platform is mainly used for teaching and learning at KMUTT?</t>
  </si>
  <si>
    <t>4. Which of the following is NOT a central activity of the Faculty of Engineering?</t>
  </si>
  <si>
    <t>วัชเรศ</t>
  </si>
  <si>
    <t>ชูสาย</t>
  </si>
  <si>
    <t>5. If students want to register for courses, register late, add/drop, or change sections, which platform should they use?</t>
  </si>
  <si>
    <t>6. If a student needs to take sick or personal leave from a class, which request forms must they submit to the instructor?</t>
  </si>
  <si>
    <t>ณพวุฒิ</t>
  </si>
  <si>
    <t>สมปอง</t>
  </si>
  <si>
    <t>7. If students want to report a general campus issue such as a broken air conditioner, which platform should they use?</t>
  </si>
  <si>
    <t>ณัฐนันท์</t>
  </si>
  <si>
    <t>8. Which of the following counts as a serious disciplinary offense?</t>
  </si>
  <si>
    <t>อุประ</t>
  </si>
  <si>
    <t>9. If a student wants to join a sports competition within the Faculty of Engineering, which event should they join?</t>
  </si>
  <si>
    <t>เพลงไทย</t>
  </si>
  <si>
    <t xml:space="preserve"> พรมมานนท์</t>
  </si>
  <si>
    <t>10. If a student needs to get to room CB2501, which building and floor should they go to?</t>
  </si>
  <si>
    <t>11. If a student wants to use the library, what do they need to bring?</t>
  </si>
  <si>
    <t>นนทพัทธ์</t>
  </si>
  <si>
    <t>โลณวัณต์</t>
  </si>
  <si>
    <t>12. Suppose a student need to take an exam in room SCL300, which building should they go to?</t>
  </si>
  <si>
    <t>ศิรชัช</t>
  </si>
  <si>
    <t>แก้วสระแสน</t>
  </si>
  <si>
    <t>13. If a student feels sick or get injured, where can thry get help within KMUTT?</t>
  </si>
  <si>
    <t>14. If a student want to use innovation tools such as a laser cutter or 3D printer, where in the faculty should they go?</t>
  </si>
  <si>
    <t>พิชญาภา</t>
  </si>
  <si>
    <t>เหนือเกาะหวาย</t>
  </si>
  <si>
    <t>15. Where can students buy items needed for your studies such as lab coats drafting tools and calculators within KMUTT?</t>
  </si>
  <si>
    <t>กฤตภัค</t>
  </si>
  <si>
    <t>ลาภเจริญงาม</t>
  </si>
  <si>
    <t>16. If a student needs to contact someone about an academic request form, which office should they contact?</t>
  </si>
  <si>
    <t>รัชชานนท์</t>
  </si>
  <si>
    <t>หูทิพย์</t>
  </si>
  <si>
    <t>ปิยวุฒิ</t>
  </si>
  <si>
    <t>คงวิชัย</t>
  </si>
  <si>
    <t>รชต</t>
  </si>
  <si>
    <t>นกประเสริฐ</t>
  </si>
  <si>
    <t>ศิวัช</t>
  </si>
  <si>
    <t>ภาคปกติ (Regular program)</t>
  </si>
  <si>
    <t>ศิริสวัสดิ์</t>
  </si>
  <si>
    <t>ชนาภัทร</t>
  </si>
  <si>
    <t>สุภัสสรา</t>
  </si>
  <si>
    <t>ดลภากิตติณัฏฐ</t>
  </si>
  <si>
    <t>บุญสมสวัสดิ์</t>
  </si>
  <si>
    <t>ณัฐศร</t>
  </si>
  <si>
    <t>คุ้มวิเชียร</t>
  </si>
  <si>
    <t>ภาควิชาวิศวกรรมอิเล็กทรอนิกส์และโทรคมนาคม (Electronics and Telecommunication Engineering)</t>
  </si>
  <si>
    <t>นราวิชญ์</t>
  </si>
  <si>
    <t>การอรุณ</t>
  </si>
  <si>
    <t>Leo ไฟฟ้า</t>
  </si>
  <si>
    <t>อาณัติ</t>
  </si>
  <si>
    <t>เจริญสุข</t>
  </si>
  <si>
    <t>พุริ เคมี</t>
  </si>
  <si>
    <t>ภรัณยู</t>
  </si>
  <si>
    <t>เผือกผาอง</t>
  </si>
  <si>
    <t>เมฆ เคมี</t>
  </si>
  <si>
    <t>Pun เคมี</t>
  </si>
  <si>
    <t>ปอ อิเล็ก</t>
  </si>
  <si>
    <t>รณกฤต</t>
  </si>
  <si>
    <t>สีดาทอง</t>
  </si>
  <si>
    <t>ณัฐวศา</t>
  </si>
  <si>
    <t>บรรลือ</t>
  </si>
  <si>
    <t>Pun เจอกันตอนนั่งรอทำกิจกรรม แล้วก็คุยไปเลื่อย</t>
  </si>
  <si>
    <t>จำไม่ได้เลยครับ🥹</t>
  </si>
  <si>
    <t>คมกฤช</t>
  </si>
  <si>
    <t>อัครวิบูลย์</t>
  </si>
  <si>
    <t>ยังไม่ได้ทักรุ่นพี่เลยอะ🫠</t>
  </si>
  <si>
    <t>กัญญ์วรา</t>
  </si>
  <si>
    <t>จังพล</t>
  </si>
  <si>
    <t>บอร์ดตามภาควิชา</t>
  </si>
  <si>
    <t>กัญจนพล</t>
  </si>
  <si>
    <t>25 ชั่วโมง</t>
  </si>
  <si>
    <t>รชตะวิวรรธน์</t>
  </si>
  <si>
    <t>เว็บไซต์ dl.lib.kmutt.ac.th</t>
  </si>
  <si>
    <t xml:space="preserve">ขจรเดช </t>
  </si>
  <si>
    <t>แก้วชาญศิลป์</t>
  </si>
  <si>
    <t>Essential Hands-on Engineering</t>
  </si>
  <si>
    <t>ณัฐวรรธน์</t>
  </si>
  <si>
    <t>คัมภิรานนท์</t>
  </si>
  <si>
    <t>เว็บไซต์ regis.kmutt.ac.th</t>
  </si>
  <si>
    <t>ศรัณย์พร</t>
  </si>
  <si>
    <t>ธนเจริญประดิษฐ์</t>
  </si>
  <si>
    <t>สทน.16 (คำร้องขอลาป่วย ลากิจ)</t>
  </si>
  <si>
    <t>สิรวิชญ์</t>
  </si>
  <si>
    <t>ตันประเสริฐ</t>
  </si>
  <si>
    <t>แอปพลิเคชัน สโมสรวิศวะทั่วไป</t>
  </si>
  <si>
    <t>ทุจริตในการสอบ</t>
  </si>
  <si>
    <t>ธนัทฤทธิ์</t>
  </si>
  <si>
    <t>ชัยนาม</t>
  </si>
  <si>
    <t>Engineering Games</t>
  </si>
  <si>
    <t>เบญจศิริ</t>
  </si>
  <si>
    <t>นิพัทธ์เจริญวงศ์</t>
  </si>
  <si>
    <t>อาคารเรียนรวม 1 ชั้น 5</t>
  </si>
  <si>
    <t>อริญช์ณิชา</t>
  </si>
  <si>
    <t>อู่เงิน</t>
  </si>
  <si>
    <t>ง. ถูกทั้งข้อ ก. และ ข.</t>
  </si>
  <si>
    <t>สุเมธ</t>
  </si>
  <si>
    <t>แซ่เต็ง</t>
  </si>
  <si>
    <t>อาคารปฏิบัติการพื้นฐานทางวิทยาศาสตร์</t>
  </si>
  <si>
    <t>HCU ชั้น 1 อาคารเรียนรวม 1</t>
  </si>
  <si>
    <t>ติณณ์</t>
  </si>
  <si>
    <t>สุทธิ</t>
  </si>
  <si>
    <t>Engineering Learning Space</t>
  </si>
  <si>
    <t>นราธิป</t>
  </si>
  <si>
    <t>บุตรแขก</t>
  </si>
  <si>
    <t>KMUTT Book store อาคารจอดรถ 1</t>
  </si>
  <si>
    <t>สำนักงานทะเบียนนักศึกษา ชั้น 1 อาคารสำนักงานอธิการบดี</t>
  </si>
  <si>
    <t>ชัยภัทร</t>
  </si>
  <si>
    <t>เปลี่ยนปาน</t>
  </si>
  <si>
    <t>ภัทรดร</t>
  </si>
  <si>
    <t>สว่างดี</t>
  </si>
  <si>
    <t>ปิยวัฒน์</t>
  </si>
  <si>
    <t>เกียรติดิลกรัฐ</t>
  </si>
  <si>
    <t>ณัฐฐากร</t>
  </si>
  <si>
    <t>เวียงอินทร์</t>
  </si>
  <si>
    <t xml:space="preserve">ณัฐดนัย </t>
  </si>
  <si>
    <t>ดวงรักษา</t>
  </si>
  <si>
    <t>กฤติน</t>
  </si>
  <si>
    <t>แก้วอุไร</t>
  </si>
  <si>
    <t>อติเทพ</t>
  </si>
  <si>
    <t>จินดาสิริเลิศ</t>
  </si>
  <si>
    <t>สรวิชญ์</t>
  </si>
  <si>
    <t>เขมะจารัง</t>
  </si>
  <si>
    <t>พิชามญชุ์</t>
  </si>
  <si>
    <t>ธีรพิบูลย์เดช</t>
  </si>
  <si>
    <t>กฤษณ์กวิน</t>
  </si>
  <si>
    <t>วิญญาสุข</t>
  </si>
  <si>
    <t>ปิยวัช</t>
  </si>
  <si>
    <t>ไหมคง</t>
  </si>
  <si>
    <t xml:space="preserve">วีรภัทร </t>
  </si>
  <si>
    <t>พลธีรยุทธ</t>
  </si>
  <si>
    <t>คุณาธิป</t>
  </si>
  <si>
    <t>กิติโสภากูล</t>
  </si>
  <si>
    <t>ธนวัฒน์</t>
  </si>
  <si>
    <t>เงินคำ</t>
  </si>
  <si>
    <t>วิศรุต</t>
  </si>
  <si>
    <t>ตันฑวิเชียร</t>
  </si>
  <si>
    <t xml:space="preserve">ณัฏฐพล </t>
  </si>
  <si>
    <t>ตะมะพุฒ</t>
  </si>
  <si>
    <t>สหพล</t>
  </si>
  <si>
    <t>ลยางกูร</t>
  </si>
  <si>
    <t>ปฐมพร</t>
  </si>
  <si>
    <t>พิมสร</t>
  </si>
  <si>
    <t xml:space="preserve">ธนภรณ์ </t>
  </si>
  <si>
    <t>ชุติพลาดิศัย</t>
  </si>
  <si>
    <t>รัตนชาติ</t>
  </si>
  <si>
    <t>จันทะ</t>
  </si>
  <si>
    <t>อุดมลักษณ์</t>
  </si>
  <si>
    <t>จิตศิริ</t>
  </si>
  <si>
    <t>ศุภิสรา</t>
  </si>
  <si>
    <t>ชูพรรคพานิช</t>
  </si>
  <si>
    <t>กลั่นสมจิตต์</t>
  </si>
  <si>
    <t>ภาควิชาวิศวกรรมระบบควบคุมและเครื่องมือวัด (Control Systems and Instrumentation Engineering)</t>
  </si>
  <si>
    <t>ภัทรพล</t>
  </si>
  <si>
    <t>กานติศาวิวัฒน์</t>
  </si>
  <si>
    <t>แชมป์ AME</t>
  </si>
  <si>
    <t>ทีม AME</t>
  </si>
  <si>
    <t xml:space="preserve">บุญนำโชค </t>
  </si>
  <si>
    <t>ด่านขุนจัน</t>
  </si>
  <si>
    <t>แอนนี่ EE</t>
  </si>
  <si>
    <t>ออม INC</t>
  </si>
  <si>
    <t>ธนโชค</t>
  </si>
  <si>
    <t>ดอกไม้ทอง</t>
  </si>
  <si>
    <t>เวนิส INC</t>
  </si>
  <si>
    <t>รณเดช</t>
  </si>
  <si>
    <t>ชูชัยวัฒนา</t>
  </si>
  <si>
    <t>แชมป์ ME รู้จักจากกิจกรรม ปฐมนิเทศ</t>
  </si>
  <si>
    <t>จำชื่อรุ่นพี่ไม่ได้</t>
  </si>
  <si>
    <t>นิปุณ</t>
  </si>
  <si>
    <t>ฤกษ์ศิริ</t>
  </si>
  <si>
    <t>ระบบ New ACIS</t>
  </si>
  <si>
    <t>นันท์นภัส</t>
  </si>
  <si>
    <t>มงคลพัฒน์</t>
  </si>
  <si>
    <t>สุกฤษฎิ์</t>
  </si>
  <si>
    <t>เว็บไซต์ Leb2.org</t>
  </si>
  <si>
    <t>โชคพิพัฒน์</t>
  </si>
  <si>
    <t>เชิดชูเกียรตินักศึกษา</t>
  </si>
  <si>
    <t>เมธาพร</t>
  </si>
  <si>
    <t>ภู่เเก้ว</t>
  </si>
  <si>
    <t>ธรรมชาติ</t>
  </si>
  <si>
    <t>ตู้ทอง</t>
  </si>
  <si>
    <t>แอปพลิเคชัน MODLINK</t>
  </si>
  <si>
    <t>อภิวิชญ์</t>
  </si>
  <si>
    <t>แซ่ลิ้ม</t>
  </si>
  <si>
    <t>ปิติภัทร</t>
  </si>
  <si>
    <t>สังข์พิชัย</t>
  </si>
  <si>
    <t>อาคารเรียนรวม 2 ชั้น 5</t>
  </si>
  <si>
    <t>กันตวรวัฒน์</t>
  </si>
  <si>
    <t>ดวงบุญ</t>
  </si>
  <si>
    <t>ภูบดินทร์</t>
  </si>
  <si>
    <t>ตั้งหลักศิลาทอง</t>
  </si>
  <si>
    <t>ธนพัฒน์</t>
  </si>
  <si>
    <t>อุบลงาม</t>
  </si>
  <si>
    <t>ณภัสกร</t>
  </si>
  <si>
    <t>แสงชาติ</t>
  </si>
  <si>
    <t>Innovation Exchange (Inno-X)</t>
  </si>
  <si>
    <t>วราธาห์</t>
  </si>
  <si>
    <t>เสตะ</t>
  </si>
  <si>
    <t>พัฒนายุทธ</t>
  </si>
  <si>
    <t>นงค์นวล</t>
  </si>
  <si>
    <t>มัลลิกา</t>
  </si>
  <si>
    <t>หวังดี</t>
  </si>
  <si>
    <t>ชลณภัทร</t>
  </si>
  <si>
    <t>ชมทองหลาง</t>
  </si>
  <si>
    <t>นิติพจน์</t>
  </si>
  <si>
    <t>มีหนองใหญ่</t>
  </si>
  <si>
    <t>วชิรญาณ์</t>
  </si>
  <si>
    <t>ก้องวุฒิเวช</t>
  </si>
  <si>
    <t>ธีรภัทร</t>
  </si>
  <si>
    <t>ฤทธินารา</t>
  </si>
  <si>
    <t>ก้องภพ</t>
  </si>
  <si>
    <t>พรหมมี</t>
  </si>
  <si>
    <t>ณฐนนท์</t>
  </si>
  <si>
    <t>แจ่มกระจ่าง</t>
  </si>
  <si>
    <t>นพเกียรติ</t>
  </si>
  <si>
    <t>กิจนพเกียรติ</t>
  </si>
  <si>
    <t>สราวุธ</t>
  </si>
  <si>
    <t>จันทร์ธรรม</t>
  </si>
  <si>
    <t>ไปรยา</t>
  </si>
  <si>
    <t>เจริญวิทู</t>
  </si>
  <si>
    <t>ธนกฤต</t>
  </si>
  <si>
    <t>ยกศิริ</t>
  </si>
  <si>
    <t>วิชยา</t>
  </si>
  <si>
    <t>โชติกมาศ</t>
  </si>
  <si>
    <t>ฐานิดา</t>
  </si>
  <si>
    <t>จันทร</t>
  </si>
  <si>
    <t xml:space="preserve">พีรวิชญ์ </t>
  </si>
  <si>
    <t>เครือเพียกุล</t>
  </si>
  <si>
    <t>ปัณฑารีย์</t>
  </si>
  <si>
    <t>จิตเจริญ</t>
  </si>
  <si>
    <t>กิติยาพร</t>
  </si>
  <si>
    <t>ศาสน์ประดิษฐ์</t>
  </si>
  <si>
    <t>จิรพัส</t>
  </si>
  <si>
    <t>ต่อมยิ้ม</t>
  </si>
  <si>
    <t>ภาควิชาวิศวกรรมไฟฟ้า (Electrical Engineering)</t>
  </si>
  <si>
    <t>กันตพัฒน์</t>
  </si>
  <si>
    <t>พงษ์สุวิเชษศักดิ์</t>
  </si>
  <si>
    <t>ปอ ไฟฟ้าระบบ</t>
  </si>
  <si>
    <t>บอล ไฟฟ้า</t>
  </si>
  <si>
    <t>อนัญญา</t>
  </si>
  <si>
    <t>เดชาพงศธร</t>
  </si>
  <si>
    <t>พิมพ์ ไฟฟ้าระบบ</t>
  </si>
  <si>
    <t>สปาย ไฟฟ้า</t>
  </si>
  <si>
    <t>ชัซวี</t>
  </si>
  <si>
    <t>บิลหลี</t>
  </si>
  <si>
    <t>ท๊อป ไฟฟ้า</t>
  </si>
  <si>
    <t>โอปอ inc</t>
  </si>
  <si>
    <t>ณัฐดนัย</t>
  </si>
  <si>
    <t>ไปบ้านเพื่อนหลังจากกิจกรรมเมื่อวาน</t>
  </si>
  <si>
    <t xml:space="preserve"> หวลกำเนิด</t>
  </si>
  <si>
    <t>พี่แฮมไฟฟ้า พี่บีมไฟฟ้า พี่ไผ่หลิวไฟฟ้า</t>
  </si>
  <si>
    <t>พี่แฮมแจกเสื้อไซส์ sss</t>
  </si>
  <si>
    <t>ณัฐกิตติ์</t>
  </si>
  <si>
    <t>ยามาชิตะ</t>
  </si>
  <si>
    <t>กรกรช</t>
  </si>
  <si>
    <t>พงษ์ประดิษฐ์</t>
  </si>
  <si>
    <t>ณหฤทัย</t>
  </si>
  <si>
    <t>ปล้องชู</t>
  </si>
  <si>
    <t>พัชริญา</t>
  </si>
  <si>
    <t>หนุนดี</t>
  </si>
  <si>
    <t xml:space="preserve">ญาณภัทร </t>
  </si>
  <si>
    <t>ภิญโญ</t>
  </si>
  <si>
    <t>ปุญญพัฒน์</t>
  </si>
  <si>
    <t>ชมบุญ</t>
  </si>
  <si>
    <t>รพีภัทร</t>
  </si>
  <si>
    <t>ศรีจันทร์แดง</t>
  </si>
  <si>
    <t>ธิติวัฒน์</t>
  </si>
  <si>
    <t>จิรธรรมวศิน</t>
  </si>
  <si>
    <t>ณิชนันทร์</t>
  </si>
  <si>
    <t>อภิกิตตินันท์</t>
  </si>
  <si>
    <t>ณัชชา</t>
  </si>
  <si>
    <t>เหลืองวรภัณฑ์</t>
  </si>
  <si>
    <t>ปฐมพงษ์</t>
  </si>
  <si>
    <t>ภู่เทียน</t>
  </si>
  <si>
    <t>อภิชญา</t>
  </si>
  <si>
    <t>ชาติสุภาพ</t>
  </si>
  <si>
    <t xml:space="preserve">ลภัสรดา </t>
  </si>
  <si>
    <t>วรพลาวุฒิ</t>
  </si>
  <si>
    <t>พีรภาสร์</t>
  </si>
  <si>
    <t>เขษฐปริญญา</t>
  </si>
  <si>
    <t>เกศินี</t>
  </si>
  <si>
    <t>พอกพูนดี</t>
  </si>
  <si>
    <t>ธนภัทร</t>
  </si>
  <si>
    <t>สุวรรณไตรย์</t>
  </si>
  <si>
    <t>ไพโรจน์</t>
  </si>
  <si>
    <t>จำปาทอง</t>
  </si>
  <si>
    <t>ศิริวัชร์</t>
  </si>
  <si>
    <t>จิตแจ่ม</t>
  </si>
  <si>
    <t>กานต์ตะวัน</t>
  </si>
  <si>
    <t>สีชน</t>
  </si>
  <si>
    <t>นภัทศรา</t>
  </si>
  <si>
    <t>ตระกูลศรี</t>
  </si>
  <si>
    <t>ชัญญา</t>
  </si>
  <si>
    <t>สุวรรณยุหะ</t>
  </si>
  <si>
    <t xml:space="preserve">ณฐภัทร </t>
  </si>
  <si>
    <t>พุ่มอยู่</t>
  </si>
  <si>
    <t>ภูศิษฐ์</t>
  </si>
  <si>
    <t>ทองย่อน</t>
  </si>
  <si>
    <t>พรวรา</t>
  </si>
  <si>
    <t>มาลาทอง</t>
  </si>
  <si>
    <t>วุฒิกร</t>
  </si>
  <si>
    <t>สปาย EE</t>
  </si>
  <si>
    <t>เทพวิญญากิจ</t>
  </si>
  <si>
    <t>พลอย EE</t>
  </si>
  <si>
    <t>นาวา EE</t>
  </si>
  <si>
    <t>อาธิตญามล</t>
  </si>
  <si>
    <t>ลือขจร</t>
  </si>
  <si>
    <t>พิมพ์ ENE</t>
  </si>
  <si>
    <t>แก้มใส CHEM</t>
  </si>
  <si>
    <t>พลพุฒิพงศ์</t>
  </si>
  <si>
    <t>พัทยัง</t>
  </si>
  <si>
    <t>แก้มใส รู้จักจากกิจกรรมดึงป้ายชื่อ</t>
  </si>
  <si>
    <t>พิชญานัน</t>
  </si>
  <si>
    <t>สาสุข</t>
  </si>
  <si>
    <t>พี่กรุงเทพ EE พี่ปัน EE พี่ไผ่หลิว EE</t>
  </si>
  <si>
    <t>พี่ไผ่หลิว คอยช่วยเหลือในสิ่งต่าง ๆ</t>
  </si>
  <si>
    <t>กฤตษีเดช</t>
  </si>
  <si>
    <t>รักษากิจ</t>
  </si>
  <si>
    <t>สุประวีณ์</t>
  </si>
  <si>
    <t>กลกิจ</t>
  </si>
  <si>
    <t>นฤเบศวร์</t>
  </si>
  <si>
    <t>ขันธวิธิ</t>
  </si>
  <si>
    <t>แทนคุณ</t>
  </si>
  <si>
    <t>พ่วงเผือก</t>
  </si>
  <si>
    <t xml:space="preserve">สุรัสวดี  </t>
  </si>
  <si>
    <t>สิทธิศักดิ์</t>
  </si>
  <si>
    <t>อนพัทย์</t>
  </si>
  <si>
    <t>ปาลวัฒน์</t>
  </si>
  <si>
    <t>รัชพล</t>
  </si>
  <si>
    <t>ปีบ้านใหม่</t>
  </si>
  <si>
    <t>ธีร์จุฑา</t>
  </si>
  <si>
    <t>หิ้งทอง</t>
  </si>
  <si>
    <t>บุญญพัฒน์</t>
  </si>
  <si>
    <t>รอดสุโข</t>
  </si>
  <si>
    <t>ชานน</t>
  </si>
  <si>
    <t>กรุดอุทัย</t>
  </si>
  <si>
    <t>รัชชานนท์ ระหงษ์</t>
  </si>
  <si>
    <t>ระหงษื</t>
  </si>
  <si>
    <t>นรินท์ชัย</t>
  </si>
  <si>
    <t>ทรัพย์เกิดปัญญา</t>
  </si>
  <si>
    <t>ภัณฑิรา</t>
  </si>
  <si>
    <t>กาญจนยนตร์</t>
  </si>
  <si>
    <t>ธมนณัฐ</t>
  </si>
  <si>
    <t>วัฒนรุกข์</t>
  </si>
  <si>
    <t>สุรเกียรติ</t>
  </si>
  <si>
    <t>สิทธิสมบูรณ์</t>
  </si>
  <si>
    <t>นายกรณ์ดนัย</t>
  </si>
  <si>
    <t>กิจนุกูล</t>
  </si>
  <si>
    <t>เฉกชนก</t>
  </si>
  <si>
    <t>ทับยัง</t>
  </si>
  <si>
    <t>ธรรมโชติ</t>
  </si>
  <si>
    <t>วิสิฐศักดิ์ชัย</t>
  </si>
  <si>
    <t>กัลย์สุดา</t>
  </si>
  <si>
    <t>เนาวพนานนท์</t>
  </si>
  <si>
    <t>เดชาธร</t>
  </si>
  <si>
    <t>มานะจิตต์</t>
  </si>
  <si>
    <t>ณัฎฐณิชา</t>
  </si>
  <si>
    <t>วิชัยดิษฐ</t>
  </si>
  <si>
    <t xml:space="preserve">ลักษมี </t>
  </si>
  <si>
    <t>รอดวินิจ</t>
  </si>
  <si>
    <t>ธนพร</t>
  </si>
  <si>
    <t>วันดี</t>
  </si>
  <si>
    <t>ปรมัตถ์</t>
  </si>
  <si>
    <t>ปรีชาวุฒิเดช</t>
  </si>
  <si>
    <t xml:space="preserve">วรเชษฐ </t>
  </si>
  <si>
    <t>ดีเพ็ชร์</t>
  </si>
  <si>
    <t>เเตม ไฟฟ้า</t>
  </si>
  <si>
    <t>โปรด ไฟฟ้า</t>
  </si>
  <si>
    <t>กันตพงศ์</t>
  </si>
  <si>
    <t>ศรีฃิใ</t>
  </si>
  <si>
    <t>ต้น ไฟฟ้า</t>
  </si>
  <si>
    <t>เจมส์ ไฟฟ้า</t>
  </si>
  <si>
    <t>เเมนยู ไฟฟ้า</t>
  </si>
  <si>
    <t>กชพร</t>
  </si>
  <si>
    <t>ร่มรื่น</t>
  </si>
  <si>
    <t>เจมส์ จากเล่นดึงป้ายสี</t>
  </si>
  <si>
    <t>นุ้กเกอร์ บีม ไผ่หลิว</t>
  </si>
  <si>
    <t>นุ้กเกอร์ พี่รหัส</t>
  </si>
  <si>
    <t>พีรณัฐ</t>
  </si>
  <si>
    <t>ทองพรมราช</t>
  </si>
  <si>
    <t>พุทธการี</t>
  </si>
  <si>
    <t>ณิชกานต์</t>
  </si>
  <si>
    <t>เว็บไซต์ smovidva.ac.th</t>
  </si>
  <si>
    <t>โพธิรักษ์</t>
  </si>
  <si>
    <t>ชนิกานต์</t>
  </si>
  <si>
    <t>มั่นคง</t>
  </si>
  <si>
    <t xml:space="preserve">เพชรพนา </t>
  </si>
  <si>
    <t>พลายเพ็ชร์</t>
  </si>
  <si>
    <t>ณัฐปคัลภ์</t>
  </si>
  <si>
    <t>วิศวกิจดำรงค์</t>
  </si>
  <si>
    <t xml:space="preserve">พงศ์พัฒน์ </t>
  </si>
  <si>
    <t>จิตต์ตรง</t>
  </si>
  <si>
    <t xml:space="preserve">จิรเศรษฐ์ </t>
  </si>
  <si>
    <t>ศรีพรมสุข</t>
  </si>
  <si>
    <t>กฤศชนกร</t>
  </si>
  <si>
    <t>คมพจน์</t>
  </si>
  <si>
    <t xml:space="preserve">เตชทัต </t>
  </si>
  <si>
    <t>ศรีมันตะ</t>
  </si>
  <si>
    <t>ศุภโชค</t>
  </si>
  <si>
    <t>ปิยเจริญสิทธิ์</t>
  </si>
  <si>
    <t xml:space="preserve">ณัฐรีย์ </t>
  </si>
  <si>
    <t>วุฒินาวิน</t>
  </si>
  <si>
    <t>ธนิกชนม์</t>
  </si>
  <si>
    <t>ผ่องแผ้ว</t>
  </si>
  <si>
    <t>รพีรัฐ</t>
  </si>
  <si>
    <t>เกษมนิธิโชค</t>
  </si>
  <si>
    <t>ภูวเดช</t>
  </si>
  <si>
    <t>พิมทรัพย์</t>
  </si>
  <si>
    <t xml:space="preserve">ธนโชติ </t>
  </si>
  <si>
    <t>สารศิริ</t>
  </si>
  <si>
    <t>พอเพียง</t>
  </si>
  <si>
    <t>พนัสนาชี</t>
  </si>
  <si>
    <t>รัตนาภรณ์</t>
  </si>
  <si>
    <t>จันทร์พันธ์</t>
  </si>
  <si>
    <t>ภูผาภูมิ</t>
  </si>
  <si>
    <t>เดชรุ่ง</t>
  </si>
  <si>
    <t>เมธาศิษฐ์</t>
  </si>
  <si>
    <t>อภิโอฬารโรจน์</t>
  </si>
  <si>
    <t>ณิชา</t>
  </si>
  <si>
    <t>หงษ์ชัย</t>
  </si>
  <si>
    <t>ภาควิชาวิศวกรรมอุตสาหการ (Production Engineering)</t>
  </si>
  <si>
    <t>เจษฎากร</t>
  </si>
  <si>
    <t>ไชยมาตร์</t>
  </si>
  <si>
    <t>เกล อุตสาหการ</t>
  </si>
  <si>
    <t>นัท อุตสาหการ</t>
  </si>
  <si>
    <t>ภัทรริดา</t>
  </si>
  <si>
    <t>สอนสุภาพ</t>
  </si>
  <si>
    <t>ยูฟ่า อุตสาหการ</t>
  </si>
  <si>
    <t>น้ำอิง อุตสาหการ</t>
  </si>
  <si>
    <t>แสงศิริ</t>
  </si>
  <si>
    <t>จ๋า อุตสาหการ</t>
  </si>
  <si>
    <t xml:space="preserve">รชาภา </t>
  </si>
  <si>
    <t>เกล รู้จักจากกิจกรรมปฐมนิเทศ</t>
  </si>
  <si>
    <t>หาญไกรพงศ์</t>
  </si>
  <si>
    <t>พี่บิงโก อุตสาหาการ พี่แสตมป์ โยธา พี่มะเดี่ยว</t>
  </si>
  <si>
    <t>ณัฏฐ์กฤต</t>
  </si>
  <si>
    <t>กาญจนประดิษฐ์</t>
  </si>
  <si>
    <t xml:space="preserve">พีแสตมป์ จากกิจกรรมปฐมนิเทศ </t>
  </si>
  <si>
    <t>รัชวลัญจ์</t>
  </si>
  <si>
    <t>มุสิกโรจน์</t>
  </si>
  <si>
    <t>เว็บไซต์ kmutt.ac.th</t>
  </si>
  <si>
    <t>เชิดศักดิ์</t>
  </si>
  <si>
    <t>จันทร์โพธิ์</t>
  </si>
  <si>
    <t>ทิฆัมพร</t>
  </si>
  <si>
    <t>โคบุตร</t>
  </si>
  <si>
    <t>ก. บัตรนักศึกษา</t>
  </si>
  <si>
    <t>อภิญญา</t>
  </si>
  <si>
    <t>บุญทองอ่อน</t>
  </si>
  <si>
    <t>Global Competence Development Centre (GCDC)</t>
  </si>
  <si>
    <t>แสนดี</t>
  </si>
  <si>
    <t>วชิรวิชญ์</t>
  </si>
  <si>
    <t>ทวีโคตร</t>
  </si>
  <si>
    <t>กฤตพล</t>
  </si>
  <si>
    <t>นามบุตร</t>
  </si>
  <si>
    <t>นที</t>
  </si>
  <si>
    <t>ทาระพันธุ์</t>
  </si>
  <si>
    <t>ภูธเนศ</t>
  </si>
  <si>
    <t>ชวดบัว</t>
  </si>
  <si>
    <t>พงษ์พันธุ์</t>
  </si>
  <si>
    <t>สมเพียร</t>
  </si>
  <si>
    <t>คณพศ</t>
  </si>
  <si>
    <t>อุบลรัตน์</t>
  </si>
  <si>
    <t>ภาณุพงศ์</t>
  </si>
  <si>
    <t>สายศร</t>
  </si>
  <si>
    <t>วรพล</t>
  </si>
  <si>
    <t>พุทธาพร</t>
  </si>
  <si>
    <t xml:space="preserve">ตรีกริช </t>
  </si>
  <si>
    <t>แมนสืบชาติ</t>
  </si>
  <si>
    <t xml:space="preserve">กัญญาณัฐ </t>
  </si>
  <si>
    <t>เหลือสูงเนิน</t>
  </si>
  <si>
    <t>ปกป้อง ไฟฟ้า</t>
  </si>
  <si>
    <t>ปุณ ไฟฟ้า</t>
  </si>
  <si>
    <t>ปัณฐวิชญ์</t>
  </si>
  <si>
    <t>เจริญไชยธนาธิป</t>
  </si>
  <si>
    <t>ซอ ไฟฟ้า</t>
  </si>
  <si>
    <t>เบล inc</t>
  </si>
  <si>
    <t>เฟีย ไฟฟ้า</t>
  </si>
  <si>
    <t>ธัญพิสิษต์</t>
  </si>
  <si>
    <t>นวลสาลี</t>
  </si>
  <si>
    <t>ซอ เจแกันเพราะอยุ่รรเดียวกันมาก่อน</t>
  </si>
  <si>
    <t>พี่เบล, พี่พอเพียง, พี่แจ็ค ไฟฟ้า</t>
  </si>
  <si>
    <t>พี่ปัณ เป้นพี่รหัส</t>
  </si>
  <si>
    <t>พีรวิชญ์</t>
  </si>
  <si>
    <t>ธนิกกุล</t>
  </si>
  <si>
    <t>เปิดโลกกิจกรรม</t>
  </si>
  <si>
    <t>เสฏวุฒิ</t>
  </si>
  <si>
    <t>ธรรมาปรีชากร</t>
  </si>
  <si>
    <t>ปรัตถกร</t>
  </si>
  <si>
    <t>รมย์ทอง</t>
  </si>
  <si>
    <t>เลขะวัฒนะ</t>
  </si>
  <si>
    <t>นิธิโชติ</t>
  </si>
  <si>
    <t>ศรีสุวรรณธัช</t>
  </si>
  <si>
    <t>ไอริสา</t>
  </si>
  <si>
    <t>ลิ้มพิริยะมงคล</t>
  </si>
  <si>
    <t>นภสร</t>
  </si>
  <si>
    <t>ลิขิตลือชา</t>
  </si>
  <si>
    <t>ปิยะวัฒน์</t>
  </si>
  <si>
    <t>หล้าสวัสดิ์</t>
  </si>
  <si>
    <t xml:space="preserve">ณัฐณิชา </t>
  </si>
  <si>
    <t>ตั้งจินตวิวัฒน์</t>
  </si>
  <si>
    <t>ณัฐภัทร</t>
  </si>
  <si>
    <t>อายุยงค์</t>
  </si>
  <si>
    <t>นรุตม์</t>
  </si>
  <si>
    <t>ว่องจิตต์วุฒิไกร</t>
  </si>
  <si>
    <t>สิทธินนท์</t>
  </si>
  <si>
    <t>ปัญญาฟู</t>
  </si>
  <si>
    <t>คมกริช</t>
  </si>
  <si>
    <t>ฉิมพลี</t>
  </si>
  <si>
    <t>นันทนัช</t>
  </si>
  <si>
    <t>เจริญมีมงคล</t>
  </si>
  <si>
    <t>ปริยาภร</t>
  </si>
  <si>
    <t>ขุมทอง</t>
  </si>
  <si>
    <t>ภูมิพัฒน์</t>
  </si>
  <si>
    <t>เปี่ยมวาริน</t>
  </si>
  <si>
    <t>ฉันท์ทีชย์</t>
  </si>
  <si>
    <t>พิพัฒบวรนันท์</t>
  </si>
  <si>
    <t xml:space="preserve">นิธิวัฒน์ </t>
  </si>
  <si>
    <t>กมลสิทธิชัย</t>
  </si>
  <si>
    <t>ณัฐชยา</t>
  </si>
  <si>
    <t>เจียรพิพัฒน์พงศ์</t>
  </si>
  <si>
    <t>แซ่เตีย</t>
  </si>
  <si>
    <t>ดาหรา</t>
  </si>
  <si>
    <t>ลือโรจน์วงศ์</t>
  </si>
  <si>
    <t>ภาควิชาวิศวกรรมเครื่องกล (Mechanical Engineering)</t>
  </si>
  <si>
    <t>พีรพัฒน์</t>
  </si>
  <si>
    <t>อาเคร</t>
  </si>
  <si>
    <t>ศิริโอฐ</t>
  </si>
  <si>
    <t>แชมป์ ยานยนต์</t>
  </si>
  <si>
    <t>โฟลค ยานยน</t>
  </si>
  <si>
    <t>ณัฐวัช</t>
  </si>
  <si>
    <t>นุชชาติ</t>
  </si>
  <si>
    <t>บิว ยานยนต์</t>
  </si>
  <si>
    <t>เฟียส ยานยนต์</t>
  </si>
  <si>
    <t>ธีรดนย์</t>
  </si>
  <si>
    <t>ไขเเสง</t>
  </si>
  <si>
    <t>มอส วัสดุ</t>
  </si>
  <si>
    <t>เอ็ม วัสดุ</t>
  </si>
  <si>
    <t>สราวุฒิ</t>
  </si>
  <si>
    <t>ฉายแสง</t>
  </si>
  <si>
    <t>มอส ตรวจสุขภาพ อยู่ด้วยกันทั้งวันวันปฐมนิเทศวันแรก</t>
  </si>
  <si>
    <t>ปอนด์ สายพิน ลีโอ</t>
  </si>
  <si>
    <t>รมิดา</t>
  </si>
  <si>
    <t>จีริผาบ</t>
  </si>
  <si>
    <t>ปอนด์ ถ่ายรูปเครื่องกลพี่เค้าดูเฟี้ยวดี</t>
  </si>
  <si>
    <t>กฤตเมธ</t>
  </si>
  <si>
    <t>แซ่โง้ว</t>
  </si>
  <si>
    <t>ศิวกร</t>
  </si>
  <si>
    <t>บุญครอง</t>
  </si>
  <si>
    <t xml:space="preserve">ปริตา </t>
  </si>
  <si>
    <t>สทน.25 (ใบลงทะเบียนเรียน)</t>
  </si>
  <si>
    <t>กิจวรโยธิน</t>
  </si>
  <si>
    <t>ศิริรัตน์</t>
  </si>
  <si>
    <t>เอียดสังข์</t>
  </si>
  <si>
    <t>KMUTT MAGA Job Fair</t>
  </si>
  <si>
    <t>กันต์พฤกษ์</t>
  </si>
  <si>
    <t>กิจเจริญวงศ์</t>
  </si>
  <si>
    <t>กาญจนรัตน์</t>
  </si>
  <si>
    <t>อาคารเรียนรวม 2</t>
  </si>
  <si>
    <t>เเสวงทรัพย์</t>
  </si>
  <si>
    <t>บ้านธรรมรักษา 1</t>
  </si>
  <si>
    <t>ปิยพัทธ์</t>
  </si>
  <si>
    <t>นิยมสิทธิ์</t>
  </si>
  <si>
    <t>อาคารเรียนรวม 3</t>
  </si>
  <si>
    <t>จารุภัค</t>
  </si>
  <si>
    <t>ภูมิดิษฐ์</t>
  </si>
  <si>
    <t>สโมสรนักศึกษาคณะวิศวกรรมศาสตร์</t>
  </si>
  <si>
    <t>พัสกร</t>
  </si>
  <si>
    <t>สงครามศรี</t>
  </si>
  <si>
    <t>ขระเขื่อน</t>
  </si>
  <si>
    <t>พลภัทร</t>
  </si>
  <si>
    <t>พัฒนาพิศาลศักดิ์</t>
  </si>
  <si>
    <t>หนุ่มเพชร</t>
  </si>
  <si>
    <t>ภูมิประชา</t>
  </si>
  <si>
    <t>บุญประคม</t>
  </si>
  <si>
    <t xml:space="preserve">ปิยังกูร </t>
  </si>
  <si>
    <t>ทองสนิท</t>
  </si>
  <si>
    <t>ธรรมภณ</t>
  </si>
  <si>
    <t>คงศรีวรกุลชัย</t>
  </si>
  <si>
    <t>ดีคำ</t>
  </si>
  <si>
    <t>ศุภกร</t>
  </si>
  <si>
    <t>โสวรรณะ</t>
  </si>
  <si>
    <t>เศรษฐพงษ์</t>
  </si>
  <si>
    <t>วิริยะยุทธการกุล</t>
  </si>
  <si>
    <t>คิมหันต์</t>
  </si>
  <si>
    <t>แซ่หลี</t>
  </si>
  <si>
    <t>ณัฐณิชา</t>
  </si>
  <si>
    <t>เขียมลักษณ์เจริญ</t>
  </si>
  <si>
    <t>ภูวเมศฐ์</t>
  </si>
  <si>
    <t>สกุลพรประเสริฐ</t>
  </si>
  <si>
    <t>กวิสรา</t>
  </si>
  <si>
    <t>กาญจนพาสน์</t>
  </si>
  <si>
    <t>ลูกตาล ENE</t>
  </si>
  <si>
    <t>อาย EE</t>
  </si>
  <si>
    <t>ทองศรีจันทร์</t>
  </si>
  <si>
    <t>ปอ EE</t>
  </si>
  <si>
    <t>ทีม ME</t>
  </si>
  <si>
    <t>จิรนันท์</t>
  </si>
  <si>
    <t>พีช ME</t>
  </si>
  <si>
    <t>โคตะมี</t>
  </si>
  <si>
    <t>ปอ ซื้อน้ำมาให้</t>
  </si>
  <si>
    <t>ษุบิณธ</t>
  </si>
  <si>
    <t>เดชอุดม</t>
  </si>
  <si>
    <t>พี่บีม พี่แฮม พี่ไผ่หลิว</t>
  </si>
  <si>
    <t>พี่บีม ไปเล่นบอร์ดเกม</t>
  </si>
  <si>
    <t>พีรภัทร</t>
  </si>
  <si>
    <t>รื่นรมย์</t>
  </si>
  <si>
    <t>รัฐศาสตร์</t>
  </si>
  <si>
    <t>เจริญวงศ์สิริกุล</t>
  </si>
  <si>
    <t xml:space="preserve">ก้องภพ </t>
  </si>
  <si>
    <t>กวยานนท์</t>
  </si>
  <si>
    <t>Kmutt Maga Job Fair</t>
  </si>
  <si>
    <t>ชลธี</t>
  </si>
  <si>
    <t>สักขาพรหม</t>
  </si>
  <si>
    <t>กนกวรรณ</t>
  </si>
  <si>
    <t>ใจซื่อ</t>
  </si>
  <si>
    <t>เตโชดม</t>
  </si>
  <si>
    <t>ศรีเพชรเจริญ</t>
  </si>
  <si>
    <t>ธนกร</t>
  </si>
  <si>
    <t>ธรรมธรสุคนธ์</t>
  </si>
  <si>
    <t>นนทวัชร์</t>
  </si>
  <si>
    <t>ม่วงพัฒน์</t>
  </si>
  <si>
    <t>ปริญ</t>
  </si>
  <si>
    <t>ชูเชิดเกียรติสกุล</t>
  </si>
  <si>
    <t>ภัชยะ</t>
  </si>
  <si>
    <t>รัตนวงศ์</t>
  </si>
  <si>
    <t>จุฑามาศ</t>
  </si>
  <si>
    <t>มาศงามเมือง</t>
  </si>
  <si>
    <t>ดลรดา</t>
  </si>
  <si>
    <t>รัตนรักษ์</t>
  </si>
  <si>
    <t>ณัฐกฤต</t>
  </si>
  <si>
    <t>คงแป้น</t>
  </si>
  <si>
    <t xml:space="preserve">ธัญญพัฒน์ </t>
  </si>
  <si>
    <t>พุทธโกมล</t>
  </si>
  <si>
    <t>อารยา</t>
  </si>
  <si>
    <t>สิทธิหงษ์</t>
  </si>
  <si>
    <t>ภัทรนันท์</t>
  </si>
  <si>
    <t>เสลาหลัก</t>
  </si>
  <si>
    <t>พิมพ์ญาดา</t>
  </si>
  <si>
    <t>เฉลยวาเรศ</t>
  </si>
  <si>
    <t>รัมภ์รดา</t>
  </si>
  <si>
    <t>สันหะรักษ์</t>
  </si>
  <si>
    <t>คงมี</t>
  </si>
  <si>
    <t>สุกัลญา</t>
  </si>
  <si>
    <t>มะโนมัย</t>
  </si>
  <si>
    <t>ภาวัต</t>
  </si>
  <si>
    <t>เลิศสมิทวงศ์</t>
  </si>
  <si>
    <t>กนกพร</t>
  </si>
  <si>
    <t>เดชผล</t>
  </si>
  <si>
    <t xml:space="preserve">พิชญาภา </t>
  </si>
  <si>
    <t>วัชโยบล</t>
  </si>
  <si>
    <t>กันต์กรณ์</t>
  </si>
  <si>
    <t>ถนอมญาติ</t>
  </si>
  <si>
    <t>สิทธิพงษ์</t>
  </si>
  <si>
    <t>โพธิ์ดนัย</t>
  </si>
  <si>
    <t>ภาควิชาวิศวกรรมเครื่องมือและวัสดุ (Tool and Materials Engineering)</t>
  </si>
  <si>
    <t>อิรวดี</t>
  </si>
  <si>
    <t>สุกสาน</t>
  </si>
  <si>
    <t>ต้น TME</t>
  </si>
  <si>
    <t>มาร์ก TME</t>
  </si>
  <si>
    <t>เต้ย TME</t>
  </si>
  <si>
    <t>นาวาเอกรัตน์</t>
  </si>
  <si>
    <t>บิ๊ก TME</t>
  </si>
  <si>
    <t>ก้อง TME</t>
  </si>
  <si>
    <t xml:space="preserve">ชารอฟุดดีน </t>
  </si>
  <si>
    <t>ทับโทน</t>
  </si>
  <si>
    <t>ต้นจากกิจกรรมถ่ายรูปรวมภาค</t>
  </si>
  <si>
    <t>พี่ฟิว TME พี่ขนุน PE พี่ปอน ME</t>
  </si>
  <si>
    <t>ภูมิใจ</t>
  </si>
  <si>
    <t>อุดมวัลลภ</t>
  </si>
  <si>
    <t>พี่ฟิว จากกิจกรรมถ่ายรูปรวมภาค</t>
  </si>
  <si>
    <t>ภาวินี</t>
  </si>
  <si>
    <t>นิธิกุล</t>
  </si>
  <si>
    <t>ณฐกร</t>
  </si>
  <si>
    <t>อินทเดช</t>
  </si>
  <si>
    <t>อิบรอเหม</t>
  </si>
  <si>
    <t>อุสมา</t>
  </si>
  <si>
    <t>กวินภพ</t>
  </si>
  <si>
    <t>คงเพียรธรรม</t>
  </si>
  <si>
    <t xml:space="preserve">ณัฐรัฐ </t>
  </si>
  <si>
    <t>สุตะโท</t>
  </si>
  <si>
    <t>ชายชาญ</t>
  </si>
  <si>
    <t>ช่วยช่วง</t>
  </si>
  <si>
    <t>ธัญสิริ</t>
  </si>
  <si>
    <t>ธีรภัศกุล</t>
  </si>
  <si>
    <t>ภาสวุฒิ</t>
  </si>
  <si>
    <t>อัศวกิตติพร</t>
  </si>
  <si>
    <t>จิรฐิดา</t>
  </si>
  <si>
    <t>กาฬภักดี</t>
  </si>
  <si>
    <t>เกศสุดา</t>
  </si>
  <si>
    <t>ประเสริฐสาร</t>
  </si>
  <si>
    <t xml:space="preserve">วาริชภูมิ </t>
  </si>
  <si>
    <t>ภานุกาญจน์</t>
  </si>
  <si>
    <t>จันรวม</t>
  </si>
  <si>
    <t>นิสสรณ์</t>
  </si>
  <si>
    <t>พงศ์สุทธินันท์</t>
  </si>
  <si>
    <t>ธนพัต</t>
  </si>
  <si>
    <t>ไตรยะถา</t>
  </si>
  <si>
    <t>ทิพย์ทองดี</t>
  </si>
  <si>
    <t xml:space="preserve">ภัทริยา </t>
  </si>
  <si>
    <t>ปทุมสูติ</t>
  </si>
  <si>
    <t>ธัญชนก</t>
  </si>
  <si>
    <t>ทองกันยา</t>
  </si>
  <si>
    <t>กมลวัฒน์</t>
  </si>
  <si>
    <t>ม่วงน้อยเจริญ</t>
  </si>
  <si>
    <t xml:space="preserve">ศตธนกร </t>
  </si>
  <si>
    <t>อินทรพานิชย์</t>
  </si>
  <si>
    <t>ชื่อ ข้าว โดม ปัน ยู ฟ่าง</t>
  </si>
  <si>
    <t>ปัน วิศวะเคมี</t>
  </si>
  <si>
    <t>นายพชรพล</t>
  </si>
  <si>
    <t>ข้าว วิศวกรรมอุตสาหการ</t>
  </si>
  <si>
    <t>เพิ่มพานิชเดช</t>
  </si>
  <si>
    <t>โดม วิศวกรรมอุตสาหการ</t>
  </si>
  <si>
    <t>ยู วิศวกรรมเคมี</t>
  </si>
  <si>
    <t>อชิระ</t>
  </si>
  <si>
    <t>จันฤทธิ์</t>
  </si>
  <si>
    <t>ฟ่าง วิศวกรรมเคมี</t>
  </si>
  <si>
    <t>ชยทัต</t>
  </si>
  <si>
    <t>ปัน รู้จักผ่านไอจี</t>
  </si>
  <si>
    <t>ธิยะใจ</t>
  </si>
  <si>
    <t>ลืมชื่อรุ่นพี่เเต่รุ้จักเยอะมากค้าบ</t>
  </si>
  <si>
    <t>ลืมชื่ออ่ะเเต่รุ่นพี่ดีมาก</t>
  </si>
  <si>
    <t>กฤษฏิปุณ</t>
  </si>
  <si>
    <t>หุ้นเอียด</t>
  </si>
  <si>
    <t>ทองปลูก</t>
  </si>
  <si>
    <t>ธัญพิสิษฐ์</t>
  </si>
  <si>
    <t>โสรินทร์</t>
  </si>
  <si>
    <t>วรวีร์</t>
  </si>
  <si>
    <t>ซาเเละทิม</t>
  </si>
  <si>
    <t>Project Day</t>
  </si>
  <si>
    <t>วริศ</t>
  </si>
  <si>
    <t>อิ่มอาเทศ</t>
  </si>
  <si>
    <t>ปรินาภรณ์</t>
  </si>
  <si>
    <t>ถวิลเวช</t>
  </si>
  <si>
    <t>พัฒนศักดิ์</t>
  </si>
  <si>
    <t>แสงงาม</t>
  </si>
  <si>
    <t>สำนักงานกิจการนักศึกษา อาคารพระจอมเกล้าราชานุสรณ์ 190 ปี</t>
  </si>
  <si>
    <t>สำนักคอมพิวเตอร์</t>
  </si>
  <si>
    <t>พ่อชมภู</t>
  </si>
  <si>
    <t>จิรโชติ</t>
  </si>
  <si>
    <t>ต่วนเครือ</t>
  </si>
  <si>
    <t xml:space="preserve">อรรถพร </t>
  </si>
  <si>
    <t>ยังมี</t>
  </si>
  <si>
    <t>จิระวิน</t>
  </si>
  <si>
    <t>ถิรทิตสกุล</t>
  </si>
  <si>
    <t>ฆนากร</t>
  </si>
  <si>
    <t>เสาเปรีย</t>
  </si>
  <si>
    <t>ชุติพนธ์</t>
  </si>
  <si>
    <t>บุญพิทักษ์</t>
  </si>
  <si>
    <t>พินนอก</t>
  </si>
  <si>
    <t>ชวัลวัสถ์</t>
  </si>
  <si>
    <t>ตรงศิริวัฒน์</t>
  </si>
  <si>
    <t>วิวัฒน์</t>
  </si>
  <si>
    <t>ทรงเลิศเมธา</t>
  </si>
  <si>
    <t>พงศ์ภีระ</t>
  </si>
  <si>
    <t>พิเชฐพีระพูน</t>
  </si>
  <si>
    <t>ศุภกิตติ์</t>
  </si>
  <si>
    <t>จันทร์ยุ่ย</t>
  </si>
  <si>
    <t>ทยากร</t>
  </si>
  <si>
    <t>แก้วรุ่งฟ้า</t>
  </si>
  <si>
    <t>นิติภูมิ</t>
  </si>
  <si>
    <t>เชิดสูงเนิน</t>
  </si>
  <si>
    <t>ดนัย</t>
  </si>
  <si>
    <t>ชาติมนตรี</t>
  </si>
  <si>
    <t>จิรัชญา</t>
  </si>
  <si>
    <t>ฤทธิ์กำลัง</t>
  </si>
  <si>
    <t>ศิรประภา</t>
  </si>
  <si>
    <t>มีแก้ว</t>
  </si>
  <si>
    <t>5 คน</t>
  </si>
  <si>
    <t>ชนากานต์</t>
  </si>
  <si>
    <t>ธรรมวรีย์</t>
  </si>
  <si>
    <t>โบนัส อิเล็ก</t>
  </si>
  <si>
    <t>ศิลาภัทร</t>
  </si>
  <si>
    <t>ชิน อิเล็ก</t>
  </si>
  <si>
    <t>เมืองเกิด</t>
  </si>
  <si>
    <t>นาย อิเล็ก</t>
  </si>
  <si>
    <t>แตงโม อิเล็ก</t>
  </si>
  <si>
    <t>นิพิฐพนธ์</t>
  </si>
  <si>
    <t>วันธิ</t>
  </si>
  <si>
    <t>นุ้ย สิ่งแวดล้อม</t>
  </si>
  <si>
    <t>ปทิตตา</t>
  </si>
  <si>
    <t>รู้จักนายจากการเล่นกิจกรรมฐานวันที่25</t>
  </si>
  <si>
    <t>ผดุงศักดิ์เดชา</t>
  </si>
  <si>
    <t>พี่ตวันจากภาคเครื่องกล</t>
  </si>
  <si>
    <t>พี่ตวัน จากกิจกรรม12 นาฬิกา</t>
  </si>
  <si>
    <t>ธนดิษฐ์</t>
  </si>
  <si>
    <t>เพจเฟซบุ๊กสโมสรนักศึกษาคณะวิศวกรรมศาสตร์ มหาวิทยาลัยเทคโนโลยีพระจอมเกล้าธนบุรี</t>
  </si>
  <si>
    <t>กิจก้องขจร</t>
  </si>
  <si>
    <t>ริชชี่</t>
  </si>
  <si>
    <t>ติวารี</t>
  </si>
  <si>
    <t>พร้อมพร</t>
  </si>
  <si>
    <t>กิตติกูรธินานนท์</t>
  </si>
  <si>
    <t xml:space="preserve">พชรมณี </t>
  </si>
  <si>
    <t>อ้อยทอง</t>
  </si>
  <si>
    <t>ปรมินทร์</t>
  </si>
  <si>
    <t>ไชยเสน</t>
  </si>
  <si>
    <t>นวพล</t>
  </si>
  <si>
    <t>เจนปัญญารัตน์</t>
  </si>
  <si>
    <t>วิลัยธัญญา</t>
  </si>
  <si>
    <t>วรรณชัย</t>
  </si>
  <si>
    <t>ศรีจันทรา</t>
  </si>
  <si>
    <t>ศยามล</t>
  </si>
  <si>
    <t>เนตรชัยภูมิ</t>
  </si>
  <si>
    <t>พุกพิกุล</t>
  </si>
  <si>
    <t>กิตติศักดิ์</t>
  </si>
  <si>
    <t>คำเอื้อย</t>
  </si>
  <si>
    <t>กนกโชติ</t>
  </si>
  <si>
    <t>แก้วชูโชติ</t>
  </si>
  <si>
    <t>ศิลาขาว</t>
  </si>
  <si>
    <t xml:space="preserve">อภิภู </t>
  </si>
  <si>
    <t>สกุลโชติ</t>
  </si>
  <si>
    <t>ณฐวัฒน์</t>
  </si>
  <si>
    <t>อภิสิทธิวาสนา</t>
  </si>
  <si>
    <t>ฐิติพงศ์</t>
  </si>
  <si>
    <t>ชื่นอารมณ์</t>
  </si>
  <si>
    <t>กนกรดา</t>
  </si>
  <si>
    <t>แซ่เฮง</t>
  </si>
  <si>
    <t>เดชสิทธิ์</t>
  </si>
  <si>
    <t>กระจ่างโพธิ์</t>
  </si>
  <si>
    <t>ณัฐสิทธิ์</t>
  </si>
  <si>
    <t>ธีระโกวิทขจร</t>
  </si>
  <si>
    <t>มนัสวีร์</t>
  </si>
  <si>
    <t>นุชาญรัมย์</t>
  </si>
  <si>
    <t>ธนานันต์</t>
  </si>
  <si>
    <t>บัวรอด</t>
  </si>
  <si>
    <t>สุวิจักขณ์</t>
  </si>
  <si>
    <t>ศรีใจวงศ์</t>
  </si>
  <si>
    <t>ศุภฤกษ์</t>
  </si>
  <si>
    <t>พ่วงศรี</t>
  </si>
  <si>
    <t>เกียรติศิริ</t>
  </si>
  <si>
    <t>ตันพันตรี</t>
  </si>
  <si>
    <t xml:space="preserve">วิชญะ </t>
  </si>
  <si>
    <t>น้ำจันทร์</t>
  </si>
  <si>
    <t xml:space="preserve">จิรวัฒน์ </t>
  </si>
  <si>
    <t>พลับพลา</t>
  </si>
  <si>
    <t>เเฟร้ง อิเล็ก</t>
  </si>
  <si>
    <t>ป้อน อิเล็ก</t>
  </si>
  <si>
    <t>กษิดิ์พิชญ์คุณ</t>
  </si>
  <si>
    <t>อามอิเล็ก</t>
  </si>
  <si>
    <t>ชัยกุลเสรีวัฒน์</t>
  </si>
  <si>
    <t>คริสต้า โยธา</t>
  </si>
  <si>
    <t>ณัฐชนน</t>
  </si>
  <si>
    <t>นิรันดรรัตน์</t>
  </si>
  <si>
    <t>ต้นหนาวอิเล็ก</t>
  </si>
  <si>
    <t>ดิว อิเล็ก</t>
  </si>
  <si>
    <t>ณัฐนนท์</t>
  </si>
  <si>
    <t>แรกขึ้น</t>
  </si>
  <si>
    <t>ต้นข้าวอิเล็ก</t>
  </si>
  <si>
    <t>ดิเรก</t>
  </si>
  <si>
    <t>ยอดศรี</t>
  </si>
  <si>
    <t>นั่งถามเพื่อนป้อน</t>
  </si>
  <si>
    <t>พี่เบ้น พี่ช้อกเก้อ พี่ไอซ์</t>
  </si>
  <si>
    <t>พี่เบ้น ชวนมาเต้นกิจกรรม</t>
  </si>
  <si>
    <t>ศึกษานนท์</t>
  </si>
  <si>
    <t>สุไชยชิต</t>
  </si>
  <si>
    <t>ปาลีรัฐ</t>
  </si>
  <si>
    <t>เสนาป่า</t>
  </si>
  <si>
    <t>สทน.01 (คำร้องทั่วไป)</t>
  </si>
  <si>
    <t>ธันยากานต์</t>
  </si>
  <si>
    <t>วิรัตน์ธนันท์</t>
  </si>
  <si>
    <t xml:space="preserve">ญาโณทัย </t>
  </si>
  <si>
    <t>ดรุณศรี</t>
  </si>
  <si>
    <t xml:space="preserve">ฐิติวัฒน์ </t>
  </si>
  <si>
    <t>แสงสว่าง</t>
  </si>
  <si>
    <t>อีวา</t>
  </si>
  <si>
    <t>พรราชภักดี</t>
  </si>
  <si>
    <t>นรินทร์โชติ</t>
  </si>
  <si>
    <t>ถิระวัฒน์ธนากูล</t>
  </si>
  <si>
    <t>สุภัสสร</t>
  </si>
  <si>
    <t>ตันวัฒนวิทย์</t>
  </si>
  <si>
    <t>พงศ์ภรณ์</t>
  </si>
  <si>
    <t>วิภาวาณิช</t>
  </si>
  <si>
    <t>วิทวัส</t>
  </si>
  <si>
    <t>มั่งมีสุข</t>
  </si>
  <si>
    <t>กุลนิษฐ์</t>
  </si>
  <si>
    <t>บุญธรรม</t>
  </si>
  <si>
    <t>ชรินทร์รัตน์</t>
  </si>
  <si>
    <t>พวงอก</t>
  </si>
  <si>
    <t>ธัญวรัตม์</t>
  </si>
  <si>
    <t>รุ่งสวัสดิ์</t>
  </si>
  <si>
    <t>ปกรณ์เกียรติ</t>
  </si>
  <si>
    <t>ตั้งศิริเสถียรกุล</t>
  </si>
  <si>
    <t>วชิรวิทย์</t>
  </si>
  <si>
    <t>วิวัธน์รัตนพงศ์</t>
  </si>
  <si>
    <t>มินทร์ธาดา</t>
  </si>
  <si>
    <t>ช่างตกแต่ง</t>
  </si>
  <si>
    <t>วิชญะ</t>
  </si>
  <si>
    <t>ฉันทารุนัย</t>
  </si>
  <si>
    <t>พิชยะ</t>
  </si>
  <si>
    <t>จำปาศรี</t>
  </si>
  <si>
    <t>จิตวิริยนนท์</t>
  </si>
  <si>
    <t xml:space="preserve">ณัฐริการ์ </t>
  </si>
  <si>
    <t>โฮกสูงเนิน</t>
  </si>
  <si>
    <t>พีรพงษ์</t>
  </si>
  <si>
    <t>ชัยสุภา</t>
  </si>
  <si>
    <t>ปรัชญา</t>
  </si>
  <si>
    <t>นิว ไฟฟ้า</t>
  </si>
  <si>
    <t>กังวานรัตนศิลป์</t>
  </si>
  <si>
    <t>เพชร ไฟฟ้า</t>
  </si>
  <si>
    <t>เกจิ ไฟฟ้า</t>
  </si>
  <si>
    <t>สโรชา</t>
  </si>
  <si>
    <t>ศิลาพฤกษ์</t>
  </si>
  <si>
    <t>เจ๊คกี้ ไฟฟ้า</t>
  </si>
  <si>
    <t>เจตพิพัฒน์</t>
  </si>
  <si>
    <t>พงษ์สีมา</t>
  </si>
  <si>
    <t>นิว เล่นเกมด้วยกัน</t>
  </si>
  <si>
    <t>ถั่วพลู ปลื้ม1 ปลื้ม2 ไฟฟ้า</t>
  </si>
  <si>
    <t>ศศิรดา</t>
  </si>
  <si>
    <t>วรขัตร</t>
  </si>
  <si>
    <t>เพชร พูดคุยกันถูกคอ</t>
  </si>
  <si>
    <t>ภาณุวัฒ</t>
  </si>
  <si>
    <t>คำทอง</t>
  </si>
  <si>
    <t>วิชยุตม์</t>
  </si>
  <si>
    <t>ชิดจันทร์</t>
  </si>
  <si>
    <t>มุมกลาง</t>
  </si>
  <si>
    <t>นนทพัทรธ์</t>
  </si>
  <si>
    <t>บัวเทศ</t>
  </si>
  <si>
    <t xml:space="preserve">รัฐพงษ์ </t>
  </si>
  <si>
    <t>กรเวช</t>
  </si>
  <si>
    <t>ทัศน์พล</t>
  </si>
  <si>
    <t>ผลประเสริฐ</t>
  </si>
  <si>
    <t>เอื้ออังกูร</t>
  </si>
  <si>
    <t>จุลลวาทีเลิศ</t>
  </si>
  <si>
    <t>ณัชฐานิต</t>
  </si>
  <si>
    <t>อภัยรุณ</t>
  </si>
  <si>
    <t>ชิษณุพงศ์</t>
  </si>
  <si>
    <t>เทียนสรรค์</t>
  </si>
  <si>
    <t>นายณภัทร</t>
  </si>
  <si>
    <t>หลากสุขถม</t>
  </si>
  <si>
    <t>อัญชิสา</t>
  </si>
  <si>
    <t>ไพนุจิตต์</t>
  </si>
  <si>
    <t>วิราวรรณ</t>
  </si>
  <si>
    <t>บัวระพา</t>
  </si>
  <si>
    <t>พิชะญาษน์</t>
  </si>
  <si>
    <t>ไชยวิเศษ</t>
  </si>
  <si>
    <t>รุจิรตันติ</t>
  </si>
  <si>
    <t>รุจิรตันติอังกูร</t>
  </si>
  <si>
    <t>สายฟ้า</t>
  </si>
  <si>
    <t>กิตตินันท์</t>
  </si>
  <si>
    <t>ไฉนวงศ์</t>
  </si>
  <si>
    <t>ขรินทร์ทิพย์</t>
  </si>
  <si>
    <t>อรัญมาลา</t>
  </si>
  <si>
    <t>ปภังกร</t>
  </si>
  <si>
    <t>รอดศัตรู</t>
  </si>
  <si>
    <t>ปัญญากร</t>
  </si>
  <si>
    <t>เบญจเตชะ</t>
  </si>
  <si>
    <t>ราชพล</t>
  </si>
  <si>
    <t>ชินชนะ</t>
  </si>
  <si>
    <t>เชิญขวัญ</t>
  </si>
  <si>
    <t>คงปาน</t>
  </si>
  <si>
    <t>ต้น ee</t>
  </si>
  <si>
    <t>ตั้ด ee</t>
  </si>
  <si>
    <t>ภานุวัฒน์</t>
  </si>
  <si>
    <t>พรมงคลสุข</t>
  </si>
  <si>
    <t>พอใจ pe</t>
  </si>
  <si>
    <t>เจ mce</t>
  </si>
  <si>
    <t>ณัฐพล</t>
  </si>
  <si>
    <t>ยศสุวรรณ์</t>
  </si>
  <si>
    <t>หมูหยอง mce</t>
  </si>
  <si>
    <t>ตั้ดee เล่นเกมด้วยกัน</t>
  </si>
  <si>
    <t>ไตรพิจารณ์</t>
  </si>
  <si>
    <t>พี่ระเบียง พี่ปอน พี่ต้น</t>
  </si>
  <si>
    <t>พี่ระเบียง เล่นเกม</t>
  </si>
  <si>
    <t>ไวภพ</t>
  </si>
  <si>
    <t>กวีดำรงพัฒนา</t>
  </si>
  <si>
    <t>ภู่พลับ</t>
  </si>
  <si>
    <t>พรพิมล</t>
  </si>
  <si>
    <t>ประทุมชาติภักดี</t>
  </si>
  <si>
    <t>นพรุจ</t>
  </si>
  <si>
    <t>ปลื้มใจ</t>
  </si>
  <si>
    <t>เยาว์วิวัฒน์</t>
  </si>
  <si>
    <t xml:space="preserve">ธนกฤต </t>
  </si>
  <si>
    <t>วิงวร</t>
  </si>
  <si>
    <t>ธมนพัชร์</t>
  </si>
  <si>
    <t>แดงสุภา</t>
  </si>
  <si>
    <t>หนูเพ็ง</t>
  </si>
  <si>
    <t>ชอช้าง</t>
  </si>
  <si>
    <t>อรุณวรรธนะ</t>
  </si>
  <si>
    <t>ชินธันย์</t>
  </si>
  <si>
    <t>ภาคกายธีรโรจน์</t>
  </si>
  <si>
    <t>คฑาทิพ</t>
  </si>
  <si>
    <t>แก้วมณี</t>
  </si>
  <si>
    <t>จิราพร</t>
  </si>
  <si>
    <t>นิลเกตุแก้ว</t>
  </si>
  <si>
    <t>พลพัฒน์</t>
  </si>
  <si>
    <t>พันธุพาณิชย์</t>
  </si>
  <si>
    <t>ปวริศ</t>
  </si>
  <si>
    <t>ลำเนาตระกูล</t>
  </si>
  <si>
    <t>สิรดนัย</t>
  </si>
  <si>
    <t>ป้อมนิล</t>
  </si>
  <si>
    <t>อนันญา</t>
  </si>
  <si>
    <t>พรหมมงคล</t>
  </si>
  <si>
    <t>สุชานาถ</t>
  </si>
  <si>
    <t>เรืองกัณฑ์</t>
  </si>
  <si>
    <t>เลิศพิพัฒน์</t>
  </si>
  <si>
    <t>จันทร์วานิช</t>
  </si>
  <si>
    <t>บัวทั่ง</t>
  </si>
  <si>
    <t>ธารเอี่ยม</t>
  </si>
  <si>
    <t>ปัณนัชนันท์</t>
  </si>
  <si>
    <t>รัตตมณี</t>
  </si>
  <si>
    <t>ศรีขาวรส</t>
  </si>
  <si>
    <t>ชลชญา</t>
  </si>
  <si>
    <t>สินใช้</t>
  </si>
  <si>
    <t>นัส เครื่องกล</t>
  </si>
  <si>
    <t>ชลชาติ</t>
  </si>
  <si>
    <t>เซเว่น เครื่องกล</t>
  </si>
  <si>
    <t>อินทะขีณี</t>
  </si>
  <si>
    <t>โอม เครื่องกล</t>
  </si>
  <si>
    <t>ฟิล์ม อุตสาหการ</t>
  </si>
  <si>
    <t xml:space="preserve">จิรายุ </t>
  </si>
  <si>
    <t>ภูผาผุด</t>
  </si>
  <si>
    <t>เเมก เครื่องกล</t>
  </si>
  <si>
    <t>พริษฐ์</t>
  </si>
  <si>
    <t>โอม จากกิจกรรมรับน้อง</t>
  </si>
  <si>
    <t>เอี่ยมสอาด</t>
  </si>
  <si>
    <t>พี่ปอนด์ เครื่องกล , พี่โจนัท เครื่องกล ,พี่อาร์ต เครื่องกล</t>
  </si>
  <si>
    <t>พี่อาร์ต มาเล่นมุก</t>
  </si>
  <si>
    <t xml:space="preserve">จิรัชญา </t>
  </si>
  <si>
    <t>พรมมา</t>
  </si>
  <si>
    <t>พชรมงคล</t>
  </si>
  <si>
    <t>ทองปลิว</t>
  </si>
  <si>
    <t>วุฒิธนานันท์</t>
  </si>
  <si>
    <t>วรวรรธน์</t>
  </si>
  <si>
    <t>คุ้มหมู่</t>
  </si>
  <si>
    <t>พสิษฐ์</t>
  </si>
  <si>
    <t>กิตติวัฒนานันท์</t>
  </si>
  <si>
    <t>หัฎฐกร</t>
  </si>
  <si>
    <t>อมิตรพ่าย</t>
  </si>
  <si>
    <t>เหมันต์</t>
  </si>
  <si>
    <t>วัดตรง</t>
  </si>
  <si>
    <t>ณัฐวุฒิ</t>
  </si>
  <si>
    <t>เชื้อกุล</t>
  </si>
  <si>
    <t>ชยานนท์</t>
  </si>
  <si>
    <t>สลีแดง</t>
  </si>
  <si>
    <t>ไอดิน</t>
  </si>
  <si>
    <t>ศรีสะอาด</t>
  </si>
  <si>
    <t>ปพนวัฒน์</t>
  </si>
  <si>
    <t>อภิรักษ์อุปถัมภ์</t>
  </si>
  <si>
    <t>ยศวีร์</t>
  </si>
  <si>
    <t>เวชสถล</t>
  </si>
  <si>
    <t>นายกฤติอังกูร</t>
  </si>
  <si>
    <t>แก่นจันทร์</t>
  </si>
  <si>
    <t>ปิยะภัสร์</t>
  </si>
  <si>
    <t>ศักดาศรี</t>
  </si>
  <si>
    <t>สิรภพ</t>
  </si>
  <si>
    <t>วัชรภักดิ์</t>
  </si>
  <si>
    <t>เกจิชนะ</t>
  </si>
  <si>
    <t>จิระวงศ์ไพศาล</t>
  </si>
  <si>
    <t>ณภัทร</t>
  </si>
  <si>
    <t>แสงเพ็ชร์</t>
  </si>
  <si>
    <t xml:space="preserve">ปัณณพร </t>
  </si>
  <si>
    <t>ประจวบสุข</t>
  </si>
  <si>
    <t>อัญญา</t>
  </si>
  <si>
    <t>เนตร์เมือง</t>
  </si>
  <si>
    <t>ศรายุทธ</t>
  </si>
  <si>
    <t>ปานสุวรรณ</t>
  </si>
  <si>
    <t>ส่งรอด</t>
  </si>
  <si>
    <t xml:space="preserve">เอกภาวี </t>
  </si>
  <si>
    <t>ผากำเนิด</t>
  </si>
  <si>
    <t>ตฤณภัท</t>
  </si>
  <si>
    <t>ม่อน (ไฟฟ้า)</t>
  </si>
  <si>
    <t>ขันธวิธี</t>
  </si>
  <si>
    <t>ไทเกอร์ (อัตโนมัติ)</t>
  </si>
  <si>
    <t>ไม่มี</t>
  </si>
  <si>
    <t>พิเชฐพงศ์</t>
  </si>
  <si>
    <t>วงษ์เสงี่ยม</t>
  </si>
  <si>
    <t>มณีฉาย</t>
  </si>
  <si>
    <t>ม่อน-ฐานปาบอล_____</t>
  </si>
  <si>
    <t>ไม่มี____________</t>
  </si>
  <si>
    <t xml:space="preserve">ณัฐกฤตา </t>
  </si>
  <si>
    <t>สอนดา</t>
  </si>
  <si>
    <t>ณัฐพัฒน์</t>
  </si>
  <si>
    <t>เอกจิตร</t>
  </si>
  <si>
    <t>20 ชั่วโมง</t>
  </si>
  <si>
    <t>มงคล</t>
  </si>
  <si>
    <t>เพ็ชรดำ</t>
  </si>
  <si>
    <t>รังษี</t>
  </si>
  <si>
    <t>สุทธิสาร</t>
  </si>
  <si>
    <t>บุญเลิศ</t>
  </si>
  <si>
    <t>พศิน</t>
  </si>
  <si>
    <t>หล่อพงศ์ไพบูลย์</t>
  </si>
  <si>
    <t>กันตวัฒน์</t>
  </si>
  <si>
    <t>กิ่งมณี</t>
  </si>
  <si>
    <t>ธนปวิชญ์</t>
  </si>
  <si>
    <t>บุญเกิด</t>
  </si>
  <si>
    <t>กิตติยา</t>
  </si>
  <si>
    <t>เทียนแจ่ม</t>
  </si>
  <si>
    <t>ภัทรธิดา</t>
  </si>
  <si>
    <t>ศรีสุข</t>
  </si>
  <si>
    <t>ณัฐนพิน</t>
  </si>
  <si>
    <t>เกตุมงคลสิทธิ์</t>
  </si>
  <si>
    <t>ธนวินท์</t>
  </si>
  <si>
    <t>มานะชัยมงคล</t>
  </si>
  <si>
    <t>มณัสวินทร์</t>
  </si>
  <si>
    <t>อุสะทโก</t>
  </si>
  <si>
    <t>ณัฐชานันท์</t>
  </si>
  <si>
    <t>กนกวารีรัตน์</t>
  </si>
  <si>
    <t>ณัฐรัมภา</t>
  </si>
  <si>
    <t>อยู่แก้ว</t>
  </si>
  <si>
    <t>ธนบดี</t>
  </si>
  <si>
    <t>สอนสมนึก</t>
  </si>
  <si>
    <t xml:space="preserve">ภาวัช </t>
  </si>
  <si>
    <t xml:space="preserve"> คีตกานท์</t>
  </si>
  <si>
    <t>ธิติ</t>
  </si>
  <si>
    <t>ไพบูลย์</t>
  </si>
  <si>
    <t>ภูดิส</t>
  </si>
  <si>
    <t>เรียบชัย</t>
  </si>
  <si>
    <t>ภูเบศ</t>
  </si>
  <si>
    <t>ไก่แก้ว</t>
  </si>
  <si>
    <t>วิมลทิพย์</t>
  </si>
  <si>
    <t>ฉิมงาม</t>
  </si>
  <si>
    <t>วีโก้ ENE</t>
  </si>
  <si>
    <t>บุ๊ค ene</t>
  </si>
  <si>
    <t>กวินธิดา</t>
  </si>
  <si>
    <t>เอ็ม ene</t>
  </si>
  <si>
    <t>จันทร์เทียน</t>
  </si>
  <si>
    <t>โบนัส ene</t>
  </si>
  <si>
    <t>เพื่อน ene</t>
  </si>
  <si>
    <t xml:space="preserve">ถิรวัฒน์ </t>
  </si>
  <si>
    <t>ณ ลำพูน</t>
  </si>
  <si>
    <t>วีโก้ เล่นเกมด้วยกัน</t>
  </si>
  <si>
    <t>ชีวาพร</t>
  </si>
  <si>
    <t>ทัช ene ต้นนํ้า ene ข้าวene</t>
  </si>
  <si>
    <t>สวนมะลิ</t>
  </si>
  <si>
    <t>พี่ทัช น่ารักมากๆ</t>
  </si>
  <si>
    <t xml:space="preserve">พิลาศลักษณ์ </t>
  </si>
  <si>
    <t xml:space="preserve">พรคงธวัช </t>
  </si>
  <si>
    <t>ปาลิตา</t>
  </si>
  <si>
    <t>จันทะวงค์</t>
  </si>
  <si>
    <t>สิทธิพงศ์</t>
  </si>
  <si>
    <t>ไม่เข้าร่วมกิจกรรม</t>
  </si>
  <si>
    <t>ณัฐนิชา</t>
  </si>
  <si>
    <t>คงสัง</t>
  </si>
  <si>
    <t>นันทพัทธ์</t>
  </si>
  <si>
    <t>ประมวลศักสกุล</t>
  </si>
  <si>
    <t>อาคารวิศววัฒนะ</t>
  </si>
  <si>
    <t>ICE Student Lounge</t>
  </si>
  <si>
    <t>นิยมวรรณ</t>
  </si>
  <si>
    <t>สำนักหอสมุด</t>
  </si>
  <si>
    <t>กิตติภณ</t>
  </si>
  <si>
    <t>ม่วงสอน</t>
  </si>
  <si>
    <t>วนัส</t>
  </si>
  <si>
    <t>รอดสวัสดิ์</t>
  </si>
  <si>
    <t>ภัทรดนัย</t>
  </si>
  <si>
    <t>เลขะพจน์</t>
  </si>
  <si>
    <t>ธนณัฏฐ์</t>
  </si>
  <si>
    <t>กาฬสินธ์มงคล</t>
  </si>
  <si>
    <t>รื่นรวย</t>
  </si>
  <si>
    <t>ชวนากร</t>
  </si>
  <si>
    <t>ทิพย์จำนงค์</t>
  </si>
  <si>
    <t>ภูรินทร์</t>
  </si>
  <si>
    <t>จาตุรันต์นพคุณ</t>
  </si>
  <si>
    <t>ธนพัฒ</t>
  </si>
  <si>
    <t>กิจธาดาวรกุล</t>
  </si>
  <si>
    <t>ชินณภัทร</t>
  </si>
  <si>
    <t>นันทจุติ</t>
  </si>
  <si>
    <t xml:space="preserve">จุฑามาศ </t>
  </si>
  <si>
    <t>พิศพรรณ์</t>
  </si>
  <si>
    <t>วิบูลย์ธรรม</t>
  </si>
  <si>
    <t>ทวีคงศักดิ์สกุล</t>
  </si>
  <si>
    <t xml:space="preserve">สุภัสสรา </t>
  </si>
  <si>
    <t>ปิยกรณ์</t>
  </si>
  <si>
    <t>มิ่งบวรมงคล</t>
  </si>
  <si>
    <t xml:space="preserve">ชวิศา </t>
  </si>
  <si>
    <t>สุดแสง</t>
  </si>
  <si>
    <t>วีรชาญ</t>
  </si>
  <si>
    <t>เพลินเครื่องกล</t>
  </si>
  <si>
    <t>ศรีสว่าง</t>
  </si>
  <si>
    <t>โยโย่เครื่องกล</t>
  </si>
  <si>
    <t>เกดเครื่อง</t>
  </si>
  <si>
    <t>สิทธิพร</t>
  </si>
  <si>
    <t>จันทร์เทพา</t>
  </si>
  <si>
    <t>แพมเครื่อง</t>
  </si>
  <si>
    <t>ลืมชื่อ เครื่อง</t>
  </si>
  <si>
    <t>นิจฉรา</t>
  </si>
  <si>
    <t>พันธ์รังษี</t>
  </si>
  <si>
    <t>รุตัดผ่านออรไลน้าา</t>
  </si>
  <si>
    <t>ไม่มี จำไมาได้เบย</t>
  </si>
  <si>
    <t>ชลิตตาณ</t>
  </si>
  <si>
    <t>จันทรสวัสดิ์</t>
  </si>
  <si>
    <t>จำชื่อพี่ไม่ำด้สักคน</t>
  </si>
  <si>
    <t>ปกป้อง</t>
  </si>
  <si>
    <t>ทองชิว</t>
  </si>
  <si>
    <t>มนัญญา</t>
  </si>
  <si>
    <t>หมื่นจงใจดี</t>
  </si>
  <si>
    <t>ฐิติพัชร</t>
  </si>
  <si>
    <t>ศรีอินทร์จันทร์</t>
  </si>
  <si>
    <t>ธัชชัย</t>
  </si>
  <si>
    <t>จิรโรจน์</t>
  </si>
  <si>
    <t xml:space="preserve">พีรภาส </t>
  </si>
  <si>
    <t>แสวงสุข</t>
  </si>
  <si>
    <t>จ. ถูกทั้งข้อ ข. และ ค.</t>
  </si>
  <si>
    <t>ชลลดา</t>
  </si>
  <si>
    <t>กันพินัย</t>
  </si>
  <si>
    <t>กิตติญา</t>
  </si>
  <si>
    <t>เกษรดอกไม้</t>
  </si>
  <si>
    <t>ทองนพคุณ</t>
  </si>
  <si>
    <t>คำมูล</t>
  </si>
  <si>
    <t>สุชาครีย์</t>
  </si>
  <si>
    <t>พรอภิรักษ์</t>
  </si>
  <si>
    <t>จุลจักร</t>
  </si>
  <si>
    <t>ลือสุวรรณกิจ</t>
  </si>
  <si>
    <t>สิริญากาญจน์</t>
  </si>
  <si>
    <t>ว่องวิไลรัตน์</t>
  </si>
  <si>
    <t>วาทิน</t>
  </si>
  <si>
    <t>พรบุญราศี</t>
  </si>
  <si>
    <t>คะนอง</t>
  </si>
  <si>
    <t>คนทันทส์</t>
  </si>
  <si>
    <t>ปัญญา</t>
  </si>
  <si>
    <t>วาศรัตน์</t>
  </si>
  <si>
    <t>กัลยา</t>
  </si>
  <si>
    <t>เวียงคำ</t>
  </si>
  <si>
    <t>บุญฤทธิ์</t>
  </si>
  <si>
    <t>บุญหรอ</t>
  </si>
  <si>
    <t>ลภน</t>
  </si>
  <si>
    <t>โกไศยกานนท์</t>
  </si>
  <si>
    <t>ตุลดา</t>
  </si>
  <si>
    <t>ทองยัง</t>
  </si>
  <si>
    <t>ชลพรรษ์</t>
  </si>
  <si>
    <t>รัตนผกา</t>
  </si>
  <si>
    <t>ปาณัท</t>
  </si>
  <si>
    <t>พกุลานนท์</t>
  </si>
  <si>
    <t>พิมภาคไฟฟ้า</t>
  </si>
  <si>
    <t>ธนัฎฐ์</t>
  </si>
  <si>
    <t>ทองศรี</t>
  </si>
  <si>
    <t>อั้ยภาคไฟฟ้า</t>
  </si>
  <si>
    <t>อายภาคไฟฟ้า</t>
  </si>
  <si>
    <t xml:space="preserve"> นัยริยธรรม</t>
  </si>
  <si>
    <t>จันทร์สีดา</t>
  </si>
  <si>
    <t>สปายภาคไฟฟ้า</t>
  </si>
  <si>
    <t>เอมี่ภาคไฟฟ้า</t>
  </si>
  <si>
    <t>กลิ่นเรือง</t>
  </si>
  <si>
    <t>พิมรู้จักกันวันแรกที่เข้ากิจกรรม</t>
  </si>
  <si>
    <t>เสาวณี</t>
  </si>
  <si>
    <t>พี่ไผ่หลิวภาคไฟฟ้า พี่บีมภาคไฟฟ้า พี่แฮมภาคไฟฟ้า</t>
  </si>
  <si>
    <t>พรมดี</t>
  </si>
  <si>
    <t>พี่ไผ่หลิวรู้จักวันแรกที่เข้าร่วมกิจกรรม</t>
  </si>
  <si>
    <t>กิตติภัทร</t>
  </si>
  <si>
    <t>คำมณี</t>
  </si>
  <si>
    <t>สรเทพ</t>
  </si>
  <si>
    <t>ทรัพย์ประกอบ</t>
  </si>
  <si>
    <t>บรมสุข</t>
  </si>
  <si>
    <t>โฬม</t>
  </si>
  <si>
    <t>ดุษฎีคงมงคล</t>
  </si>
  <si>
    <t>แต่งกายไม่ถูกระเบียบ</t>
  </si>
  <si>
    <t>ปุญญิศา</t>
  </si>
  <si>
    <t>ชูเจริญ</t>
  </si>
  <si>
    <t>อาคารวิศววัฒนะ ชั้น 5</t>
  </si>
  <si>
    <t>แดงประวัติ</t>
  </si>
  <si>
    <t>โรงฝึกพละศึกษา</t>
  </si>
  <si>
    <t>เกิดณรงค์</t>
  </si>
  <si>
    <t>HCU</t>
  </si>
  <si>
    <t xml:space="preserve">พลกฤต </t>
  </si>
  <si>
    <t>อภัยจิตต์</t>
  </si>
  <si>
    <t>จิรัศยา</t>
  </si>
  <si>
    <t>เนตรอรุณ</t>
  </si>
  <si>
    <t>กานติพัทธ์</t>
  </si>
  <si>
    <t>จันทร์แก้ว</t>
  </si>
  <si>
    <t>ศรีดารุณศิลป์</t>
  </si>
  <si>
    <t>วีระภัทร</t>
  </si>
  <si>
    <t>เขียวคำรพ</t>
  </si>
  <si>
    <t>ณพร</t>
  </si>
  <si>
    <t>จิตราภัณฑ์</t>
  </si>
  <si>
    <t>วุฒิชัย</t>
  </si>
  <si>
    <t>ชื่นตา</t>
  </si>
  <si>
    <t xml:space="preserve">สุรสิทธิ์ </t>
  </si>
  <si>
    <t>อินทร์ขำ</t>
  </si>
  <si>
    <t>ติยะสุวรรณ</t>
  </si>
  <si>
    <t>หอมชนก</t>
  </si>
  <si>
    <t>สิทธิคง</t>
  </si>
  <si>
    <t>อาทิตย์</t>
  </si>
  <si>
    <t>ชัยบุญญลักษณ์</t>
  </si>
  <si>
    <t>ราเชล</t>
  </si>
  <si>
    <t>เอรูเร</t>
  </si>
  <si>
    <t>ชนกนันท์</t>
  </si>
  <si>
    <t>น้อยจันทร์</t>
  </si>
  <si>
    <t>หยกศิลา</t>
  </si>
  <si>
    <t>จำปาเงิน</t>
  </si>
  <si>
    <t xml:space="preserve">ณฐกร </t>
  </si>
  <si>
    <t>บุญโชติรัตน์</t>
  </si>
  <si>
    <t>พรสุดา</t>
  </si>
  <si>
    <t>ศรีสุวรรณพร</t>
  </si>
  <si>
    <t>ชยากร</t>
  </si>
  <si>
    <t>งามขำ</t>
  </si>
  <si>
    <t>มณฑิตา</t>
  </si>
  <si>
    <t>ฉ่ำไกร</t>
  </si>
  <si>
    <t>ภู PE</t>
  </si>
  <si>
    <t>พงศกร</t>
  </si>
  <si>
    <t>ทองประไพ</t>
  </si>
  <si>
    <t>อิม ME</t>
  </si>
  <si>
    <t>ช้างต้น ENV</t>
  </si>
  <si>
    <t>วิชญ์พล</t>
  </si>
  <si>
    <t>เฉลิมรัตนาพร</t>
  </si>
  <si>
    <t>เตเต้ PE</t>
  </si>
  <si>
    <t>ต้นกล้า PE</t>
  </si>
  <si>
    <t>นันทิพัฒน์</t>
  </si>
  <si>
    <t>ธี PE</t>
  </si>
  <si>
    <t>ฉิมเรือง</t>
  </si>
  <si>
    <t>เตเต้ รู้จักจากนาฬิกา</t>
  </si>
  <si>
    <t>ผมไม่ยังค่อยรุ้จักรุ่นพี่เรย</t>
  </si>
  <si>
    <t>ธารณ์</t>
  </si>
  <si>
    <t>ตริ่งวัน</t>
  </si>
  <si>
    <t>พี่ภูมิ ME จากฐานนาฬิกา พี่เขาช่วยเพื่อนผมที่ขาเป๋</t>
  </si>
  <si>
    <t>ลักษมิกร</t>
  </si>
  <si>
    <t>ผาแก้ว</t>
  </si>
  <si>
    <t>อัครวินท์</t>
  </si>
  <si>
    <t>ปานประดิษฐ์</t>
  </si>
  <si>
    <t xml:space="preserve"> วริศรา</t>
  </si>
  <si>
    <t>บวรวัชรกุล</t>
  </si>
  <si>
    <t>ธารา</t>
  </si>
  <si>
    <t>เกียรติบรรลือ</t>
  </si>
  <si>
    <t xml:space="preserve">ลลิตา  </t>
  </si>
  <si>
    <t>เกียรติอริยะ</t>
  </si>
  <si>
    <t>กรชนก</t>
  </si>
  <si>
    <t>แย้มงามเหลือ</t>
  </si>
  <si>
    <t>โชคอนันต์</t>
  </si>
  <si>
    <t>ซอนรัมย์</t>
  </si>
  <si>
    <t>กัญญาภัค</t>
  </si>
  <si>
    <t>อัศวสรการ</t>
  </si>
  <si>
    <t>ชลกฤษ</t>
  </si>
  <si>
    <t>หนูตอ</t>
  </si>
  <si>
    <t>กรกาญจน์</t>
  </si>
  <si>
    <t>แนมจันทร์</t>
  </si>
  <si>
    <t>สุขเจริญธนานนท์</t>
  </si>
  <si>
    <t>ชิชญา</t>
  </si>
  <si>
    <t>ซ่อนกลิ่น</t>
  </si>
  <si>
    <t xml:space="preserve">ณัชพล </t>
  </si>
  <si>
    <t>สุขพล</t>
  </si>
  <si>
    <t>นัทธ์วรินทร์</t>
  </si>
  <si>
    <t>มั่นศิลป์</t>
  </si>
  <si>
    <t>บุณยาภา</t>
  </si>
  <si>
    <t>แจ่มจรัส</t>
  </si>
  <si>
    <t>ฉุ้นประดับ</t>
  </si>
  <si>
    <t>ศรัณย์</t>
  </si>
  <si>
    <t>พินิจธรรม</t>
  </si>
  <si>
    <t>พรพรรณ</t>
  </si>
  <si>
    <t>พรมเดช</t>
  </si>
  <si>
    <t>พิชญาสินี</t>
  </si>
  <si>
    <t>เลิศสินเกรียงไกร</t>
  </si>
  <si>
    <t>ศุภรัศมิ์</t>
  </si>
  <si>
    <t>เกลียวจยกูล</t>
  </si>
  <si>
    <t>เจเเปน ไฟฟ้า</t>
  </si>
  <si>
    <t xml:space="preserve">อัครเดช </t>
  </si>
  <si>
    <t>ผลไชย</t>
  </si>
  <si>
    <t>กามิล ไฟฟ้า</t>
  </si>
  <si>
    <t>อวิลชัย</t>
  </si>
  <si>
    <t>พรมจุ้ยพะเนา</t>
  </si>
  <si>
    <t>อานัส อัตโนมัติ</t>
  </si>
  <si>
    <t>จีน อัตโนมัติ</t>
  </si>
  <si>
    <t>ธนธร</t>
  </si>
  <si>
    <t>เจเเปน ไฟฟ้า ชวนคุยเล่นเกม</t>
  </si>
  <si>
    <t>อติศัพท์</t>
  </si>
  <si>
    <t>พี่บีม ไฟฟ้า พี่หลิว ไฟฟ้า พี่โบนัส เคมี</t>
  </si>
  <si>
    <t>พี่โบนัส เคมี พี่พาเดินทัวร์มอ</t>
  </si>
  <si>
    <t>ณัฐกรณ์</t>
  </si>
  <si>
    <t>คงทองฉิม</t>
  </si>
  <si>
    <t>ณัฐวัฒน์</t>
  </si>
  <si>
    <t>ยอดขำ</t>
  </si>
  <si>
    <t xml:space="preserve">รุ้งตะวัน </t>
  </si>
  <si>
    <t>กราบกราน</t>
  </si>
  <si>
    <t>มนัสชนก</t>
  </si>
  <si>
    <t>อาจละออ</t>
  </si>
  <si>
    <t>รัญชนา</t>
  </si>
  <si>
    <t>ขัตติยะ</t>
  </si>
  <si>
    <t>ณัฐจิรา</t>
  </si>
  <si>
    <t>แสงโชติ</t>
  </si>
  <si>
    <t>ใจหลัก</t>
  </si>
  <si>
    <t>กฤชณัท</t>
  </si>
  <si>
    <t xml:space="preserve"> จันทร์อนุวงศ์</t>
  </si>
  <si>
    <t>ชนานนท์</t>
  </si>
  <si>
    <t>นาคสมบูรณ์ชัย</t>
  </si>
  <si>
    <t>ชนาภา</t>
  </si>
  <si>
    <t>บุหรี่ทอง</t>
  </si>
  <si>
    <t>กษิดิศ</t>
  </si>
  <si>
    <t>ชาวชุมนุม</t>
  </si>
  <si>
    <t>ธนัญชนก</t>
  </si>
  <si>
    <t>ฉลอม</t>
  </si>
  <si>
    <t>กฤตกร</t>
  </si>
  <si>
    <t>พรเดชวงศ์</t>
  </si>
  <si>
    <t>สิริกร</t>
  </si>
  <si>
    <t>ลูกอินทร์</t>
  </si>
  <si>
    <t xml:space="preserve">ภัทราพร </t>
  </si>
  <si>
    <t>กาศรัมย์</t>
  </si>
  <si>
    <t xml:space="preserve">พอเพียง </t>
  </si>
  <si>
    <t>เล็กคำ</t>
  </si>
  <si>
    <t>ภาสวิชญ์</t>
  </si>
  <si>
    <t>โยธาแข็ง</t>
  </si>
  <si>
    <t>สิรภัทร</t>
  </si>
  <si>
    <t>โอยาโดมาริ</t>
  </si>
  <si>
    <t>ธนากร</t>
  </si>
  <si>
    <t>โมรานิล</t>
  </si>
  <si>
    <t>กัญจนพร</t>
  </si>
  <si>
    <t>ดับสันเทียะ</t>
  </si>
  <si>
    <t>พีรภาส</t>
  </si>
  <si>
    <t>จันทร์แดง</t>
  </si>
  <si>
    <t>ภาควิชาวิศวกรรมคอมพิวเตอร์ (Computer Engineering)</t>
  </si>
  <si>
    <t>กีรติเกียรติ</t>
  </si>
  <si>
    <t>เป้ cpe</t>
  </si>
  <si>
    <t>ธนวัฒน์​</t>
  </si>
  <si>
    <t xml:space="preserve">ตัน cpe </t>
  </si>
  <si>
    <t>ตันทสุข</t>
  </si>
  <si>
    <t>เมเม cpe</t>
  </si>
  <si>
    <t>โชติ cpe</t>
  </si>
  <si>
    <t>แก้วกระจ่าง</t>
  </si>
  <si>
    <t>ปาย cpe</t>
  </si>
  <si>
    <t>ภูรินท์</t>
  </si>
  <si>
    <t>ตัน รู้จักตอนท่องบทกินข้าวรด.</t>
  </si>
  <si>
    <t>อินทุภูติ</t>
  </si>
  <si>
    <t>พี่ฟลุค พี่หนม พี่เกีย</t>
  </si>
  <si>
    <t>อนวัช</t>
  </si>
  <si>
    <t>พี่ฟลุค พัดลมให้</t>
  </si>
  <si>
    <t>มั่งนิมิตร</t>
  </si>
  <si>
    <t>วัชรากร</t>
  </si>
  <si>
    <t>นำพา</t>
  </si>
  <si>
    <t xml:space="preserve">ปทิตตา </t>
  </si>
  <si>
    <t>วัยเจริญ</t>
  </si>
  <si>
    <t>บุริศร์</t>
  </si>
  <si>
    <t>นครเรียบ</t>
  </si>
  <si>
    <t>จิราภรณ์</t>
  </si>
  <si>
    <t>พิมพ์ทอง</t>
  </si>
  <si>
    <t>จ่งหยู่น</t>
  </si>
  <si>
    <t>โล่ย</t>
  </si>
  <si>
    <t>วงศกร</t>
  </si>
  <si>
    <t>สายจันทร์</t>
  </si>
  <si>
    <t>บัญชร</t>
  </si>
  <si>
    <t>บุญศรัทธากุล</t>
  </si>
  <si>
    <t>ทัชชน</t>
  </si>
  <si>
    <t>สร้อยพรรณา</t>
  </si>
  <si>
    <t>แพรวา</t>
  </si>
  <si>
    <t>วงศ์กระจ่าง</t>
  </si>
  <si>
    <t>ธันยพร</t>
  </si>
  <si>
    <t>นาชัยลอง</t>
  </si>
  <si>
    <t>พิมพ์พิเศษ</t>
  </si>
  <si>
    <t>ทิมเทศ</t>
  </si>
  <si>
    <t>ปัญจพล</t>
  </si>
  <si>
    <t>โคตรชารี</t>
  </si>
  <si>
    <t>ชยานันต์</t>
  </si>
  <si>
    <t>พันธุ์เสือทอง</t>
  </si>
  <si>
    <t>ธนภูมิ</t>
  </si>
  <si>
    <t>ชุติไกรวัล</t>
  </si>
  <si>
    <t>ญาณี</t>
  </si>
  <si>
    <t>ศรีอุทัย</t>
  </si>
  <si>
    <t>ชินธวัช</t>
  </si>
  <si>
    <t>โมอุ่ม</t>
  </si>
  <si>
    <t xml:space="preserve">สุจิรา </t>
  </si>
  <si>
    <t>ว่องไว</t>
  </si>
  <si>
    <t>พันธุ์วิมลชัย</t>
  </si>
  <si>
    <t>พรรณราย</t>
  </si>
  <si>
    <t>เมืองศิริ</t>
  </si>
  <si>
    <t>สุกฤตา</t>
  </si>
  <si>
    <t>บุตรเสือ</t>
  </si>
  <si>
    <t>ภูสง่า</t>
  </si>
  <si>
    <t>ภคมล</t>
  </si>
  <si>
    <t>วรานุตระกูล</t>
  </si>
  <si>
    <t>อิคลาส ไฟฟ้า</t>
  </si>
  <si>
    <t>กัญจน์ชญา</t>
  </si>
  <si>
    <t>เตียนโพธิ์ทอง</t>
  </si>
  <si>
    <t>ปั๋ม ไฟฟ้า</t>
  </si>
  <si>
    <t>สไปร์ท ไฟฟ้า</t>
  </si>
  <si>
    <t>กาย ไฟฟ้า</t>
  </si>
  <si>
    <t>วรรณสุศรี</t>
  </si>
  <si>
    <t>ทอง ไฟฟ้า</t>
  </si>
  <si>
    <t>สุรยุทธ์</t>
  </si>
  <si>
    <t>ฟักอุดม</t>
  </si>
  <si>
    <t>สไปร์ท รู้จักจาก bee camp และก็มีโอกาสได้เล่นบาสด้วยกัน</t>
  </si>
  <si>
    <t>พี่บีม พี่กรุงเทพ พี่แฮม ไฟฟ้า</t>
  </si>
  <si>
    <t>ปรีชา</t>
  </si>
  <si>
    <t>พี่ควีน รู้จักจา bee camp เป็นรุ่นพี่โรงเรียนเก่า และก็ทำหน้าที่สวัสดิการดีมาก</t>
  </si>
  <si>
    <t>กอคุณ</t>
  </si>
  <si>
    <t xml:space="preserve">ภัทรวดี </t>
  </si>
  <si>
    <t>ชญาภา</t>
  </si>
  <si>
    <t>ประภาพันธ์</t>
  </si>
  <si>
    <t xml:space="preserve">กานต์พิชชา </t>
  </si>
  <si>
    <t>แสงศรี</t>
  </si>
  <si>
    <t>อนังคณกุล</t>
  </si>
  <si>
    <t xml:space="preserve">กรวิชญ์ </t>
  </si>
  <si>
    <t>เลี้ยงพรม</t>
  </si>
  <si>
    <t>ภูมิพัลลภ</t>
  </si>
  <si>
    <t>อบเชย</t>
  </si>
  <si>
    <t>อินทพงษ์</t>
  </si>
  <si>
    <t>พุฒิพงศ์</t>
  </si>
  <si>
    <t>ปิยะวาณิชย์สกุล</t>
  </si>
  <si>
    <t xml:space="preserve">ศุภฤกษ์ </t>
  </si>
  <si>
    <t>จันทรารังษี</t>
  </si>
  <si>
    <t>นภัศษร</t>
  </si>
  <si>
    <t>กะลำพัก</t>
  </si>
  <si>
    <t>วิลาสินี</t>
  </si>
  <si>
    <t>ภู่ทอง</t>
  </si>
  <si>
    <t>ชนกานต์</t>
  </si>
  <si>
    <t>ส้วยเกร็ด</t>
  </si>
  <si>
    <t>นันทิพร</t>
  </si>
  <si>
    <t>บัวคำ</t>
  </si>
  <si>
    <t xml:space="preserve">วันทิตา </t>
  </si>
  <si>
    <t>ธันยรัตน์</t>
  </si>
  <si>
    <t>บุญญาศิริรักษ์</t>
  </si>
  <si>
    <t>อัฑฒกร</t>
  </si>
  <si>
    <t>เที่ยงธรรม</t>
  </si>
  <si>
    <t xml:space="preserve">นิวาริน </t>
  </si>
  <si>
    <t>เงินสุวรรณ</t>
  </si>
  <si>
    <t>โนอาห์</t>
  </si>
  <si>
    <t>จำปาเค้า</t>
  </si>
  <si>
    <t>พีรวุฒิ</t>
  </si>
  <si>
    <t>ยอดมั่น</t>
  </si>
  <si>
    <t>ภูณภัทร</t>
  </si>
  <si>
    <t>จูฑา</t>
  </si>
  <si>
    <t>บุญแพง</t>
  </si>
  <si>
    <t xml:space="preserve">ศุภกร </t>
  </si>
  <si>
    <t>รามภักดี</t>
  </si>
  <si>
    <t>ธเนศ</t>
  </si>
  <si>
    <t>บุตรเงิน</t>
  </si>
  <si>
    <t>กอญ่า cpe</t>
  </si>
  <si>
    <t>ธรณินทร์</t>
  </si>
  <si>
    <t>อ่อนแก้ว</t>
  </si>
  <si>
    <t>กาย cpe</t>
  </si>
  <si>
    <t>เอม cpe</t>
  </si>
  <si>
    <t>ปาณัทพงษ์</t>
  </si>
  <si>
    <t>อินตะนัย</t>
  </si>
  <si>
    <t>นินิว cpe</t>
  </si>
  <si>
    <t>จีตง icpe</t>
  </si>
  <si>
    <t>วิริชข์พล</t>
  </si>
  <si>
    <t>อัศวธัญสกุล</t>
  </si>
  <si>
    <t xml:space="preserve">จีตง จากกิจกรรม pre Freshy </t>
  </si>
  <si>
    <t>พี่ธาม พี่ข้าวฟ่าง พี่ไอซ์ cpe</t>
  </si>
  <si>
    <t>พี่ข้าวฟ่าง พี่คุยสนุกมาก</t>
  </si>
  <si>
    <t>คงศักดิ์สกุล</t>
  </si>
  <si>
    <t>พรปวีณ์</t>
  </si>
  <si>
    <t>คำภิรมย์</t>
  </si>
  <si>
    <t>วรโชติ</t>
  </si>
  <si>
    <t>พันธ์สนิท</t>
  </si>
  <si>
    <t>มั่งสูงเนิน</t>
  </si>
  <si>
    <t>กฤตพัฒน์</t>
  </si>
  <si>
    <t>กระเชื่อมรัมย์</t>
  </si>
  <si>
    <t xml:space="preserve">สุวพิชญ์ </t>
  </si>
  <si>
    <t>โชคประสพรวย</t>
  </si>
  <si>
    <t>พีรัช</t>
  </si>
  <si>
    <t>สลามทร</t>
  </si>
  <si>
    <t>เพ็ญพิชชา</t>
  </si>
  <si>
    <t>เรืองทอง</t>
  </si>
  <si>
    <t xml:space="preserve">กิตติพงศ์ </t>
  </si>
  <si>
    <t>เชื้อหลง</t>
  </si>
  <si>
    <t>กนิษฐา</t>
  </si>
  <si>
    <t>ยางคำพะบุตร</t>
  </si>
  <si>
    <t>จิรภาส</t>
  </si>
  <si>
    <t>เสลานนท์</t>
  </si>
  <si>
    <t>กลิ่นเอี่ยม</t>
  </si>
  <si>
    <t>ปัณณธร</t>
  </si>
  <si>
    <t>มิยาตะ</t>
  </si>
  <si>
    <t>ศตพร</t>
  </si>
  <si>
    <t>สุพร</t>
  </si>
  <si>
    <t>วัชรพล</t>
  </si>
  <si>
    <t>เพชรกอง</t>
  </si>
  <si>
    <t>วิชญ์ศิลป์</t>
  </si>
  <si>
    <t>รัตนพรชัย</t>
  </si>
  <si>
    <t>โอมพัฒน์</t>
  </si>
  <si>
    <t>โวหเกียรติ</t>
  </si>
  <si>
    <t>ภัทรานิษฐ์</t>
  </si>
  <si>
    <t>มนทอง</t>
  </si>
  <si>
    <t>ปธานิน</t>
  </si>
  <si>
    <t>วันยาว</t>
  </si>
  <si>
    <t xml:space="preserve">ธีรัชปิยะนันท์ </t>
  </si>
  <si>
    <t>ฐิติโชติ</t>
  </si>
  <si>
    <t>สุภานิจ</t>
  </si>
  <si>
    <t>มนตกานต์</t>
  </si>
  <si>
    <t>แก้วอุ่น</t>
  </si>
  <si>
    <t>อิทธิศักดิ์</t>
  </si>
  <si>
    <t>คงจักร์</t>
  </si>
  <si>
    <t>ไอซ์ ee</t>
  </si>
  <si>
    <t>ม</t>
  </si>
  <si>
    <t>บอล ee</t>
  </si>
  <si>
    <t>สามะ</t>
  </si>
  <si>
    <t>น่อล ee</t>
  </si>
  <si>
    <t>วรรณ์จักร</t>
  </si>
  <si>
    <t>ปอ ee</t>
  </si>
  <si>
    <t>กลิ่นกุหลาบ</t>
  </si>
  <si>
    <t>อาย ee</t>
  </si>
  <si>
    <t xml:space="preserve">เมธิชัย </t>
  </si>
  <si>
    <t>สอนสะอาด</t>
  </si>
  <si>
    <t>ปาย ee</t>
  </si>
  <si>
    <t>พิม ee</t>
  </si>
  <si>
    <t>ณัฐมน</t>
  </si>
  <si>
    <t>ไอซ์ รู้จักอยุ่แล้ว</t>
  </si>
  <si>
    <t>วงษ์บุญธรรม</t>
  </si>
  <si>
    <t>พี่บีม พี่หลิว พี่ขุน ee</t>
  </si>
  <si>
    <t>พี่บีม ในค่ายbee camp</t>
  </si>
  <si>
    <t>กัญญาณัฐ</t>
  </si>
  <si>
    <t>เงินกลม</t>
  </si>
  <si>
    <t>ภูธิป</t>
  </si>
  <si>
    <t>ศรีเหลือง</t>
  </si>
  <si>
    <t>ภูวิศ</t>
  </si>
  <si>
    <t>คำแสน</t>
  </si>
  <si>
    <t xml:space="preserve">ร่มธรรม </t>
  </si>
  <si>
    <t>เดิมสลุง</t>
  </si>
  <si>
    <t>สาริศ</t>
  </si>
  <si>
    <t>ล่ามกระโทก</t>
  </si>
  <si>
    <t>อาคารเรียนและปฏิบัติการทางศิลปศาสตร์</t>
  </si>
  <si>
    <t>สหรัฐ</t>
  </si>
  <si>
    <t>สุทธิวงศ์</t>
  </si>
  <si>
    <t xml:space="preserve">ชนาธิป </t>
  </si>
  <si>
    <t>ตันนิกร</t>
  </si>
  <si>
    <t xml:space="preserve">ตฤณ </t>
  </si>
  <si>
    <t>อภัยกาวี</t>
  </si>
  <si>
    <t>เจตภาณุ</t>
  </si>
  <si>
    <t>มาตายะศรี</t>
  </si>
  <si>
    <t>รณกร</t>
  </si>
  <si>
    <t>หอมชื่น</t>
  </si>
  <si>
    <t>แก้ววงศ์วาน</t>
  </si>
  <si>
    <t>ไพศาล</t>
  </si>
  <si>
    <t>ฐิติชญา</t>
  </si>
  <si>
    <t>ไชบคงทอง</t>
  </si>
  <si>
    <t>พิมพ์อัปสร</t>
  </si>
  <si>
    <t>เวียงวิเศษ</t>
  </si>
  <si>
    <t>ณฐภัทร</t>
  </si>
  <si>
    <t>เต็งธนกิจ</t>
  </si>
  <si>
    <t>กิติพันธ์</t>
  </si>
  <si>
    <t>ลาสองชั้น</t>
  </si>
  <si>
    <t>ว่าชื่น</t>
  </si>
  <si>
    <t xml:space="preserve">หิรัณย์ </t>
  </si>
  <si>
    <t>จันทร์โต</t>
  </si>
  <si>
    <t>สิริกาญจน์</t>
  </si>
  <si>
    <t>เอกพงศ์พศิน</t>
  </si>
  <si>
    <t>เหลืองชัยศรี</t>
  </si>
  <si>
    <t>ณัทฤชา</t>
  </si>
  <si>
    <t>เลิศอาวุธ</t>
  </si>
  <si>
    <t xml:space="preserve">ณัชชา </t>
  </si>
  <si>
    <t>กล้วยไม้</t>
  </si>
  <si>
    <t>นัท ภาควิชาเครื่องกล</t>
  </si>
  <si>
    <t>ชุติมันต์</t>
  </si>
  <si>
    <t>คงสังข์</t>
  </si>
  <si>
    <t>ทาม ภาควิชาเครื่องกล</t>
  </si>
  <si>
    <t>มิกกี้ ภาควิชาเครื่องกล</t>
  </si>
  <si>
    <t>บีม ภาควิชาเครื่องกล</t>
  </si>
  <si>
    <t>เทพแก้ว</t>
  </si>
  <si>
    <t>ชินจัง ภาควิชาเครื่องกล</t>
  </si>
  <si>
    <t xml:space="preserve">ธีรนันท์ </t>
  </si>
  <si>
    <t>บุญญธนัง</t>
  </si>
  <si>
    <t>นัท รู้จักผ่านกลุ่ม</t>
  </si>
  <si>
    <t>ยังไม่รู้จักซักคนเลย</t>
  </si>
  <si>
    <t>ไม่รู้จักซักคนเลย</t>
  </si>
  <si>
    <t>ดำรงกิจพัฒนากร</t>
  </si>
  <si>
    <t>วีรภัทร</t>
  </si>
  <si>
    <t>ทองทิน</t>
  </si>
  <si>
    <t>วรกมล</t>
  </si>
  <si>
    <t>สวนพรหม</t>
  </si>
  <si>
    <t>กัญญารัตน์</t>
  </si>
  <si>
    <t>เนียมสิน</t>
  </si>
  <si>
    <t>หนูแก้ว</t>
  </si>
  <si>
    <t xml:space="preserve">กัญญาพร </t>
  </si>
  <si>
    <t>วังสกุล</t>
  </si>
  <si>
    <t>ศูนย์บริการนักศึกษา ชั้น 3 อาคารเรียนรวม 4</t>
  </si>
  <si>
    <t>ศรีทอง</t>
  </si>
  <si>
    <t>ข้าวใหม่</t>
  </si>
  <si>
    <t>ตรีวิเชียร</t>
  </si>
  <si>
    <t xml:space="preserve">ณัฏฐกันย์ </t>
  </si>
  <si>
    <t>แสนคำแพวรเดชา</t>
  </si>
  <si>
    <t>ธิติวุฒิ</t>
  </si>
  <si>
    <t>ดวงมาลัย</t>
  </si>
  <si>
    <t>ปราณี</t>
  </si>
  <si>
    <t>สียางนอก</t>
  </si>
  <si>
    <t>จิรภิญญา</t>
  </si>
  <si>
    <t>โสมรักษ์</t>
  </si>
  <si>
    <t>ไชยสิทธิ์</t>
  </si>
  <si>
    <t>วศิน</t>
  </si>
  <si>
    <t>จิตต์เเผ้ว</t>
  </si>
  <si>
    <t>จักรรินทร์</t>
  </si>
  <si>
    <t>มโนไพบูลย์</t>
  </si>
  <si>
    <t>วริทธิ์นันท์</t>
  </si>
  <si>
    <t>ธนะวงษ์</t>
  </si>
  <si>
    <t>ปัตลา</t>
  </si>
  <si>
    <t>ภูริต</t>
  </si>
  <si>
    <t>ศรีชมภู</t>
  </si>
  <si>
    <t>ธีรเดช</t>
  </si>
  <si>
    <t>บุญบำรุงชัย</t>
  </si>
  <si>
    <t xml:space="preserve">สิริพรชัย </t>
  </si>
  <si>
    <t>ฐิติจิรพัฒน์</t>
  </si>
  <si>
    <t>ศิวัชธนากุล</t>
  </si>
  <si>
    <t>เนปจูน CPE</t>
  </si>
  <si>
    <t>อรรถกรรณ</t>
  </si>
  <si>
    <t>จิตรธรรม</t>
  </si>
  <si>
    <t>ยีน เครื่องมือและวัสดุ</t>
  </si>
  <si>
    <t>นิว CPE</t>
  </si>
  <si>
    <t>พุ่มขจร</t>
  </si>
  <si>
    <t>พีช เครื่องกล</t>
  </si>
  <si>
    <t>สายป่าน CPE</t>
  </si>
  <si>
    <t xml:space="preserve">ภูดิท </t>
  </si>
  <si>
    <t>โฉมศรี</t>
  </si>
  <si>
    <t>ยีน รู้จักกันได้จากฐานแรก เล่นเกมแย่งกระดาษด้วยกัน</t>
  </si>
  <si>
    <t>ธัญญ่า ข้าวฟ่าง ไอซ์</t>
  </si>
  <si>
    <t>ณัชพล</t>
  </si>
  <si>
    <t>พี่ธัญญ่า รู้จักกันในฐานปสบอล พี่น่ารัก</t>
  </si>
  <si>
    <t>แซ่แต้</t>
  </si>
  <si>
    <t xml:space="preserve">อิทธิกร </t>
  </si>
  <si>
    <t>มัติโก</t>
  </si>
  <si>
    <t>แจ้งสว่าง</t>
  </si>
  <si>
    <t>สัตย์ฌุชนม์</t>
  </si>
  <si>
    <t>ปารณีย์</t>
  </si>
  <si>
    <t>มูลกองสี</t>
  </si>
  <si>
    <t>สุกใส</t>
  </si>
  <si>
    <t>วรพจ</t>
  </si>
  <si>
    <t>อินทสมมุติ</t>
  </si>
  <si>
    <t>วิศัลย์ศยา</t>
  </si>
  <si>
    <t>กานุมาร</t>
  </si>
  <si>
    <t>วรภัทร</t>
  </si>
  <si>
    <t>เฉยเฉลียง</t>
  </si>
  <si>
    <t>ศรีไวพจน์</t>
  </si>
  <si>
    <t>งามวงศ์</t>
  </si>
  <si>
    <t>หรรษกานต์</t>
  </si>
  <si>
    <t>ธารปราบ</t>
  </si>
  <si>
    <t>ซิกริณ</t>
  </si>
  <si>
    <t>ไชยลาภ</t>
  </si>
  <si>
    <t>พงษ์ปกรณ์</t>
  </si>
  <si>
    <t>ไชยรักษ์</t>
  </si>
  <si>
    <t>อภิสิทธิ์</t>
  </si>
  <si>
    <t>ติยพงศ์พัฒนา</t>
  </si>
  <si>
    <t>พีรดา</t>
  </si>
  <si>
    <t>วงษ์ดวงดำ</t>
  </si>
  <si>
    <t>กษมาภรณ์</t>
  </si>
  <si>
    <t>กริ่งเกษมศรี</t>
  </si>
  <si>
    <t>จิรายุ</t>
  </si>
  <si>
    <t>ภาณุรัตนโสภณ</t>
  </si>
  <si>
    <t>ธนาธรณ์</t>
  </si>
  <si>
    <t>ตัส ตูน กร นนท์ ฟิวส์</t>
  </si>
  <si>
    <t>ทิวกระโทก</t>
  </si>
  <si>
    <t>ตัส ไฟฟ้า</t>
  </si>
  <si>
    <t>ตูน ไฟฟ้า</t>
  </si>
  <si>
    <t>โทนี่</t>
  </si>
  <si>
    <t>ไซสตาด</t>
  </si>
  <si>
    <t>นนท์ ไฟฟ้า</t>
  </si>
  <si>
    <t>กร ไฟฟ้า</t>
  </si>
  <si>
    <t>ณัฏฐ์วนัน</t>
  </si>
  <si>
    <t>ฟิวส์ ๆฟฟ้า</t>
  </si>
  <si>
    <t>เวหนรัตน์</t>
  </si>
  <si>
    <t>กร จากระหว่สงเดินไปเล่นกิจกรรม</t>
  </si>
  <si>
    <t>ปภินวิช</t>
  </si>
  <si>
    <t>ยตะโคตร</t>
  </si>
  <si>
    <t>พี่บืม พี่เเฮม พี่</t>
  </si>
  <si>
    <t>พี่บืม เป็นพี่ไฟฟ้าห้องc เลยสนิทตอนเดินคุบกันระหว่างเปลี่ยนกิจกรรม</t>
  </si>
  <si>
    <t>พิชญุตม์</t>
  </si>
  <si>
    <t>บุตรเลียบ</t>
  </si>
  <si>
    <t>เพ็งมาลา</t>
  </si>
  <si>
    <t>ณเสฏฐ์</t>
  </si>
  <si>
    <t>ฉันทวิจัยกุล</t>
  </si>
  <si>
    <t>กฤตติน</t>
  </si>
  <si>
    <t>ภูงามทอง</t>
  </si>
  <si>
    <t>ธีรโชติ</t>
  </si>
  <si>
    <t>วรชินา</t>
  </si>
  <si>
    <t>เกวลิน</t>
  </si>
  <si>
    <t>นาชัย</t>
  </si>
  <si>
    <t xml:space="preserve">ณิชาบูล </t>
  </si>
  <si>
    <t>กุมกี</t>
  </si>
  <si>
    <t xml:space="preserve">ฉัตรสิร  </t>
  </si>
  <si>
    <t>สงฆ์จันทร์</t>
  </si>
  <si>
    <t>จันทร์บาง</t>
  </si>
  <si>
    <t>ปาริชาติ</t>
  </si>
  <si>
    <t>ผลาเลิซ</t>
  </si>
  <si>
    <t>สิมสีนวล</t>
  </si>
  <si>
    <t>ดิศรณ์</t>
  </si>
  <si>
    <t>ก้องเสนาะ</t>
  </si>
  <si>
    <t>สิปปวิชญ์</t>
  </si>
  <si>
    <t>วงศ์สุรการ</t>
  </si>
  <si>
    <t>เศรษฐกรณ์</t>
  </si>
  <si>
    <t>อุ่นโพธิ์</t>
  </si>
  <si>
    <t>มณีรัตน์</t>
  </si>
  <si>
    <t>พิทวัส</t>
  </si>
  <si>
    <t>ชมทรัพย์</t>
  </si>
  <si>
    <t xml:space="preserve">อนันตสิน </t>
  </si>
  <si>
    <t>ทองขัน</t>
  </si>
  <si>
    <t>จิรัฐิพร</t>
  </si>
  <si>
    <t>สุวรรณทา</t>
  </si>
  <si>
    <t>พุธ Ene</t>
  </si>
  <si>
    <t>โก้ene</t>
  </si>
  <si>
    <t>วสันต์</t>
  </si>
  <si>
    <t>สุขมหานนท์</t>
  </si>
  <si>
    <t xml:space="preserve">บอสene </t>
  </si>
  <si>
    <t>บีมene</t>
  </si>
  <si>
    <t xml:space="preserve">ฤทธิภูมิ </t>
  </si>
  <si>
    <t>มาร์ทene</t>
  </si>
  <si>
    <t>ศิริมหา</t>
  </si>
  <si>
    <t>นนท์ene</t>
  </si>
  <si>
    <t>ชนิศา</t>
  </si>
  <si>
    <t>บีม รับน้องเต้น</t>
  </si>
  <si>
    <t>นิยม</t>
  </si>
  <si>
    <t>เนยene บีเฟิ่ดene ไอซ์ene</t>
  </si>
  <si>
    <t>บีเฟิ่ด แนะนำข้อมูล</t>
  </si>
  <si>
    <t>ณัฏฐกฤต</t>
  </si>
  <si>
    <t>เชาวลิต</t>
  </si>
  <si>
    <t xml:space="preserve">สพิชญา </t>
  </si>
  <si>
    <t>เผ่าตานนท์</t>
  </si>
  <si>
    <t>กฤษกมิน</t>
  </si>
  <si>
    <t>แก้วทอง</t>
  </si>
  <si>
    <t>เศรษฐ์ศรุต</t>
  </si>
  <si>
    <t>กตคุณไพศาล</t>
  </si>
  <si>
    <t>ดาวนภา</t>
  </si>
  <si>
    <t>กุมภาพงษ์</t>
  </si>
  <si>
    <t>เกณิกา</t>
  </si>
  <si>
    <t>กุลชัยรัตนา</t>
  </si>
  <si>
    <t>ภูริทัต</t>
  </si>
  <si>
    <t>ปานสด</t>
  </si>
  <si>
    <t>พรลภัส</t>
  </si>
  <si>
    <t>พันธ์โฮม</t>
  </si>
  <si>
    <t>อนันตประยูร</t>
  </si>
  <si>
    <t>โชติภูมิ</t>
  </si>
  <si>
    <t>พุฒิภูติ</t>
  </si>
  <si>
    <t>อัฑฒ์รวี</t>
  </si>
  <si>
    <t>มาเขื่อนขันธ์</t>
  </si>
  <si>
    <t>จิตราเพชร</t>
  </si>
  <si>
    <t>ทินนา</t>
  </si>
  <si>
    <t>ภูธน</t>
  </si>
  <si>
    <t>โสภะถา</t>
  </si>
  <si>
    <t>ภีมเดช</t>
  </si>
  <si>
    <t>ธนศรีสุข</t>
  </si>
  <si>
    <t>ปรวัฒน์</t>
  </si>
  <si>
    <t>เทศเอม</t>
  </si>
  <si>
    <t>ตรัยธวัฒน์</t>
  </si>
  <si>
    <t>เนาว์สุวรรณ</t>
  </si>
  <si>
    <t>สุวิชาดา</t>
  </si>
  <si>
    <t>เขตสมุทร</t>
  </si>
  <si>
    <t>ภานุกร</t>
  </si>
  <si>
    <t>ศรีเสมอ</t>
  </si>
  <si>
    <t>นนทกร</t>
  </si>
  <si>
    <t>วงษ์สนิท</t>
  </si>
  <si>
    <t>บัวกล่อม</t>
  </si>
  <si>
    <t>นัฐวรรธ</t>
  </si>
  <si>
    <t>กองพล</t>
  </si>
  <si>
    <t>บวรศิริ</t>
  </si>
  <si>
    <t>ถาวรชาติ</t>
  </si>
  <si>
    <t>สิทธา</t>
  </si>
  <si>
    <t>ชินจัง AME</t>
  </si>
  <si>
    <t>วงษ์ไทยผดุง</t>
  </si>
  <si>
    <t>กอหญ้า ChE</t>
  </si>
  <si>
    <t>ไอซ์ ChE</t>
  </si>
  <si>
    <t xml:space="preserve">ณัฐวัศ </t>
  </si>
  <si>
    <t>แสงทอง</t>
  </si>
  <si>
    <t>ออม PE</t>
  </si>
  <si>
    <t>ซี ChE</t>
  </si>
  <si>
    <t>ทิวาพร</t>
  </si>
  <si>
    <t>แซ็ค AME</t>
  </si>
  <si>
    <t>พรมแก้ว</t>
  </si>
  <si>
    <t>ขอเลือก กอหญ้า รู้จักจากค่ายติวเวลคัม20 และได้นั่งเรียนข้างกันหลังจากนั้นได้ทักไปขอนั่งข้างๆตอนเรียน และก็ไปกินข้าวด้วยกัน</t>
  </si>
  <si>
    <t>พี่สายพิณ พี่โจนัท ME พี่แตงโม PE</t>
  </si>
  <si>
    <t>กนกกานต์</t>
  </si>
  <si>
    <t>หมื่นศรี</t>
  </si>
  <si>
    <t>พี่แตงโม จากค่ายติวเวลคัม20 พี่คนนี้ดูแลเอาใจใส่หนูและรวมถึงเพื่อนๆในค่ายเป็นอย่างดี</t>
  </si>
  <si>
    <t xml:space="preserve">ปริดา </t>
  </si>
  <si>
    <t>สุดกล้า</t>
  </si>
  <si>
    <t>รวิกานต์</t>
  </si>
  <si>
    <t>สมานมิตร์</t>
  </si>
  <si>
    <t xml:space="preserve">ภัทรดนัย </t>
  </si>
  <si>
    <t>ชฎาชัย</t>
  </si>
  <si>
    <t>อยู่ถมยา</t>
  </si>
  <si>
    <t xml:space="preserve">สุริสา </t>
  </si>
  <si>
    <t>สลางสิงห์</t>
  </si>
  <si>
    <t>เขมณัฎฐ์</t>
  </si>
  <si>
    <t>เขียวสนั่น</t>
  </si>
  <si>
    <t>ดนุภัทร</t>
  </si>
  <si>
    <t>บุนฑารักษ์</t>
  </si>
  <si>
    <t xml:space="preserve">ชนวรรณ </t>
  </si>
  <si>
    <t xml:space="preserve">จอมเกาะ </t>
  </si>
  <si>
    <t xml:space="preserve">ชวกร </t>
  </si>
  <si>
    <t>วีระกุล</t>
  </si>
  <si>
    <t>แคล้วอ้อม</t>
  </si>
  <si>
    <t>ณัฐญา</t>
  </si>
  <si>
    <t>พลเสน</t>
  </si>
  <si>
    <t>ทิมเถื่อน</t>
  </si>
  <si>
    <t xml:space="preserve">ศิรารัตน์ </t>
  </si>
  <si>
    <t>พุ่มชา</t>
  </si>
  <si>
    <t>ญาณิกา</t>
  </si>
  <si>
    <t>จิโนวงษ์</t>
  </si>
  <si>
    <t>เจษฎาวุฒิ</t>
  </si>
  <si>
    <t>แสงสุวรรณ์</t>
  </si>
  <si>
    <t>ชาญภา</t>
  </si>
  <si>
    <t>เสมอมา</t>
  </si>
  <si>
    <t>สรวิศ</t>
  </si>
  <si>
    <t>สมุทรโคตา</t>
  </si>
  <si>
    <t xml:space="preserve">รัฐศาสตร์ </t>
  </si>
  <si>
    <t>วงศ์เจริญวิชญ์</t>
  </si>
  <si>
    <t>ประคีตะวาทิน</t>
  </si>
  <si>
    <t>เค</t>
  </si>
  <si>
    <t>หมิง ene</t>
  </si>
  <si>
    <t>วีรภัทร์</t>
  </si>
  <si>
    <t>โชค ene</t>
  </si>
  <si>
    <t>จรัสโสภณ</t>
  </si>
  <si>
    <t>มิล ene</t>
  </si>
  <si>
    <t xml:space="preserve">เนย Ene </t>
  </si>
  <si>
    <t>รัชต์ชานนท์</t>
  </si>
  <si>
    <t>พฤกธารา</t>
  </si>
  <si>
    <t>อะตอม ene</t>
  </si>
  <si>
    <t>ฟีม ene</t>
  </si>
  <si>
    <t>สืบสาม</t>
  </si>
  <si>
    <t>รู้จักจาก ปฐมนิเทศสาขา</t>
  </si>
  <si>
    <t>พี่ซัน พี่เบนซ์ พี่หงิก</t>
  </si>
  <si>
    <t>สรรค์ชัย</t>
  </si>
  <si>
    <t>อธิธรรมวงศ์</t>
  </si>
  <si>
    <t>พี่เฟิสเนื่องจากไปตีแบดด้วยกัน</t>
  </si>
  <si>
    <t>อรรถวิทย์</t>
  </si>
  <si>
    <t>ดำรงเกียรติภูมิ</t>
  </si>
  <si>
    <t>เทิศวรุฒม์</t>
  </si>
  <si>
    <t>เกียรติสมบูรณ์ชัย</t>
  </si>
  <si>
    <t>พชรพล</t>
  </si>
  <si>
    <t>วรสวาม</t>
  </si>
  <si>
    <t>ภีรพัฒน์</t>
  </si>
  <si>
    <t>บัวหลวง</t>
  </si>
  <si>
    <t>ชนัณชัย</t>
  </si>
  <si>
    <t>สัมพันธวงศ์กวี</t>
  </si>
  <si>
    <t>นพกร</t>
  </si>
  <si>
    <t>พุ่มผกา</t>
  </si>
  <si>
    <t>แก้วหาวงษ์</t>
  </si>
  <si>
    <t>พบทอง</t>
  </si>
  <si>
    <t>จีนคล้ำ</t>
  </si>
  <si>
    <t>ณัฐภัสสร</t>
  </si>
  <si>
    <t>เทพเทียมทัศน์</t>
  </si>
  <si>
    <t>วงศ์ศรีคำไชย</t>
  </si>
  <si>
    <t>ลลิล</t>
  </si>
  <si>
    <t>เมืองประแก้ว</t>
  </si>
  <si>
    <t>ศิรดา</t>
  </si>
  <si>
    <t>รัตนกุล</t>
  </si>
  <si>
    <t>ภัชระ</t>
  </si>
  <si>
    <t>แก้วหอม</t>
  </si>
  <si>
    <t>ศุภกฤต</t>
  </si>
  <si>
    <t>ทองรอด</t>
  </si>
  <si>
    <t>ธีรยา</t>
  </si>
  <si>
    <t>สุภาสาคร</t>
  </si>
  <si>
    <t>เสาร์ห้า</t>
  </si>
  <si>
    <t>ค้าของ</t>
  </si>
  <si>
    <t>จิรกร</t>
  </si>
  <si>
    <t>รุณธนานันต์</t>
  </si>
  <si>
    <t>พงศธร</t>
  </si>
  <si>
    <t>ห้อวันดี</t>
  </si>
  <si>
    <t>พิชญาภร</t>
  </si>
  <si>
    <t>ดีล้อม</t>
  </si>
  <si>
    <t>สร้างสรรค์</t>
  </si>
  <si>
    <t>สดแสงสุก</t>
  </si>
  <si>
    <t>ภูริตา</t>
  </si>
  <si>
    <t>ผ่านภูวงษ์</t>
  </si>
  <si>
    <t>ชาลิสา</t>
  </si>
  <si>
    <t>สุดใจ</t>
  </si>
  <si>
    <t>ปอน TME</t>
  </si>
  <si>
    <t>เหมือนฝัน TME</t>
  </si>
  <si>
    <t>แพง TME</t>
  </si>
  <si>
    <t>นาเดียร์TME</t>
  </si>
  <si>
    <t>วัฒนวิทูกูร</t>
  </si>
  <si>
    <t>เนย TME</t>
  </si>
  <si>
    <t>ปพนวิช</t>
  </si>
  <si>
    <t>ซำฮกตัน</t>
  </si>
  <si>
    <t>แพง กิจกรรมปฐมนิเทศ</t>
  </si>
  <si>
    <t>พี่ฟิว TME พี่นีโอ พี่โอเว่น</t>
  </si>
  <si>
    <t>วรายุทธ</t>
  </si>
  <si>
    <t>โพธิ์ชา</t>
  </si>
  <si>
    <t>พี่ฟิว พี่สาขาเครื่องมือ แนะนำดี</t>
  </si>
  <si>
    <t xml:space="preserve">อิสิริยา </t>
  </si>
  <si>
    <t>ดำรอสม</t>
  </si>
  <si>
    <t>คีตภัทร</t>
  </si>
  <si>
    <t>เทพจันทร์</t>
  </si>
  <si>
    <t>พัชราภา</t>
  </si>
  <si>
    <t>อินทคล้าย</t>
  </si>
  <si>
    <t>ชยันต์</t>
  </si>
  <si>
    <t>แสนคำ</t>
  </si>
  <si>
    <t>ภควัฎ</t>
  </si>
  <si>
    <t>รุ่งแดนธรรม</t>
  </si>
  <si>
    <t>วิมลณภัทร</t>
  </si>
  <si>
    <t>สงค์ดำ</t>
  </si>
  <si>
    <t>เมธัญกร</t>
  </si>
  <si>
    <t>คงสนธิ</t>
  </si>
  <si>
    <t>ม่วงทอง</t>
  </si>
  <si>
    <t>อากินา</t>
  </si>
  <si>
    <t>อคาเอดะ</t>
  </si>
  <si>
    <t>ชินภัทร</t>
  </si>
  <si>
    <t>ศรีทะวงษ์</t>
  </si>
  <si>
    <t>นิ่มมา</t>
  </si>
  <si>
    <t>บู่สาลี</t>
  </si>
  <si>
    <t>กษิดิ์เดช</t>
  </si>
  <si>
    <t>เอี่ยมศิริ</t>
  </si>
  <si>
    <t>เมธาสิท</t>
  </si>
  <si>
    <t>พัฒน์วิชัยโชติ</t>
  </si>
  <si>
    <t xml:space="preserve">ชนกเนตร </t>
  </si>
  <si>
    <t>การเกษ</t>
  </si>
  <si>
    <t>พลกฤต</t>
  </si>
  <si>
    <t>อยู่สำราญ</t>
  </si>
  <si>
    <t>สุพิชญาพร</t>
  </si>
  <si>
    <t>วณิชกิจเจริญกุล</t>
  </si>
  <si>
    <t>เกียรติศักดิ์</t>
  </si>
  <si>
    <t>ชำนาญ</t>
  </si>
  <si>
    <t xml:space="preserve">คณาธิป </t>
  </si>
  <si>
    <t>พูลสวัสดิ์</t>
  </si>
  <si>
    <t>วิรมณ</t>
  </si>
  <si>
    <t>วุฒิเกตุ</t>
  </si>
  <si>
    <t>ภูวกฤต</t>
  </si>
  <si>
    <t>วงษ์หาญ</t>
  </si>
  <si>
    <t>พฤกษา</t>
  </si>
  <si>
    <t>สวัสดี</t>
  </si>
  <si>
    <t>ปลื้ม วิศวกรรมคอมพิวเตอร์</t>
  </si>
  <si>
    <t>ฟอร์ด ME</t>
  </si>
  <si>
    <t xml:space="preserve">นพอนันต์ </t>
  </si>
  <si>
    <t>เนียลเซ็น</t>
  </si>
  <si>
    <t>ยู MCE</t>
  </si>
  <si>
    <t>เนม cpe</t>
  </si>
  <si>
    <t>กีวี่ pe</t>
  </si>
  <si>
    <t xml:space="preserve">พัขรพร </t>
  </si>
  <si>
    <t>ทวีทา</t>
  </si>
  <si>
    <t xml:space="preserve">กิจกรรมภาคบ่าย </t>
  </si>
  <si>
    <t>กืจกรรมเมื่อวาน</t>
  </si>
  <si>
    <t>เศษสิงห์</t>
  </si>
  <si>
    <t>กิจกรรมเมื่อวาน</t>
  </si>
  <si>
    <t>อรกัญญา</t>
  </si>
  <si>
    <t>ภู่สุวรรณ</t>
  </si>
  <si>
    <t>จันทร์เต็บ</t>
  </si>
  <si>
    <t>สวรินทร์</t>
  </si>
  <si>
    <t>วอนอก</t>
  </si>
  <si>
    <t>ณัฏวรรธน์</t>
  </si>
  <si>
    <t>ปัญญาโสภณัฐ</t>
  </si>
  <si>
    <t>ชลิตา</t>
  </si>
  <si>
    <t>งามทรัพย์</t>
  </si>
  <si>
    <t>มนกร</t>
  </si>
  <si>
    <t>จักษ์เมธา</t>
  </si>
  <si>
    <t xml:space="preserve">วริศภาอร </t>
  </si>
  <si>
    <t>ผาดไธสง</t>
  </si>
  <si>
    <t>ธนโชติ</t>
  </si>
  <si>
    <t>แสงท้าว</t>
  </si>
  <si>
    <t>ชาติศรี</t>
  </si>
  <si>
    <t>พีรันธร</t>
  </si>
  <si>
    <t>ฟักเทศ</t>
  </si>
  <si>
    <t>ศรัณย์รัชฏ์</t>
  </si>
  <si>
    <t>บุญสร้างสม</t>
  </si>
  <si>
    <t>ปวิตรา</t>
  </si>
  <si>
    <t>โขมพัตร</t>
  </si>
  <si>
    <t>ปรินทร</t>
  </si>
  <si>
    <t>เรืองจรัส</t>
  </si>
  <si>
    <t>สุกฤษฏิ์</t>
  </si>
  <si>
    <t>ภูมิฐาน</t>
  </si>
  <si>
    <t xml:space="preserve">ณัฐกฤษ </t>
  </si>
  <si>
    <t>ทองสกุลพาณิชย์</t>
  </si>
  <si>
    <t>กิตติพงศ์</t>
  </si>
  <si>
    <t>ทิวงศ์ษา</t>
  </si>
  <si>
    <t>พุทธิพงศ์</t>
  </si>
  <si>
    <t>หลีอินทร์</t>
  </si>
  <si>
    <t xml:space="preserve">วันณภา </t>
  </si>
  <si>
    <t>บุญย่านซื่อ</t>
  </si>
  <si>
    <t>สุขาเขิน</t>
  </si>
  <si>
    <t>ชนิกา</t>
  </si>
  <si>
    <t>บูรณะพงค์</t>
  </si>
  <si>
    <t>มนัสนันท์</t>
  </si>
  <si>
    <t>ฉัตรศรีพงษ์</t>
  </si>
  <si>
    <t>เย็นสกุล</t>
  </si>
  <si>
    <t xml:space="preserve">เกษม </t>
  </si>
  <si>
    <t>ปฐมโอสถ</t>
  </si>
  <si>
    <t>อุ่นรัก</t>
  </si>
  <si>
    <t>1.1บีม1.2.แบงค์1.3พู้กัน1.4กิต1.5ยอช</t>
  </si>
  <si>
    <t>หนูสุรา</t>
  </si>
  <si>
    <t>บีม โยธา</t>
  </si>
  <si>
    <t>ธีทัต</t>
  </si>
  <si>
    <t>คล้ายวรรณะ</t>
  </si>
  <si>
    <t>แบงค์ ไฟฟ้า</t>
  </si>
  <si>
    <t>พู่กัน ไฟฟ้า</t>
  </si>
  <si>
    <t>กัมปนาท</t>
  </si>
  <si>
    <t>กิต ยานยนต์</t>
  </si>
  <si>
    <t>ยอช เครื่องมือวัด</t>
  </si>
  <si>
    <t>อนาวิล</t>
  </si>
  <si>
    <t>นิลรัตน์</t>
  </si>
  <si>
    <t xml:space="preserve">พาเพื่อนไปแทงสนุกเกอร์ </t>
  </si>
  <si>
    <t xml:space="preserve">ภาสวิชญ์ </t>
  </si>
  <si>
    <t>รอดคง</t>
  </si>
  <si>
    <t>1.1พี่บีม ไฟฟ้า 1.2ไม่มี 1.3ไม่มี</t>
  </si>
  <si>
    <t>พี่ อาร์ม พี่รหัสผมเอง ดีใจมากครับ พี่เนส ด้วยครับผม หล่อทุกคนเลย</t>
  </si>
  <si>
    <t>กิตติคุณ</t>
  </si>
  <si>
    <t>คมกล้า</t>
  </si>
  <si>
    <t>อิทธิพล</t>
  </si>
  <si>
    <t>แซ่ก๊วย</t>
  </si>
  <si>
    <t xml:space="preserve">ฐาปนวัฒน์ </t>
  </si>
  <si>
    <t>ลือโลก</t>
  </si>
  <si>
    <t>ณฐกฤต</t>
  </si>
  <si>
    <t>สุขสุทธิ์</t>
  </si>
  <si>
    <t>พิภพ</t>
  </si>
  <si>
    <t>ลุงต๊ะ</t>
  </si>
  <si>
    <t>ปานรอด</t>
  </si>
  <si>
    <t>ตรีพิพัฒน์</t>
  </si>
  <si>
    <t>มหัทธโนโสภณ</t>
  </si>
  <si>
    <t>วสิษฐ์การ</t>
  </si>
  <si>
    <t>ฤทธิ์อัครโชติ</t>
  </si>
  <si>
    <t>ภูริปัญญ์</t>
  </si>
  <si>
    <t>จันทรมงคล</t>
  </si>
  <si>
    <t>เกิดฉิม</t>
  </si>
  <si>
    <t xml:space="preserve">จิราภา </t>
  </si>
  <si>
    <t>สุขผดุง</t>
  </si>
  <si>
    <t>วีระกิตติ์</t>
  </si>
  <si>
    <t>เจนจัดทรัพย์</t>
  </si>
  <si>
    <t>นาเอก</t>
  </si>
  <si>
    <t>เนินแสง</t>
  </si>
  <si>
    <t>ชาคร</t>
  </si>
  <si>
    <t>การช่าง</t>
  </si>
  <si>
    <t>พณณกร</t>
  </si>
  <si>
    <t>ออมสิน</t>
  </si>
  <si>
    <t>กมลภพ</t>
  </si>
  <si>
    <t>เชื้อไทย</t>
  </si>
  <si>
    <t>ติณณภพ</t>
  </si>
  <si>
    <t>เกษงาม</t>
  </si>
  <si>
    <t>ไกรวิน</t>
  </si>
  <si>
    <t>วงศ์เมือง</t>
  </si>
  <si>
    <t>ฐิติภรณ์</t>
  </si>
  <si>
    <t>แตงร่ม</t>
  </si>
  <si>
    <t>ภูชานนท์</t>
  </si>
  <si>
    <t>ถังเงิน</t>
  </si>
  <si>
    <t>โพธิ์แก้ว</t>
  </si>
  <si>
    <t>บูรพา</t>
  </si>
  <si>
    <t>ทรัพย์พิพัฒนา</t>
  </si>
  <si>
    <t>ดาตา</t>
  </si>
  <si>
    <t>จยาวรรณ</t>
  </si>
  <si>
    <t>นัท cpe</t>
  </si>
  <si>
    <t>ธาวิน</t>
  </si>
  <si>
    <t>นาวารัตน์</t>
  </si>
  <si>
    <t>เปรม cpe</t>
  </si>
  <si>
    <t>น้ำ ee</t>
  </si>
  <si>
    <t>ฟิล์ม ee</t>
  </si>
  <si>
    <t>หล้าคอม</t>
  </si>
  <si>
    <t>เจ cpe</t>
  </si>
  <si>
    <t xml:space="preserve">กิตติพัฒน์ </t>
  </si>
  <si>
    <t>นัท ปฐมนิเทศ คุยสนุก</t>
  </si>
  <si>
    <t>คำตา</t>
  </si>
  <si>
    <t xml:space="preserve">พี่เกีย cpe พี่โอปอล hds พี่ </t>
  </si>
  <si>
    <t>พี่เกีย cpe prefreshy  cpe</t>
  </si>
  <si>
    <t>ตฤณ</t>
  </si>
  <si>
    <t>เหล่าเทพาวัฒน์</t>
  </si>
  <si>
    <t xml:space="preserve">โสภณวิชญ์ </t>
  </si>
  <si>
    <t>น่วมนวล</t>
  </si>
  <si>
    <t xml:space="preserve">นภสินธ์ </t>
  </si>
  <si>
    <t>พลเผือก</t>
  </si>
  <si>
    <t>ธัญญพัทธ์</t>
  </si>
  <si>
    <t>ทรัพย์ศิริ</t>
  </si>
  <si>
    <t>รอดพาที</t>
  </si>
  <si>
    <t>กนกกร</t>
  </si>
  <si>
    <t>นิธิวิบูลย์</t>
  </si>
  <si>
    <t>ปภาดา</t>
  </si>
  <si>
    <t>มาตะโก</t>
  </si>
  <si>
    <t>เจริญผล</t>
  </si>
  <si>
    <t>ศิริลักษณ์</t>
  </si>
  <si>
    <t>สร้อยสม</t>
  </si>
  <si>
    <t xml:space="preserve">ศริญญา </t>
  </si>
  <si>
    <t>ไทยานนท์</t>
  </si>
  <si>
    <t>ธนดล</t>
  </si>
  <si>
    <t>โตออม</t>
  </si>
  <si>
    <t xml:space="preserve">ณัฏฐา </t>
  </si>
  <si>
    <t>นิมมาน</t>
  </si>
  <si>
    <t>เยาวลักษณ์</t>
  </si>
  <si>
    <t>เชียงทอง</t>
  </si>
  <si>
    <t>ธนัชชา</t>
  </si>
  <si>
    <t>โสฬส</t>
  </si>
  <si>
    <t>ธัญวรัตน์</t>
  </si>
  <si>
    <t>ทองพิมพ์</t>
  </si>
  <si>
    <t>พิชชาภา</t>
  </si>
  <si>
    <t>ลูกฟัก</t>
  </si>
  <si>
    <t>เขมจิรา</t>
  </si>
  <si>
    <t>อัมพุกานน</t>
  </si>
  <si>
    <t>สาระศีล</t>
  </si>
  <si>
    <t>ยะโส</t>
  </si>
  <si>
    <t>ทิพวรรณ</t>
  </si>
  <si>
    <t>ศิลาวงค์</t>
  </si>
  <si>
    <t>ชิงจันทร์</t>
  </si>
  <si>
    <t>ปิยากร</t>
  </si>
  <si>
    <t>ภัทรวรรณ</t>
  </si>
  <si>
    <t>เจริญพร</t>
  </si>
  <si>
    <t>ทินภัทร</t>
  </si>
  <si>
    <t>เล็กมนตรา</t>
  </si>
  <si>
    <t xml:space="preserve">ณัฐชยา </t>
  </si>
  <si>
    <t>พิม ภาคไฟฟ้า</t>
  </si>
  <si>
    <t>คงวิชา</t>
  </si>
  <si>
    <t>อาย ภาคไฟฟ้า</t>
  </si>
  <si>
    <t>โยธิน</t>
  </si>
  <si>
    <t>บอล ภาคไฟฟ้า</t>
  </si>
  <si>
    <t>แคล้วกลาง</t>
  </si>
  <si>
    <t>เอมี่ ภาคไฟฟ้า</t>
  </si>
  <si>
    <t>แคนนอน ภาคไฟฟ้า</t>
  </si>
  <si>
    <t xml:space="preserve">ณัฐชนน </t>
  </si>
  <si>
    <t>ท็อป ภาคไฟฟ้า</t>
  </si>
  <si>
    <t>ทนุวุฒิวัฒน์</t>
  </si>
  <si>
    <t>จากเล่นเกมด้วยกันในดิส</t>
  </si>
  <si>
    <t>พี่บีม พี่กรุงเทพ พี่ไผ่หลิว</t>
  </si>
  <si>
    <t>ดารารัตน์</t>
  </si>
  <si>
    <t>จิตนิยม</t>
  </si>
  <si>
    <t>พี่บอส เอ่อพี่ค่ายบีแคมป์เค้าว่าหนูหน้าเอ๋อแล้วก็ได้บัตรส่วนลดแซนบ้อกมาปลอบใจ</t>
  </si>
  <si>
    <t>ฐิตาพร</t>
  </si>
  <si>
    <t>ศูนย์พลอย</t>
  </si>
  <si>
    <t>Project day</t>
  </si>
  <si>
    <t>ชาญชัย</t>
  </si>
  <si>
    <t>บุบผาวาส</t>
  </si>
  <si>
    <t>ญาณิศา</t>
  </si>
  <si>
    <t>นิตยะ</t>
  </si>
  <si>
    <t>เจริญเลิศทรัพย์</t>
  </si>
  <si>
    <t>นิติพัฒน์</t>
  </si>
  <si>
    <t>รัตนพล</t>
  </si>
  <si>
    <t>ณัฐสินี</t>
  </si>
  <si>
    <t>ปิดสายะ</t>
  </si>
  <si>
    <t>ลือชา</t>
  </si>
  <si>
    <t>นพรัตน์</t>
  </si>
  <si>
    <t>ทองแผ่น</t>
  </si>
  <si>
    <t>ยศพล</t>
  </si>
  <si>
    <t>สำแดงไชย</t>
  </si>
  <si>
    <t>รัตนรัตน์</t>
  </si>
  <si>
    <t>มีสวัสดิ์</t>
  </si>
  <si>
    <t>จักรภัทร</t>
  </si>
  <si>
    <t>แก่นเรณู</t>
  </si>
  <si>
    <t>สุขสิงห์ทอง</t>
  </si>
  <si>
    <t xml:space="preserve">นพรัตน์ </t>
  </si>
  <si>
    <t>พัสกุล</t>
  </si>
  <si>
    <t>ภูริณัฐ</t>
  </si>
  <si>
    <t>ดาวบุตร</t>
  </si>
  <si>
    <t xml:space="preserve">อิษคุณ </t>
  </si>
  <si>
    <t>กิตติบรรลุ</t>
  </si>
  <si>
    <t xml:space="preserve">จารุกิตติ์ </t>
  </si>
  <si>
    <t>สุขสุผิว</t>
  </si>
  <si>
    <t>กาญจนฤกษ์</t>
  </si>
  <si>
    <t>ภู่ประสาท</t>
  </si>
  <si>
    <t>เกศกนก</t>
  </si>
  <si>
    <t>เข็มเพชร</t>
  </si>
  <si>
    <t>เอ นัท บอส ซุง แพร</t>
  </si>
  <si>
    <t>เอ เซมิ</t>
  </si>
  <si>
    <t>โรจน์อมพร</t>
  </si>
  <si>
    <t>นัท เซมิ</t>
  </si>
  <si>
    <t>บอส เซิมิ</t>
  </si>
  <si>
    <t>ณัฐภูมิ</t>
  </si>
  <si>
    <t>ลิ้มประเสริฐ</t>
  </si>
  <si>
    <t>ซุง เซมิ</t>
  </si>
  <si>
    <t>แพร วิดวะคอม</t>
  </si>
  <si>
    <t>เหล่าวิวัฒน์เกษม</t>
  </si>
  <si>
    <t>เอ รู้จักกันที่ราชบุรี เล่นบอดเกม</t>
  </si>
  <si>
    <t>พี่โต๋ พี่ดาด้า พี่ไอน้ำ</t>
  </si>
  <si>
    <t>ปวริศ์ภัสสร์</t>
  </si>
  <si>
    <t>พี่โต๋ เป็นพี่รหัสผม</t>
  </si>
  <si>
    <t>จังอินทร์</t>
  </si>
  <si>
    <t>ดำนา</t>
  </si>
  <si>
    <t>เว็บไซต์ admission.kmutt.ac.th</t>
  </si>
  <si>
    <t>เบญญาภา</t>
  </si>
  <si>
    <t>มณีวรรณ</t>
  </si>
  <si>
    <t xml:space="preserve">ภาณุวิชญ์ </t>
  </si>
  <si>
    <t>ฤทธิ์บัว</t>
  </si>
  <si>
    <t>อาคารการเรียนรู้พหุวิทยาการ ชั้น 1</t>
  </si>
  <si>
    <t>ศรีศักดา</t>
  </si>
  <si>
    <t>ภูธรณ์</t>
  </si>
  <si>
    <t>จินต์จุฑา</t>
  </si>
  <si>
    <t>ธาดาวุธ</t>
  </si>
  <si>
    <t>ยศกร</t>
  </si>
  <si>
    <t>นาลา</t>
  </si>
  <si>
    <t>พรภวิษย์</t>
  </si>
  <si>
    <t>ตั้งประภาพร</t>
  </si>
  <si>
    <t xml:space="preserve">วราเมธ </t>
  </si>
  <si>
    <t>เดชบุญ</t>
  </si>
  <si>
    <t>แสงสีดา</t>
  </si>
  <si>
    <t>วันวิสาข์</t>
  </si>
  <si>
    <t>แจ่มสวัสดิ์</t>
  </si>
  <si>
    <t>ดวงฤทัย</t>
  </si>
  <si>
    <t>ชัยพิศาล</t>
  </si>
  <si>
    <t xml:space="preserve">พสุชา </t>
  </si>
  <si>
    <t>เหมินทร์</t>
  </si>
  <si>
    <t>นพณัฐ</t>
  </si>
  <si>
    <t>เหนือกอง</t>
  </si>
  <si>
    <t>ชนุตม์</t>
  </si>
  <si>
    <t>พงษ์สิงห์จันทร์</t>
  </si>
  <si>
    <t>ปิยาภรณ์</t>
  </si>
  <si>
    <t>เกตุสุข</t>
  </si>
  <si>
    <t>จิรภัทร</t>
  </si>
  <si>
    <t>หัตถกรรม</t>
  </si>
  <si>
    <t>จารุเดช</t>
  </si>
  <si>
    <t>อุบลนุช</t>
  </si>
  <si>
    <t>กิตติธัช</t>
  </si>
  <si>
    <t>ทรัพย์บาง</t>
  </si>
  <si>
    <t>สุกเหลือง</t>
  </si>
  <si>
    <t xml:space="preserve">ชนาธิศ </t>
  </si>
  <si>
    <t>ศรีลางัด</t>
  </si>
  <si>
    <t>สุรัมภา</t>
  </si>
  <si>
    <t>อุปกาบ</t>
  </si>
  <si>
    <t>ปลื้ม ทิพย์ พอเพียง พี ฟิล์ม</t>
  </si>
  <si>
    <t>ปลื้ม วิศวะเครื่องกล</t>
  </si>
  <si>
    <t>กชกร</t>
  </si>
  <si>
    <t>สุขเสริมศาล</t>
  </si>
  <si>
    <t>ทิพย์ วิศวะเครื่องกล</t>
  </si>
  <si>
    <t>พอเพียง วิศวะเครื่องกล</t>
  </si>
  <si>
    <t>จิตพัฒน์</t>
  </si>
  <si>
    <t>อดิเรกไพศาลกุล</t>
  </si>
  <si>
    <t>พี วิวะเครื่องกล</t>
  </si>
  <si>
    <t>ฟิล์ม วิศวะเครื่องกล</t>
  </si>
  <si>
    <t>ชัยชนะ</t>
  </si>
  <si>
    <t>จันทร์ทอง</t>
  </si>
  <si>
    <t>ทิพย์ ได้รู้จักจารกการรอลงทะเบียนช่วงบ่าย</t>
  </si>
  <si>
    <t>พี่เปา ปอนด์ บอส</t>
  </si>
  <si>
    <t>พี่เปา ชอบแหกปาก</t>
  </si>
  <si>
    <t>นรากุลมงคล</t>
  </si>
  <si>
    <t>ศิวัทช์</t>
  </si>
  <si>
    <t>จับพิมาย</t>
  </si>
  <si>
    <t>จริยาวัฒนานนท์</t>
  </si>
  <si>
    <t>พรนภัส</t>
  </si>
  <si>
    <t>พันธ์อ้น</t>
  </si>
  <si>
    <t>เนตรศิริ</t>
  </si>
  <si>
    <t>อมรโรจน์วรวุฒิ</t>
  </si>
  <si>
    <t>ณัฐพศุตม์</t>
  </si>
  <si>
    <t>ชวัลสิริกุลธรา</t>
  </si>
  <si>
    <t>เสฏฐวุฒิ</t>
  </si>
  <si>
    <t>ชื่นชมกุล</t>
  </si>
  <si>
    <t>จิรชูพันธ์</t>
  </si>
  <si>
    <t>สุทิวัส</t>
  </si>
  <si>
    <t>สุขสวัสดิ์</t>
  </si>
  <si>
    <t>สรณ์ปรีดา</t>
  </si>
  <si>
    <t>ลาภใหญ่</t>
  </si>
  <si>
    <t>พลอยพิชชา</t>
  </si>
  <si>
    <t>หาญสิทธิสุนทร</t>
  </si>
  <si>
    <t>บุณยากร</t>
  </si>
  <si>
    <t>เมืองยศ</t>
  </si>
  <si>
    <t>ชยภัทร</t>
  </si>
  <si>
    <t>ตลึงจิตร</t>
  </si>
  <si>
    <t>ญาณาธิป</t>
  </si>
  <si>
    <t>พิชญกุลมงคล</t>
  </si>
  <si>
    <t>รวงข้าว</t>
  </si>
  <si>
    <t>ดวงวงษา</t>
  </si>
  <si>
    <t xml:space="preserve">ศุภวิชญ์ </t>
  </si>
  <si>
    <t>มาลี</t>
  </si>
  <si>
    <t xml:space="preserve">สุภัสสร </t>
  </si>
  <si>
    <t>นิตมา</t>
  </si>
  <si>
    <t>สันต์ภพ</t>
  </si>
  <si>
    <t>เส็งทอง</t>
  </si>
  <si>
    <t>สิริโรฒน์</t>
  </si>
  <si>
    <t>บัวยอม</t>
  </si>
  <si>
    <t>เลิศอาวาส</t>
  </si>
  <si>
    <t>ฉั่วตระกูล</t>
  </si>
  <si>
    <t>องศา คอม</t>
  </si>
  <si>
    <t>ณัฏฐณิชา</t>
  </si>
  <si>
    <t>โชติพรหม</t>
  </si>
  <si>
    <t>ตี๋ เครื่องกล</t>
  </si>
  <si>
    <t>จา อุต</t>
  </si>
  <si>
    <t>พุฒินาทพันธ์</t>
  </si>
  <si>
    <t>เฟิรน์ แมคคา</t>
  </si>
  <si>
    <t>เบส อุต</t>
  </si>
  <si>
    <t>สุรดิษ</t>
  </si>
  <si>
    <t>บุญมาวงค์</t>
  </si>
  <si>
    <t>ตี๋ เครื่องกล รู้จักกันผ่านกิจกรรมฐานเรือ และเสร็จกิจกรรมชวนไปเล่นบอร์ดเกมกันต่อหลังมอ</t>
  </si>
  <si>
    <t>พี่วาโย ครุ พี่</t>
  </si>
  <si>
    <t>ปัตตาละโพธิ์</t>
  </si>
  <si>
    <t>พี่วาโย ตอนเล่นฐานเรือ</t>
  </si>
  <si>
    <t xml:space="preserve">เทียนทิพย์ </t>
  </si>
  <si>
    <t>คนซื่อ</t>
  </si>
  <si>
    <t>สุธาวัลนี</t>
  </si>
  <si>
    <t>ทัศนานุตริยกุล</t>
  </si>
  <si>
    <t>กฤตภาส</t>
  </si>
  <si>
    <t>วัชรประภาวงศ์</t>
  </si>
  <si>
    <t>พุ่มพุด</t>
  </si>
  <si>
    <t xml:space="preserve">กษมา </t>
  </si>
  <si>
    <t>จ้นเทพา</t>
  </si>
  <si>
    <t>คณาธิป</t>
  </si>
  <si>
    <t>เวลุวรรณใน</t>
  </si>
  <si>
    <t>สร้อยปาน</t>
  </si>
  <si>
    <t>อภิษฎา</t>
  </si>
  <si>
    <t>วชิรศรีสุนทรา</t>
  </si>
  <si>
    <t>เอมมิกา</t>
  </si>
  <si>
    <t>วรรณชาติ</t>
  </si>
  <si>
    <t>จันทสิงห์</t>
  </si>
  <si>
    <t>คุเณสกร</t>
  </si>
  <si>
    <t>ทำเนาว์</t>
  </si>
  <si>
    <t>เผยโคกสูง</t>
  </si>
  <si>
    <t xml:space="preserve">ญาณิศา </t>
  </si>
  <si>
    <t>ชัยจินดา</t>
  </si>
  <si>
    <t>ปริวัฒน์</t>
  </si>
  <si>
    <t>พ้นทุกข์</t>
  </si>
  <si>
    <t>กันตินันท์</t>
  </si>
  <si>
    <t>อ้นนา</t>
  </si>
  <si>
    <t>ชิตประจักษ์</t>
  </si>
  <si>
    <t>สวัสดิโสภา</t>
  </si>
  <si>
    <t>ขัดพูล</t>
  </si>
  <si>
    <t>ธนัชวิชญ์</t>
  </si>
  <si>
    <t>ภูยาดาว</t>
  </si>
  <si>
    <t>ศุภวัฒน์</t>
  </si>
  <si>
    <t>สังขสูตร</t>
  </si>
  <si>
    <t>เศรษฐพิทยากุล</t>
  </si>
  <si>
    <t>.</t>
  </si>
  <si>
    <t>ฐิติมนรัตน์</t>
  </si>
  <si>
    <t>เฟย์ คอมอินเตอร์</t>
  </si>
  <si>
    <t>สนองผล</t>
  </si>
  <si>
    <t>แอม HDS</t>
  </si>
  <si>
    <t>เบส HDS</t>
  </si>
  <si>
    <t>วิธาร</t>
  </si>
  <si>
    <t>สนธิธรรม</t>
  </si>
  <si>
    <t>ผักบุ้ง HDS</t>
  </si>
  <si>
    <t>รวงข้าว HDS</t>
  </si>
  <si>
    <t>อลิซ HDS</t>
  </si>
  <si>
    <t>เอี่ยมสิริปรีดา</t>
  </si>
  <si>
    <t>รู้จักเฟย์ จากกิจกรรมดึงป้ายชื่อ เพราะยืนอยู่ด้วยกันและช่วยกันดึงของฝ่ายตรงข้าม</t>
  </si>
  <si>
    <t>พี่ข้าวฟ่าง,พี่น้ำปาย,พี่ธัญญ่า HDS</t>
  </si>
  <si>
    <t>ฤกษ์งาม</t>
  </si>
  <si>
    <t>พี่ข้าวฟ่าง รู้จักเพราะเป็นรุ่นพี่โรงเรียนเดียวกันและพี่ข้าวฟ่างให้ข้อมูลได้ดีมาก</t>
  </si>
  <si>
    <t>ณิชาพร</t>
  </si>
  <si>
    <t>สุภรุ่งอรุณ</t>
  </si>
  <si>
    <t>ธีระวัฒน์</t>
  </si>
  <si>
    <t>อะนาดรัมย์</t>
  </si>
  <si>
    <t xml:space="preserve">ธันยวัต </t>
  </si>
  <si>
    <t>ระดาพันธ์</t>
  </si>
  <si>
    <t>อชิตะ</t>
  </si>
  <si>
    <t>หอมทอง</t>
  </si>
  <si>
    <t>ประเสริฐสังข์</t>
  </si>
  <si>
    <t>สะนิเลาะ</t>
  </si>
  <si>
    <t>ปกรณ์</t>
  </si>
  <si>
    <t>ปุญญา</t>
  </si>
  <si>
    <t xml:space="preserve">พิพัฒนพร </t>
  </si>
  <si>
    <t>นรมาตร</t>
  </si>
  <si>
    <t>วรเศรษฐ์</t>
  </si>
  <si>
    <t>อภิโชติสัมฤทธิ์</t>
  </si>
  <si>
    <t>ภูมัย</t>
  </si>
  <si>
    <t>ดีวงษ์ตระกูล</t>
  </si>
  <si>
    <t>มิรัตนไพร</t>
  </si>
  <si>
    <t>เก้าสิริ</t>
  </si>
  <si>
    <t>ธีรสุนทรานันท์</t>
  </si>
  <si>
    <t>ปราณปรียา</t>
  </si>
  <si>
    <t>สวัสดิภาพ</t>
  </si>
  <si>
    <t xml:space="preserve">สุชานันท์ </t>
  </si>
  <si>
    <t>เปิงขุนทด</t>
  </si>
  <si>
    <t>เตชะธนาเลิศ</t>
  </si>
  <si>
    <t>พีรศักดิ์</t>
  </si>
  <si>
    <t>บุรีงาม</t>
  </si>
  <si>
    <t>มัณยานนท์</t>
  </si>
  <si>
    <t xml:space="preserve">พชรเวช </t>
  </si>
  <si>
    <t>ศศิศ</t>
  </si>
  <si>
    <t>กลัดเจริญ</t>
  </si>
  <si>
    <t>เอกทวี</t>
  </si>
  <si>
    <t>พงษ์สิทธิกาญนา</t>
  </si>
  <si>
    <t xml:space="preserve">มีพร้อม </t>
  </si>
  <si>
    <t>นนทลีรักษ์</t>
  </si>
  <si>
    <t>สุธินันท์</t>
  </si>
  <si>
    <t>กระทู้นันท์</t>
  </si>
  <si>
    <t>สังข์สิงห์</t>
  </si>
  <si>
    <t xml:space="preserve">สรสิช </t>
  </si>
  <si>
    <t>อิฐงาม</t>
  </si>
  <si>
    <t>วัชรินทร์</t>
  </si>
  <si>
    <t>ภีม cpe</t>
  </si>
  <si>
    <t>คงตา</t>
  </si>
  <si>
    <t>ภูผา cpe</t>
  </si>
  <si>
    <t>V Cpe</t>
  </si>
  <si>
    <t xml:space="preserve">อัจฉริยะ </t>
  </si>
  <si>
    <t>สมตระกูล</t>
  </si>
  <si>
    <t>ซัน cpe</t>
  </si>
  <si>
    <t>ปลาย cpe</t>
  </si>
  <si>
    <t>ธนัฐ</t>
  </si>
  <si>
    <t>ร่มเย็น</t>
  </si>
  <si>
    <t>ภีม รู้จักจากกิจกรรมเตรียมเข้าสาขาcpe</t>
  </si>
  <si>
    <t>พี่ภู พี่เกียร์ พี่จิ๋ว</t>
  </si>
  <si>
    <t>เกียร์ กิจกรรมเตรียมพร้อมสาขา cpe</t>
  </si>
  <si>
    <t xml:space="preserve">ปภากร </t>
  </si>
  <si>
    <t>วงษ์สว่าง</t>
  </si>
  <si>
    <t>นิมมิดา</t>
  </si>
  <si>
    <t>รุณจักร</t>
  </si>
  <si>
    <t>ยะหัตตะ</t>
  </si>
  <si>
    <t>จิรวัฒน์</t>
  </si>
  <si>
    <t>แหวนวงษ์</t>
  </si>
  <si>
    <t>ภูธีมา</t>
  </si>
  <si>
    <t>ธนภณ</t>
  </si>
  <si>
    <t>ปันเขียว</t>
  </si>
  <si>
    <t>รินรดา</t>
  </si>
  <si>
    <t>หินอ่อน</t>
  </si>
  <si>
    <t>พศวีร์</t>
  </si>
  <si>
    <t>ปัญญาศรีวินิจ</t>
  </si>
  <si>
    <t>ปนัดดา</t>
  </si>
  <si>
    <t>แป้นสุข</t>
  </si>
  <si>
    <t>ชญาดา</t>
  </si>
  <si>
    <t>กองพร</t>
  </si>
  <si>
    <t>รฐนนท์</t>
  </si>
  <si>
    <t>รองเดช</t>
  </si>
  <si>
    <t>นริศรา</t>
  </si>
  <si>
    <t>ยากอง</t>
  </si>
  <si>
    <t>ณัฏฐ์ชญา</t>
  </si>
  <si>
    <t>เพชรกรณ์</t>
  </si>
  <si>
    <t>นนท์ธรัฐ</t>
  </si>
  <si>
    <t>พรไพศาลนนท์</t>
  </si>
  <si>
    <t>พชร</t>
  </si>
  <si>
    <t>เชยคำดี</t>
  </si>
  <si>
    <t xml:space="preserve">นราวิชญ์ </t>
  </si>
  <si>
    <t>บุญเกื้อเกียรติ</t>
  </si>
  <si>
    <t>นัฐชิวชล</t>
  </si>
  <si>
    <t>จิระกูลวัฒน์</t>
  </si>
  <si>
    <t xml:space="preserve">จิรัฏฐ์ </t>
  </si>
  <si>
    <t>ละลี</t>
  </si>
  <si>
    <t>วริทธิ์</t>
  </si>
  <si>
    <t>แจ้งวงษ์</t>
  </si>
  <si>
    <t>กานต์</t>
  </si>
  <si>
    <t>กิตติกานต์</t>
  </si>
  <si>
    <t xml:space="preserve">คมพิศิษฐ์ </t>
  </si>
  <si>
    <t>คล่องเชิงสาร</t>
  </si>
  <si>
    <t>ข้าวปุ้น ape</t>
  </si>
  <si>
    <t>เกม me</t>
  </si>
  <si>
    <t>ยงยุทธ์</t>
  </si>
  <si>
    <t>เสมสำราญ</t>
  </si>
  <si>
    <t>เปรม pe</t>
  </si>
  <si>
    <t>โฟล์คten</t>
  </si>
  <si>
    <t xml:space="preserve">รภัสสิทธิ์ </t>
  </si>
  <si>
    <t>ภัทรกิจสวัสดิ์</t>
  </si>
  <si>
    <t>ฟ่าง ape</t>
  </si>
  <si>
    <t>แพท ape</t>
  </si>
  <si>
    <t>เกม เจอกันได้เพราะนั่งข้างๆกันแล้วคุยถูกคอ</t>
  </si>
  <si>
    <t xml:space="preserve">อัณติกา​ </t>
  </si>
  <si>
    <t>พี่เฟิส พี่โชคดี พี่ฟิว</t>
  </si>
  <si>
    <t>มะณี</t>
  </si>
  <si>
    <t>พี่โชคดี เดินเข้าไปคุยกับพี่เขาแล้วเฟรนลี่ดี</t>
  </si>
  <si>
    <t>siradanai</t>
  </si>
  <si>
    <t xml:space="preserve">panna </t>
  </si>
  <si>
    <t>พงศ์ศิริ</t>
  </si>
  <si>
    <t>ใจดี</t>
  </si>
  <si>
    <t xml:space="preserve">อรนิดา </t>
  </si>
  <si>
    <t>จันทบุรี</t>
  </si>
  <si>
    <t>บุญศิริ</t>
  </si>
  <si>
    <t>โภคิน</t>
  </si>
  <si>
    <t>เฮง</t>
  </si>
  <si>
    <t>หาญณรงค์</t>
  </si>
  <si>
    <t>ปังคะดารา</t>
  </si>
  <si>
    <t xml:space="preserve">พฤกษ์ </t>
  </si>
  <si>
    <t xml:space="preserve">พักรกรึก </t>
  </si>
  <si>
    <t>ภาคิน</t>
  </si>
  <si>
    <t>คุ้มพรม</t>
  </si>
  <si>
    <t>ปิ่นมณี</t>
  </si>
  <si>
    <t>ชนะภัย</t>
  </si>
  <si>
    <t xml:space="preserve">ธัญยธรณ์ </t>
  </si>
  <si>
    <t>สันติเฟื่องกุล</t>
  </si>
  <si>
    <t>วรรณประเข</t>
  </si>
  <si>
    <t>ทิพจิตตา</t>
  </si>
  <si>
    <t>สุวรรณชัย</t>
  </si>
  <si>
    <t>ภารดี</t>
  </si>
  <si>
    <t>รพีศักดิ์</t>
  </si>
  <si>
    <t>โกลิบุตร</t>
  </si>
  <si>
    <t>พิมพ์พชรพร</t>
  </si>
  <si>
    <t>ป้อมสวัสดิ์</t>
  </si>
  <si>
    <t>รีฮาน</t>
  </si>
  <si>
    <t>ก๊าซ</t>
  </si>
  <si>
    <t xml:space="preserve"> มีสาวงษ์</t>
  </si>
  <si>
    <t>สุทธิสังข์</t>
  </si>
  <si>
    <t>ชวกร</t>
  </si>
  <si>
    <t>บุญญาภิสิทธิ์สุข</t>
  </si>
  <si>
    <t>เจแปน EE</t>
  </si>
  <si>
    <t>พุทธิวัต</t>
  </si>
  <si>
    <t>อินต๊ะ</t>
  </si>
  <si>
    <t>ต้น EE</t>
  </si>
  <si>
    <t>เจมส์ EE</t>
  </si>
  <si>
    <t>กาย EE</t>
  </si>
  <si>
    <t>พงศ์วิชญ์</t>
  </si>
  <si>
    <t>สาธุ</t>
  </si>
  <si>
    <t>โชติ EE</t>
  </si>
  <si>
    <t>หนึ่งเดียว EE</t>
  </si>
  <si>
    <t xml:space="preserve">ชัชพล </t>
  </si>
  <si>
    <t>เจแปน จากการเข้าค่ายbee camp</t>
  </si>
  <si>
    <t>จิราภานุกูล</t>
  </si>
  <si>
    <t>พี่บีม EE , พี่แฮม EE , พี่ปัน EE</t>
  </si>
  <si>
    <t>พี่บีม EE พาเดิน</t>
  </si>
  <si>
    <t>Yossaphon</t>
  </si>
  <si>
    <t>Sintuvanon</t>
  </si>
  <si>
    <t>Thanawat</t>
  </si>
  <si>
    <t xml:space="preserve">Kongchaiyantr </t>
  </si>
  <si>
    <t>Purinat</t>
  </si>
  <si>
    <t>Yothinwat</t>
  </si>
  <si>
    <t xml:space="preserve">Pitchayapa </t>
  </si>
  <si>
    <t xml:space="preserve">Pratitas </t>
  </si>
  <si>
    <t>Salisa</t>
  </si>
  <si>
    <t>Khunakornbodin</t>
  </si>
  <si>
    <t xml:space="preserve">Thanwalai </t>
  </si>
  <si>
    <t>Boonbao</t>
  </si>
  <si>
    <t>Kittirat</t>
  </si>
  <si>
    <t xml:space="preserve">Witchuprasittikorn </t>
  </si>
  <si>
    <t>Pathanin</t>
  </si>
  <si>
    <t>Chonskunthavorn</t>
  </si>
  <si>
    <t>Thae ThinZar Zaw</t>
  </si>
  <si>
    <t>-</t>
  </si>
  <si>
    <t>Natthakarn</t>
  </si>
  <si>
    <t>Sopee</t>
  </si>
  <si>
    <t>Chanisorn</t>
  </si>
  <si>
    <t>Siritanakorn</t>
  </si>
  <si>
    <t>Jaturon</t>
  </si>
  <si>
    <t>Jeeramakorn</t>
  </si>
  <si>
    <t>ศุภวิชญ์</t>
  </si>
  <si>
    <t>วุฒา</t>
  </si>
  <si>
    <t>Kulchayarat</t>
  </si>
  <si>
    <t>Anuprasert</t>
  </si>
  <si>
    <t xml:space="preserve">Khyatimonta </t>
  </si>
  <si>
    <t>Gogoi</t>
  </si>
  <si>
    <t>Tharithaphon</t>
  </si>
  <si>
    <t>Pichitpreecha</t>
  </si>
  <si>
    <t>Monrada</t>
  </si>
  <si>
    <t>Chawengworakij</t>
  </si>
  <si>
    <t>Arithat</t>
  </si>
  <si>
    <t>Athiwatphakin</t>
  </si>
  <si>
    <t>Nyan Lin</t>
  </si>
  <si>
    <t>Htet</t>
  </si>
  <si>
    <t>Prem</t>
  </si>
  <si>
    <t>Supthaksina</t>
  </si>
  <si>
    <t>Nattanon</t>
  </si>
  <si>
    <t>Phichairat</t>
  </si>
  <si>
    <t>Papada</t>
  </si>
  <si>
    <t>Jantornkhajornrat</t>
  </si>
  <si>
    <t>โอเมส</t>
  </si>
  <si>
    <t>ซิงห์</t>
  </si>
  <si>
    <t>Athipapat</t>
  </si>
  <si>
    <t>Meknuntapaisit</t>
  </si>
  <si>
    <t>Suphatas</t>
  </si>
  <si>
    <t>Ploylert</t>
  </si>
  <si>
    <t>Wasakorn</t>
  </si>
  <si>
    <t>Pakdee</t>
  </si>
  <si>
    <t>Ratchapol</t>
  </si>
  <si>
    <t>Rungrasmee</t>
  </si>
  <si>
    <t>Panas</t>
  </si>
  <si>
    <t>Wattakavanich</t>
  </si>
  <si>
    <t>Jirayu</t>
  </si>
  <si>
    <t>Suteevarangkul</t>
  </si>
  <si>
    <t>Buachompoo</t>
  </si>
  <si>
    <t>Tongtoop</t>
  </si>
  <si>
    <t>Rujikorn</t>
  </si>
  <si>
    <t>Sriwangkam</t>
  </si>
  <si>
    <t>Kittiphan</t>
  </si>
  <si>
    <t>Sinsomboon</t>
  </si>
  <si>
    <t>Pattanun</t>
  </si>
  <si>
    <t>Ampaporn</t>
  </si>
  <si>
    <t>Kanyanat</t>
  </si>
  <si>
    <t>1.1 ต้นธาร TME</t>
  </si>
  <si>
    <t>Laowongkotr</t>
  </si>
  <si>
    <t>ต้นธาร TME</t>
  </si>
  <si>
    <t>Bhanuruj</t>
  </si>
  <si>
    <t xml:space="preserve">Sukonpanthu </t>
  </si>
  <si>
    <t>โต้ TME</t>
  </si>
  <si>
    <t>surachat</t>
  </si>
  <si>
    <t>suntharawong</t>
  </si>
  <si>
    <t>พรมเมือง</t>
  </si>
  <si>
    <t xml:space="preserve">Panyapat </t>
  </si>
  <si>
    <t xml:space="preserve">Luangmoon </t>
  </si>
  <si>
    <t>รู้จักวันสัมภาษณ์</t>
  </si>
  <si>
    <t>พิชญะ</t>
  </si>
  <si>
    <t>ศักดาอาภรณ์</t>
  </si>
  <si>
    <t>คิดไม่ออก คิดไม่ออก</t>
  </si>
  <si>
    <t>Purichaya</t>
  </si>
  <si>
    <t>Thongyoun</t>
  </si>
  <si>
    <t>พี่ภูมิใจดีหล่อ</t>
  </si>
  <si>
    <t>พุ่มไม้</t>
  </si>
  <si>
    <t>นิธิชัย เพ็ชรสัจจะ</t>
  </si>
  <si>
    <t>ก๊อปแก๊ป</t>
  </si>
  <si>
    <t>Palutt</t>
  </si>
  <si>
    <t>Phuengkonburi</t>
  </si>
  <si>
    <t>ภูมิภัทร</t>
  </si>
  <si>
    <t>มังกรเดชสกุล</t>
  </si>
  <si>
    <t>Chaiwarit</t>
  </si>
  <si>
    <t xml:space="preserve">Khaobang </t>
  </si>
  <si>
    <t>Myo</t>
  </si>
  <si>
    <t>Hlaing</t>
  </si>
  <si>
    <t>ชนาธิป</t>
  </si>
  <si>
    <t>เหรียญประชา</t>
  </si>
  <si>
    <t>Nontacha</t>
  </si>
  <si>
    <t>Jarusiri</t>
  </si>
  <si>
    <t>Theetat</t>
  </si>
  <si>
    <t>Kraisarin</t>
  </si>
  <si>
    <t>อาคารภาควิชาจุลชีววิทยา</t>
  </si>
  <si>
    <t>Yuuta</t>
  </si>
  <si>
    <t>Suzuki</t>
  </si>
  <si>
    <t>Nopparuth</t>
  </si>
  <si>
    <t>Saelee</t>
  </si>
  <si>
    <t>ภูมิรพี</t>
  </si>
  <si>
    <t>พวงดอกไม้</t>
  </si>
  <si>
    <t>Tunyawat</t>
  </si>
  <si>
    <t>Wangbenjasukhee</t>
  </si>
  <si>
    <t>Jiranut</t>
  </si>
  <si>
    <t>Natpatirungroj</t>
  </si>
  <si>
    <t xml:space="preserve">Chollada </t>
  </si>
  <si>
    <t xml:space="preserve">Wannasirikul </t>
  </si>
  <si>
    <t>Narisara</t>
  </si>
  <si>
    <t>Theprin</t>
  </si>
  <si>
    <t>รุจิปราชญ์</t>
  </si>
  <si>
    <t xml:space="preserve">Sitapa </t>
  </si>
  <si>
    <t>Nakbubpha</t>
  </si>
  <si>
    <t>Pichanan</t>
  </si>
  <si>
    <t>Petchkratum</t>
  </si>
  <si>
    <t>วิทวัสภาส</t>
  </si>
  <si>
    <t>Pannawich</t>
  </si>
  <si>
    <t>Sompadung</t>
  </si>
  <si>
    <t xml:space="preserve">Hathaichanok </t>
  </si>
  <si>
    <t>Namboran</t>
  </si>
  <si>
    <t xml:space="preserve">Nattapong </t>
  </si>
  <si>
    <t>Cheawchan</t>
  </si>
  <si>
    <t>Nawarat</t>
  </si>
  <si>
    <t>Yoovanichanon</t>
  </si>
  <si>
    <t>Kittikom</t>
  </si>
  <si>
    <t>Suksaeng</t>
  </si>
  <si>
    <t>Chakhriya</t>
  </si>
  <si>
    <t>Luelaeo</t>
  </si>
  <si>
    <t>สุธีพงศ์</t>
  </si>
  <si>
    <t>ไชยวุฒิ</t>
  </si>
  <si>
    <t xml:space="preserve">Papangkorn Meethong </t>
  </si>
  <si>
    <t>Phun</t>
  </si>
  <si>
    <t xml:space="preserve">Aung Thura </t>
  </si>
  <si>
    <t>Htun</t>
  </si>
  <si>
    <t>ปาณิสรา</t>
  </si>
  <si>
    <t>เขียวคำ</t>
  </si>
  <si>
    <t>Rawiporn</t>
  </si>
  <si>
    <t>Thanasupawat</t>
  </si>
  <si>
    <t xml:space="preserve">Chawanwit </t>
  </si>
  <si>
    <t>Chowpanya</t>
  </si>
  <si>
    <t>Dhanakrit</t>
  </si>
  <si>
    <t>Poompeam</t>
  </si>
  <si>
    <t xml:space="preserve">Kaweerat </t>
  </si>
  <si>
    <t>Aungsabanan</t>
  </si>
  <si>
    <t>วงศ์วริศ</t>
  </si>
  <si>
    <t>หรรษนิมิตรกุล</t>
  </si>
  <si>
    <t>Norrawit</t>
  </si>
  <si>
    <t>Suthakiatsakul</t>
  </si>
  <si>
    <t>มุ่ยten</t>
  </si>
  <si>
    <t>ปั้นten</t>
  </si>
  <si>
    <t>เตชทิพากร</t>
  </si>
  <si>
    <t>เบสten</t>
  </si>
  <si>
    <t>Thawin</t>
  </si>
  <si>
    <t>Choosart</t>
  </si>
  <si>
    <t>อาร์มmen</t>
  </si>
  <si>
    <t>Nannaphat</t>
  </si>
  <si>
    <t>เตape</t>
  </si>
  <si>
    <t>Aonwang</t>
  </si>
  <si>
    <t>ภูเดชา</t>
  </si>
  <si>
    <t>ยูริฟักแฟงโอ้ต</t>
  </si>
  <si>
    <t>ใจสุข</t>
  </si>
  <si>
    <t>อาร์ม เจอที่นัดหมาย หน้าตาดูน่าคุยดี</t>
  </si>
  <si>
    <t xml:space="preserve">Pokpong </t>
  </si>
  <si>
    <t>Sanapitak</t>
  </si>
  <si>
    <t>โอเว่น เฟิร์ส รัฐแทททู(หน้าเหมือน)</t>
  </si>
  <si>
    <t>Thanakorn</t>
  </si>
  <si>
    <t>พี่โพธิ์ fibo คุยถูกคอที่โรงอาหารหอญ.</t>
  </si>
  <si>
    <t>Pankamnued</t>
  </si>
  <si>
    <t>ชนวีร์</t>
  </si>
  <si>
    <t>พิมพ์โปร่ง</t>
  </si>
  <si>
    <t>Sofie</t>
  </si>
  <si>
    <t>Mork Knudsen</t>
  </si>
  <si>
    <t>Parinwat</t>
  </si>
  <si>
    <t>Buarungsri</t>
  </si>
  <si>
    <t>Jirachart</t>
  </si>
  <si>
    <t>Srimuang</t>
  </si>
  <si>
    <t>Fakram</t>
  </si>
  <si>
    <t>Rukmanee</t>
  </si>
  <si>
    <t>Nattapon</t>
  </si>
  <si>
    <t>Pluemkitmongkol</t>
  </si>
  <si>
    <t>Nontawat</t>
  </si>
  <si>
    <t>Jampa</t>
  </si>
  <si>
    <t xml:space="preserve">Suphachai </t>
  </si>
  <si>
    <t xml:space="preserve">Aroonprapharat </t>
  </si>
  <si>
    <t>มุสตาฟา</t>
  </si>
  <si>
    <t>Pawarisa</t>
  </si>
  <si>
    <t>Chairat</t>
  </si>
  <si>
    <t xml:space="preserve">Yanwarut </t>
  </si>
  <si>
    <t>Chutisorn</t>
  </si>
  <si>
    <t xml:space="preserve">wiranyupa </t>
  </si>
  <si>
    <t xml:space="preserve">Permkitsathaporn </t>
  </si>
  <si>
    <t xml:space="preserve">Nan Moh Moh </t>
  </si>
  <si>
    <t>Yin</t>
  </si>
  <si>
    <t xml:space="preserve">Pornpawit </t>
  </si>
  <si>
    <t>Rungrueng</t>
  </si>
  <si>
    <t>Suwisit</t>
  </si>
  <si>
    <t>Pumin</t>
  </si>
  <si>
    <t>Phoobadee</t>
  </si>
  <si>
    <t>Suwannarut</t>
  </si>
  <si>
    <t>Pawarich</t>
  </si>
  <si>
    <t>Jitpreecharn</t>
  </si>
  <si>
    <t>เศรษฐพัฒน์</t>
  </si>
  <si>
    <t>เจตเขตการณ์</t>
  </si>
  <si>
    <t xml:space="preserve">Chisanupong </t>
  </si>
  <si>
    <t xml:space="preserve">Kanadnid </t>
  </si>
  <si>
    <t>Varagron</t>
  </si>
  <si>
    <t xml:space="preserve">Tungtrakuludom </t>
  </si>
  <si>
    <t>Varit</t>
  </si>
  <si>
    <t>Bandhumasuta</t>
  </si>
  <si>
    <t>Thanat</t>
  </si>
  <si>
    <t>Termboonphati</t>
  </si>
  <si>
    <t>Peerawish</t>
  </si>
  <si>
    <t>Nithinukulwong</t>
  </si>
  <si>
    <t>Kritapath</t>
  </si>
  <si>
    <t>Tanapholpaiboon</t>
  </si>
  <si>
    <t>Romteera</t>
  </si>
  <si>
    <t xml:space="preserve">Chitvuttichot </t>
  </si>
  <si>
    <t>นวกินจังสรรค์</t>
  </si>
  <si>
    <t xml:space="preserve">Kunchira </t>
  </si>
  <si>
    <t xml:space="preserve">Yuntasri </t>
  </si>
  <si>
    <t>Noppakun</t>
  </si>
  <si>
    <t>Naktranan</t>
  </si>
  <si>
    <t>Chanunthorn</t>
  </si>
  <si>
    <t>Bunkaewpom</t>
  </si>
  <si>
    <t>Pakin</t>
  </si>
  <si>
    <t>Thaninwaradon</t>
  </si>
  <si>
    <t>Pimmada</t>
  </si>
  <si>
    <t>Somjai</t>
  </si>
  <si>
    <t xml:space="preserve">Thanapat </t>
  </si>
  <si>
    <t>Thaveepun</t>
  </si>
  <si>
    <t>ดัง เปียนโน พอเพียง ออม ต้าหลิว</t>
  </si>
  <si>
    <t>Jiratheep</t>
  </si>
  <si>
    <t>Sudthong</t>
  </si>
  <si>
    <t>ดัง PE</t>
  </si>
  <si>
    <t>Yensira</t>
  </si>
  <si>
    <t>เปียนโน PE</t>
  </si>
  <si>
    <t>Montrisawetkull</t>
  </si>
  <si>
    <t>พอเพียง PE</t>
  </si>
  <si>
    <t>Pornpreeyada</t>
  </si>
  <si>
    <t>Karanet</t>
  </si>
  <si>
    <t>Ronakorn</t>
  </si>
  <si>
    <t>ต้าหลิว PE</t>
  </si>
  <si>
    <t>Piyasaengthong</t>
  </si>
  <si>
    <t>Pann</t>
  </si>
  <si>
    <t>Pucksomporn</t>
  </si>
  <si>
    <t>ดัง เฟรนลี่ น่าคุย</t>
  </si>
  <si>
    <t>กรวีร์</t>
  </si>
  <si>
    <t>พี่ข้าวฟ่าง พี่มะเดียว พี่บิว</t>
  </si>
  <si>
    <t>คามะปะโส</t>
  </si>
  <si>
    <t>พี่ข้าวฟ่าง CPE ใจเย็นตอนเข้าเเถว ให้คำปรึกษาดี</t>
  </si>
  <si>
    <t>Pollapat</t>
  </si>
  <si>
    <t>Varith</t>
  </si>
  <si>
    <t xml:space="preserve">Natchaya Sakhonchan </t>
  </si>
  <si>
    <t>Tran</t>
  </si>
  <si>
    <t>ณัฎฐ์ธนัน</t>
  </si>
  <si>
    <t>อิงคมนตรี</t>
  </si>
  <si>
    <t xml:space="preserve">Khunparb </t>
  </si>
  <si>
    <t xml:space="preserve">Karunannot </t>
  </si>
  <si>
    <t>ศิริวงศ์</t>
  </si>
  <si>
    <t>Chomchan</t>
  </si>
  <si>
    <t>Sittikit</t>
  </si>
  <si>
    <t>Chirapipat</t>
  </si>
  <si>
    <t>Sriboonchan</t>
  </si>
  <si>
    <t>Sirirat</t>
  </si>
  <si>
    <t xml:space="preserve">Wongputtisin </t>
  </si>
  <si>
    <t xml:space="preserve">Thorn </t>
  </si>
  <si>
    <t xml:space="preserve">Pokabut </t>
  </si>
  <si>
    <t>Janitchaya</t>
  </si>
  <si>
    <t>Phutiwatthaphong</t>
  </si>
  <si>
    <t>Thanatwat</t>
  </si>
  <si>
    <t>Taweewattanakul</t>
  </si>
  <si>
    <t>Netithon</t>
  </si>
  <si>
    <t>Sunthonwaree</t>
  </si>
  <si>
    <t>Ye Yint</t>
  </si>
  <si>
    <t>Thura</t>
  </si>
  <si>
    <t>วิริยาภัทร</t>
  </si>
  <si>
    <t>ทองแพร</t>
  </si>
  <si>
    <t>Vassamol</t>
  </si>
  <si>
    <t>Ruksamata</t>
  </si>
  <si>
    <t>ศุภโชติ</t>
  </si>
  <si>
    <t>เจียระคงมั่น</t>
  </si>
  <si>
    <t>Supakkawit</t>
  </si>
  <si>
    <t>Mansricharoen</t>
  </si>
  <si>
    <t>Phatthanan</t>
  </si>
  <si>
    <t>Siriboribunphan</t>
  </si>
  <si>
    <t>Somboon</t>
  </si>
  <si>
    <t>Napat</t>
  </si>
  <si>
    <t>Wangyos</t>
  </si>
  <si>
    <t xml:space="preserve">Kulnadda </t>
  </si>
  <si>
    <t xml:space="preserve">Limprasert </t>
  </si>
  <si>
    <t xml:space="preserve">Wiwawan </t>
  </si>
  <si>
    <t xml:space="preserve">Poolthong </t>
  </si>
  <si>
    <t>Paramate</t>
  </si>
  <si>
    <t>Semdee</t>
  </si>
  <si>
    <t>Chonchanok</t>
  </si>
  <si>
    <t>Kasemsarnruedee</t>
  </si>
  <si>
    <t>Teachin</t>
  </si>
  <si>
    <t>Rinthong</t>
  </si>
  <si>
    <t>สมพงษ์</t>
  </si>
  <si>
    <t>แก้วเกตุชฎาพร</t>
  </si>
  <si>
    <t>Pithayaporn</t>
  </si>
  <si>
    <t>Detwongrat</t>
  </si>
  <si>
    <t>Rodpranee</t>
  </si>
  <si>
    <t>โพธิกร</t>
  </si>
  <si>
    <t>ลอยวานิช</t>
  </si>
  <si>
    <t xml:space="preserve">Wasutorn </t>
  </si>
  <si>
    <t>Thongbai</t>
  </si>
  <si>
    <t xml:space="preserve">Kaewkesorn </t>
  </si>
  <si>
    <t>Phattharawadi</t>
  </si>
  <si>
    <t xml:space="preserve">Chaisakhan </t>
  </si>
  <si>
    <t>Nunnapat</t>
  </si>
  <si>
    <t xml:space="preserve">Pangsaad </t>
  </si>
  <si>
    <t>Shawn</t>
  </si>
  <si>
    <t xml:space="preserve">Maurice-Adebulu </t>
  </si>
  <si>
    <t>Chayanut</t>
  </si>
  <si>
    <t>Saengsuwannapha</t>
  </si>
  <si>
    <t xml:space="preserve">Chayapon </t>
  </si>
  <si>
    <t xml:space="preserve">Poungpool </t>
  </si>
  <si>
    <t>น้ำเหนือ isee</t>
  </si>
  <si>
    <t>ฟ้า pe</t>
  </si>
  <si>
    <t xml:space="preserve">เกม pe </t>
  </si>
  <si>
    <t>Ratthapak</t>
  </si>
  <si>
    <t>Jumpaburi</t>
  </si>
  <si>
    <t>แตม pe</t>
  </si>
  <si>
    <t>นัท me</t>
  </si>
  <si>
    <t>นันทสิทธิ์</t>
  </si>
  <si>
    <t>สุโฆษสมิต</t>
  </si>
  <si>
    <t>Thitipong</t>
  </si>
  <si>
    <t>Thirarungreaung</t>
  </si>
  <si>
    <t>นัท me ปฐมนิเทศ</t>
  </si>
  <si>
    <t>Sittipak</t>
  </si>
  <si>
    <t>พี่แพรว pe พี่ไก่ ee พี่โน๊ต ce</t>
  </si>
  <si>
    <t>Kumsan</t>
  </si>
  <si>
    <t>พี่แพรว pe ปฐมนิเทศ</t>
  </si>
  <si>
    <t>Khamduang</t>
  </si>
  <si>
    <t>Plaifa</t>
  </si>
  <si>
    <t>Saimueang</t>
  </si>
  <si>
    <t xml:space="preserve">Arisara </t>
  </si>
  <si>
    <t>Vanit-anunchai</t>
  </si>
  <si>
    <t>Tumpapon</t>
  </si>
  <si>
    <t>Imjamlong</t>
  </si>
  <si>
    <t xml:space="preserve">Phyo Nyein Kyaw </t>
  </si>
  <si>
    <t>Lattachai</t>
  </si>
  <si>
    <t>Phaisalrojanarat</t>
  </si>
  <si>
    <t>สุรีย์มาศ</t>
  </si>
  <si>
    <t>ใจคำ</t>
  </si>
  <si>
    <t>Supakon</t>
  </si>
  <si>
    <t>Inpen</t>
  </si>
  <si>
    <t>นพวรรณพร</t>
  </si>
  <si>
    <t xml:space="preserve">Boonyakorn </t>
  </si>
  <si>
    <t xml:space="preserve">Mahakrong </t>
  </si>
  <si>
    <t>Surinwong</t>
  </si>
  <si>
    <t>Supatchayae</t>
  </si>
  <si>
    <t>Vaichotika</t>
  </si>
  <si>
    <t xml:space="preserve">Watcharakorn </t>
  </si>
  <si>
    <t xml:space="preserve">Soisanoi </t>
  </si>
  <si>
    <t>Kritsakorn</t>
  </si>
  <si>
    <t>Yusapol</t>
  </si>
  <si>
    <t>ทัชมาดา</t>
  </si>
  <si>
    <t>โพธิ์สอาด</t>
  </si>
  <si>
    <t>Natthawat</t>
  </si>
  <si>
    <t>Romrujanakorn</t>
  </si>
  <si>
    <t xml:space="preserve">Chomphunut </t>
  </si>
  <si>
    <t xml:space="preserve">Bualomkaew </t>
  </si>
  <si>
    <t>kittinan</t>
  </si>
  <si>
    <t>Duangphosri</t>
  </si>
  <si>
    <t>Patiwat</t>
  </si>
  <si>
    <t>Lapyai</t>
  </si>
  <si>
    <t>Nattawat</t>
  </si>
  <si>
    <t>Jairaksantisuk</t>
  </si>
  <si>
    <t xml:space="preserve">Palita </t>
  </si>
  <si>
    <t xml:space="preserve">Laphrom </t>
  </si>
  <si>
    <t xml:space="preserve">Bhone </t>
  </si>
  <si>
    <t>Myat</t>
  </si>
  <si>
    <t>Athiwich</t>
  </si>
  <si>
    <t>Kuemontree</t>
  </si>
  <si>
    <t>Pyae Phyo</t>
  </si>
  <si>
    <t>Maung</t>
  </si>
  <si>
    <t>Thanapon</t>
  </si>
  <si>
    <t>Charoenphon</t>
  </si>
  <si>
    <t>Bhone Min</t>
  </si>
  <si>
    <t>Thant</t>
  </si>
  <si>
    <t>Intart</t>
  </si>
  <si>
    <t>Thongmak</t>
  </si>
  <si>
    <t>Warinthorn</t>
  </si>
  <si>
    <t>Kachornnantachai</t>
  </si>
  <si>
    <t>Kondanai</t>
  </si>
  <si>
    <t>คำภาอินทร์</t>
  </si>
  <si>
    <t>Oorakanya</t>
  </si>
  <si>
    <t>Krajangjeang</t>
  </si>
  <si>
    <t>Jatuporn</t>
  </si>
  <si>
    <t>Suttiwannopat</t>
  </si>
  <si>
    <t>Hsupyaepyaehmue@gmail.com sleè33</t>
  </si>
  <si>
    <t>Hmue</t>
  </si>
  <si>
    <t xml:space="preserve">Nyein Hsu Hsu </t>
  </si>
  <si>
    <t xml:space="preserve">Myat </t>
  </si>
  <si>
    <t>Kritphong Sangtong</t>
  </si>
  <si>
    <t>Jet</t>
  </si>
  <si>
    <t>Achira</t>
  </si>
  <si>
    <t>Chirarat</t>
  </si>
  <si>
    <t>Raiwin</t>
  </si>
  <si>
    <t>Sutthanan</t>
  </si>
  <si>
    <t>Pathon</t>
  </si>
  <si>
    <t>Swangvutipoka</t>
  </si>
  <si>
    <t>Kolavat</t>
  </si>
  <si>
    <t>Wiriyanukulsup</t>
  </si>
  <si>
    <t>Nithiwat</t>
  </si>
  <si>
    <t>Kaewchaiya</t>
  </si>
  <si>
    <t xml:space="preserve">PITCHAYA </t>
  </si>
  <si>
    <t>KOSAI</t>
  </si>
  <si>
    <t>เจ me</t>
  </si>
  <si>
    <t>ปุณยวีร์</t>
  </si>
  <si>
    <t>โอม ME</t>
  </si>
  <si>
    <t>ศุภวัฒนพงศ์</t>
  </si>
  <si>
    <t>ข้าวหอม me</t>
  </si>
  <si>
    <t>Korndanai</t>
  </si>
  <si>
    <t>Chetthawiwattana</t>
  </si>
  <si>
    <t>เนิด me</t>
  </si>
  <si>
    <t>Pun</t>
  </si>
  <si>
    <t>ปลื้ม me</t>
  </si>
  <si>
    <t>Chantra</t>
  </si>
  <si>
    <t/>
  </si>
  <si>
    <t>โอม me เพื่อนโดนเปลี่ยนชื่อออกไปพูดเเนะนำตัว</t>
  </si>
  <si>
    <t>พี่เปา พี่ปอร์น พี่ถุงเงิน ME</t>
  </si>
  <si>
    <t>พี่เปา Me เสียงดังดีครัย</t>
  </si>
  <si>
    <t>แม็ค เครื่องกล</t>
  </si>
  <si>
    <t>คิม env</t>
  </si>
  <si>
    <t>วินเนอร์ ame</t>
  </si>
  <si>
    <t>ข้าวปั้น ame</t>
  </si>
  <si>
    <t>กบ ce</t>
  </si>
  <si>
    <t>แม็ก กิจกรรมฐาน</t>
  </si>
  <si>
    <t>พี่ปอนด์ me พี่บอส ame พี่อัส me</t>
  </si>
  <si>
    <t>พี่บอส รู้จักตอนรุ่นพี่คุยกับรุ่นน้อง</t>
  </si>
  <si>
    <t>1.1 เอ็ม 1.2วีโก้ 1.3 ต่อ 1.4 นนท์ 1.5 เบส</t>
  </si>
  <si>
    <t>เอ็ม ENE</t>
  </si>
  <si>
    <t xml:space="preserve">ต่อ ENE </t>
  </si>
  <si>
    <t>นนท์ ENE</t>
  </si>
  <si>
    <t>เบส MCE</t>
  </si>
  <si>
    <t xml:space="preserve">เอ็ม รู้จักจากกิจกรรม ENE FIRST MEET </t>
  </si>
  <si>
    <t>พี่ทัช (ENE) , พี่ไผ่ (ENE) , พี่ดาด้า (ENE)</t>
  </si>
  <si>
    <t>พี่ทัช รู้จักรุ่นพี่จากกิจกรรม ENE FIRST MEET</t>
  </si>
  <si>
    <t>กาย ตัง อุ้ม แน่ เอิท</t>
  </si>
  <si>
    <t>ตัง ไฟฟ้า</t>
  </si>
  <si>
    <t>อุ้ม ไฟฟ้า</t>
  </si>
  <si>
    <t>แน่ ไฟฟ้า</t>
  </si>
  <si>
    <t>เอิท ไฟฟ้า</t>
  </si>
  <si>
    <t>BEE CAMP เล่นกับเพื่อน ๆ</t>
  </si>
  <si>
    <t>พี่บีม พี่แฮม พี่เตส</t>
  </si>
  <si>
    <t>พี่อะตอม รุ่นพี่ชอบถ่ายรูป</t>
  </si>
  <si>
    <t>1.นัท 2.สายป่าน 3.นิวส์ 4.เมจิ 5.จะจ๋า</t>
  </si>
  <si>
    <t>สายป่าน cpe</t>
  </si>
  <si>
    <t>นิวส์ cpe</t>
  </si>
  <si>
    <t>จะจ๋า cpe</t>
  </si>
  <si>
    <t>เมจิ cpe</t>
  </si>
  <si>
    <t>ท้อป cpe</t>
  </si>
  <si>
    <t>นัท รู้จักจากนั่งข้างกัน</t>
  </si>
  <si>
    <t>ไอซ์ cpe ข้าวฟ่าง cpe ไทม์ cpe</t>
  </si>
  <si>
    <t>ข้าวฝ่าง รุ่นพี่ในสาขา</t>
  </si>
  <si>
    <t>อัลฟ่า mce</t>
  </si>
  <si>
    <t>มีน mce</t>
  </si>
  <si>
    <t>เขต mce</t>
  </si>
  <si>
    <t>สตาร์ mce</t>
  </si>
  <si>
    <t>เฟรม mce</t>
  </si>
  <si>
    <t>อัลฟ่า ได้รู้จักจาก ไอจีกลุ่มล่ะได้ไปทำกิ</t>
  </si>
  <si>
    <t>พี่คีตา พี่ฟูจิ พี่น้ำค้าง</t>
  </si>
  <si>
    <t>พี่ ฟูจิเจอที่ค่าตติวเป็นพี่ในสาจาครับ</t>
  </si>
  <si>
    <t>ติน ภาคอุตสาขาเม็คคา</t>
  </si>
  <si>
    <t>ภีม ภาคอุต</t>
  </si>
  <si>
    <t>นัท ภาคโยธา</t>
  </si>
  <si>
    <t>ใบบุญ ภาคสิ่งแวดล้อม</t>
  </si>
  <si>
    <t>จีโน่ ภาคอิเล็ก</t>
  </si>
  <si>
    <t>เรน ภาคอิเล็ก</t>
  </si>
  <si>
    <t>ใบบุญ รู้จักจากไปเตะบอลด้วยกันแล้วเพื่อนนิสัยดี</t>
  </si>
  <si>
    <t>เฟิร์ส ภาคอุต เอ็ม ภาคอุต โกโก้ ภาคอุต</t>
  </si>
  <si>
    <t>ติน รู้จักจากฐานเรือซิ่ง ประทับใจเพราะหล่อ</t>
  </si>
  <si>
    <t>บุ๊ค ENE</t>
  </si>
  <si>
    <t>ขนมปัง ENE</t>
  </si>
  <si>
    <t>โอม ENE</t>
  </si>
  <si>
    <t>ไนน์ ENE</t>
  </si>
  <si>
    <t>เอ็มกับบุ๊ค ได้เล่นเปสแล้วชนะด้วยกัน</t>
  </si>
  <si>
    <t>พี่กาน พี่ซัน พี่บีเฟิร์ส ENE</t>
  </si>
  <si>
    <t>พี่กาน หลอกผมให้เช็คชื่อ</t>
  </si>
  <si>
    <t>Science Learning Space</t>
  </si>
  <si>
    <t>มาวิน คอม</t>
  </si>
  <si>
    <t>อีธาน คอม</t>
  </si>
  <si>
    <t>หญิง คอม</t>
  </si>
  <si>
    <t>กันเอง วัดคลุม</t>
  </si>
  <si>
    <t>กันต์ แมคา</t>
  </si>
  <si>
    <t>หญิง เจอตอนเข้าแถวรอทำกิจกรรมรอบบ่าย</t>
  </si>
  <si>
    <t>P'น้ำ คอม P'นอธ คอม P'มะเมี่ยว</t>
  </si>
  <si>
    <t>P'ไอซ์ จากดอดจ์บอล มุกแปก</t>
  </si>
  <si>
    <t>ปลื้ม CE</t>
  </si>
  <si>
    <t>ข้าว PE</t>
  </si>
  <si>
    <t>มิว INC</t>
  </si>
  <si>
    <t>คิม PE</t>
  </si>
  <si>
    <t>ปลื้ม จากปฐมนิเทศ</t>
  </si>
  <si>
    <t>ผมไม่รู้ครับ (สาระ)</t>
  </si>
  <si>
    <t>หนูดี Cpe</t>
  </si>
  <si>
    <t>เต็ม Ee</t>
  </si>
  <si>
    <t>ปาย Env</t>
  </si>
  <si>
    <t>ปายปาย Cpe</t>
  </si>
  <si>
    <t xml:space="preserve">ไทร Ene </t>
  </si>
  <si>
    <t>โบววี่ Ene</t>
  </si>
  <si>
    <t>ไทร เล่นฐานกันสนุก</t>
  </si>
  <si>
    <t>พี่กานต์ พี่เบ้นส์ พี่เเพม Ene</t>
  </si>
  <si>
    <t>หนูดี ไปกินข้าวพร้อมกัน คุยกัน</t>
  </si>
  <si>
    <t>ต้นข้าว MCE</t>
  </si>
  <si>
    <t>กัส MCE</t>
  </si>
  <si>
    <t>อัลฟ่า MCE</t>
  </si>
  <si>
    <t xml:space="preserve">ติณ MCE </t>
  </si>
  <si>
    <t>มีน MCE</t>
  </si>
  <si>
    <t>หมูหยอง MCE</t>
  </si>
  <si>
    <t>ต้นข้าวเป็นคนที่คุยเป็นคนแรกๆเงียบๆเหมือนกัน</t>
  </si>
  <si>
    <t>หม่ำ เท่ง โหน่ง</t>
  </si>
  <si>
    <t>กิจกรรมลงทะเบียน</t>
  </si>
  <si>
    <t>ตั้ม อุต</t>
  </si>
  <si>
    <t>พร้อม อุต</t>
  </si>
  <si>
    <t>พง อุต</t>
  </si>
  <si>
    <t>ต้ะ อุค</t>
  </si>
  <si>
    <t>โส อุต</t>
  </si>
  <si>
    <t>พง เพื่อนเดินมาถามว่าห้องน้ำอยุ่ไหน</t>
  </si>
  <si>
    <t>ฟิก นัท ดาว อุต</t>
  </si>
  <si>
    <t>ฟิก ให้คำปรึกษาเรื่องมหาลัย</t>
  </si>
  <si>
    <t>ปั๊บ ภาควัดคุม</t>
  </si>
  <si>
    <t>ดิว ภาคโยธา</t>
  </si>
  <si>
    <t>นิว ภาคสิ่งแสดล้อม</t>
  </si>
  <si>
    <t>เพลง ภาคเคมี</t>
  </si>
  <si>
    <t>เฟื่องฟู ภาคโยธา</t>
  </si>
  <si>
    <t>รู้จักปั๊บจากฐานที่ต้องเอากระดาษออกมาจากหลังแล้วล้มค่ะ</t>
  </si>
  <si>
    <t>พี่ข้าวฟ่าง CPE พี่ขนุนPE พี่ไอซ์ CPE</t>
  </si>
  <si>
    <t>รู้จักพี่ขนุนจากฐานนาฬิกาที่หาเวลาว่างค่ะ</t>
  </si>
  <si>
    <t>ท็อป ไฟฟ้า</t>
  </si>
  <si>
    <t>นอล ไฟฟ้า</t>
  </si>
  <si>
    <t>พิมพ์ ไฟฟ้า</t>
  </si>
  <si>
    <t>เพนท์เตอร์ วิศวะคอม</t>
  </si>
  <si>
    <t>กิจกรรมเข้าฐาน ได้คุยกัน รู้จักกัน</t>
  </si>
  <si>
    <t>พี่บีม พี่ขุน พี่หลิว ไฟฟ้า</t>
  </si>
  <si>
    <t>พี่บีม พี่บีมใจดี ดูแลน้อง ๆ ดีมาก</t>
  </si>
  <si>
    <t>ปลื้ม เครื่องกล</t>
  </si>
  <si>
    <t>ซี ยานยนต์</t>
  </si>
  <si>
    <t>ออมสิน เครื่องกล</t>
  </si>
  <si>
    <t>ปั้น ยานยนต์</t>
  </si>
  <si>
    <t>ใบเตย ยานยนต์</t>
  </si>
  <si>
    <t>ใบตอง ยานยนต์</t>
  </si>
  <si>
    <t>ดีมากเป็นไงเองพูดเพราะ</t>
  </si>
  <si>
    <t>นนท์ โยธา</t>
  </si>
  <si>
    <t>ป้อง เคมี</t>
  </si>
  <si>
    <t>โมเม เครื่องกล</t>
  </si>
  <si>
    <t>แจ็คกี้ ไฟฟ้า</t>
  </si>
  <si>
    <t>หวาน วัสดุ</t>
  </si>
  <si>
    <t>นนท์ ช่วยกันคอนเกมดึงป้ายชื่อ</t>
  </si>
  <si>
    <t>แอลม่อน ไฟฟ้า บีม ไฟฟ้า ไผ่หลิว ไฟฟ้า</t>
  </si>
  <si>
    <t>พี่แอลม่อน พูดแนะนำภาค</t>
  </si>
  <si>
    <t>เมย์ cpe</t>
  </si>
  <si>
    <t>ตัน cpe</t>
  </si>
  <si>
    <t>เฟย์ cpe</t>
  </si>
  <si>
    <t>เมย์ cpe ได้นั่งคุยกันก่อนเข้าปฐมนิเทศ เพื่อนน่ารักมากๆ</t>
  </si>
  <si>
    <t>พี่ฟลุ๊ค cpe / พี่ครีม cpe / พี่ข้าวฟ่าง cpe</t>
  </si>
  <si>
    <t>พี่ฟลุ๊ค cpe ได้คุยตอนก่อนเข้าปฐมนิเทศ เพราะพี่ฟลุ๊คหน้าเหมือนคนที่รู้จัก</t>
  </si>
  <si>
    <t>แพรว cpe</t>
  </si>
  <si>
    <t>ฟ้า cpe</t>
  </si>
  <si>
    <t>อิ๋ง cpe</t>
  </si>
  <si>
    <t>โอปอ cpe</t>
  </si>
  <si>
    <t>มุกหอม cpe</t>
  </si>
  <si>
    <t>ภีม รู้จักตอนกินข้าวระหว่างรอเข้ากิจกรรม Tue welcome</t>
  </si>
  <si>
    <t>พี่น้ำ พี่ที พี่เจแปน cpe</t>
  </si>
  <si>
    <t>พี่ก้อง รู้จักจากการที่ไปเข้าร่วมกิจกรรม cpe freshly โดยพี่ก้องได้นำตัวนักศึกษาไปยังสถานที่กิจกรรม</t>
  </si>
  <si>
    <t>โอมpe</t>
  </si>
  <si>
    <t>ขุยแผนcpe</t>
  </si>
  <si>
    <t>โอ้ตme</t>
  </si>
  <si>
    <t>พึกme</t>
  </si>
  <si>
    <t>ไอcpe</t>
  </si>
  <si>
    <t>พึกme เจอกันในกิจกรรมนาฬิกา เพื่อนหัวกลมๆดูน่าจะเฟรนลี่มากเลยเข้าไปทักครับ</t>
  </si>
  <si>
    <t>ไม่มีรุ้จักใครเลยครับผม</t>
  </si>
  <si>
    <t>ไม่รุ้จักใครเลยครับ</t>
  </si>
  <si>
    <t>บิ้ก TME</t>
  </si>
  <si>
    <t>ฟลุ๊ค TME</t>
  </si>
  <si>
    <t>โปรด EE</t>
  </si>
  <si>
    <t>อาม EE</t>
  </si>
  <si>
    <t>มอส TME</t>
  </si>
  <si>
    <t>โปรด รู้จักกันเพราะไปเล่นบอร์ดเกมด้วยกัน</t>
  </si>
  <si>
    <t>พี่วอฟกัง CPE พี่ข้าว</t>
  </si>
  <si>
    <t>อาม รู้จักกันที่KFC</t>
  </si>
  <si>
    <t>เปรม icpe</t>
  </si>
  <si>
    <t>ปลื้ม cpe</t>
  </si>
  <si>
    <t>มิก icpe</t>
  </si>
  <si>
    <t>หนูดี cpe</t>
  </si>
  <si>
    <t>จั๋ง icpe</t>
  </si>
  <si>
    <t xml:space="preserve">หนูดี เขานั่งอยู่ข้างๆตอนpreเฟรชชี่ </t>
  </si>
  <si>
    <t>พี่เกียร์ พี่กัน พี่บะหมี่ cpe</t>
  </si>
  <si>
    <t>พี่กัน รู้จักเพราะว่าเป็นที่ควบคุม</t>
  </si>
  <si>
    <t>ต้อง ภาควิชาคอมพิวเตอร์</t>
  </si>
  <si>
    <t>โอม ภาควิชาคอมพิวเตอร์</t>
  </si>
  <si>
    <t>ลีโอ ภาควิชาเครื่องกล</t>
  </si>
  <si>
    <t>ฟูจิ ภาควิชาคอมพิวเตอร์</t>
  </si>
  <si>
    <t>ปั๋ม ภาควิชาไฟฟ้า</t>
  </si>
  <si>
    <t>จุล ภาควิชาคอมพิวเตอร์</t>
  </si>
  <si>
    <t>ฟูจิ(cpe) Pre-Freshy ตลก ฮา</t>
  </si>
  <si>
    <t>พี่นาย(ENE) พี่เจเจ(PE) พี่บิว(CPE)</t>
  </si>
  <si>
    <t>พี่เฟม(CPE)Pre-freshy</t>
  </si>
  <si>
    <t>o</t>
  </si>
  <si>
    <t>พีท ise</t>
  </si>
  <si>
    <t>แอล isee</t>
  </si>
  <si>
    <t>เตเต้ pe</t>
  </si>
  <si>
    <t>ไอวี่ isee</t>
  </si>
  <si>
    <t>แพน isee</t>
  </si>
  <si>
    <t>รี isee</t>
  </si>
  <si>
    <t>พีท ชวนเข้ากลุ่มแล้วก็นั่งกินข้าวด้วยกัน</t>
  </si>
  <si>
    <t>พี่ปิ่น เเนะนำกิจกรรม</t>
  </si>
  <si>
    <t>พี่บอส ชวนเข้าkmutt</t>
  </si>
  <si>
    <t>อิน เครื่องมือและวัสดุ</t>
  </si>
  <si>
    <t>นิว สิ่งแวดล้อม</t>
  </si>
  <si>
    <t>กิจกรรมฐาน ทักทายกันตอนเล่นกิจกรรม</t>
  </si>
  <si>
    <t xml:space="preserve">ไม่รู้จัก         </t>
  </si>
  <si>
    <t xml:space="preserve">ไม่รู้จัก       </t>
  </si>
  <si>
    <t>K</t>
  </si>
  <si>
    <t>ต้า isee</t>
  </si>
  <si>
    <t>เต้ pe</t>
  </si>
  <si>
    <t>คุ้ม cpe</t>
  </si>
  <si>
    <t>Ivy isee</t>
  </si>
  <si>
    <t>อยุ่ข้าวแลเวชวนคุน</t>
  </si>
  <si>
    <t>บิงโกpe  มุขpe สปายpe</t>
  </si>
  <si>
    <t>พี่ปิงโก เพราะพี่เขายืนอยุ่เลนแซวเขาครับ นิสะยดีครับ ึุยสนุกครับ</t>
  </si>
  <si>
    <t>ซัน เครื่องกล</t>
  </si>
  <si>
    <t>คุ้ม โยธา</t>
  </si>
  <si>
    <t>พัตเตอร์ คอม</t>
  </si>
  <si>
    <t>คอปเปอร์ สิ่งแวดล้อม</t>
  </si>
  <si>
    <t>ซัน เจอกันตอนมาตรวจร่างกาย</t>
  </si>
  <si>
    <t>ภูมิ เจมส์ เกม เครื่องกล</t>
  </si>
  <si>
    <t>คุ้ม เจอกันที่โรงอาหาร</t>
  </si>
  <si>
    <t>พีชpe</t>
  </si>
  <si>
    <t>พีชpe นาฬิกากับยิงเรือ ฟังคุยสนุกดี</t>
  </si>
  <si>
    <t>พี่ขนุน พี่ปอนนี่ พี่สายพิน</t>
  </si>
  <si>
    <t>พี่ปอนนี่ ตัวใหญ่ดีแหละ</t>
  </si>
  <si>
    <t>ปลื้ม กล</t>
  </si>
  <si>
    <t>แชมป์ กล</t>
  </si>
  <si>
    <t>พีม กล</t>
  </si>
  <si>
    <t>กวาง กล</t>
  </si>
  <si>
    <t>เบส inc</t>
  </si>
  <si>
    <t>ภูมิ จากกิจกรรมถ่ายภาพ</t>
  </si>
  <si>
    <t xml:space="preserve">พี่ปอนด์ พี่โจนัท </t>
  </si>
  <si>
    <t>พี่ปอนด์ สันทนาการ</t>
  </si>
  <si>
    <t>ข้าวตัง ไฟฟ้า</t>
  </si>
  <si>
    <t>อิ่มเอิบ อุตสาหการ</t>
  </si>
  <si>
    <t>มิกกี้ เครื่องกล</t>
  </si>
  <si>
    <t>ต่อ ไฟฟ้าสื่อสาร</t>
  </si>
  <si>
    <t>ข้าวตัง จากกิจกรรมวิ่งเก็บกระดาษ</t>
  </si>
  <si>
    <t>ไผ่หลิว บีม ลัคกี้</t>
  </si>
  <si>
    <t>ลัคกี้ ชอบกิจกรรมยิงเรือ</t>
  </si>
  <si>
    <t>ปลื้ม ภาคไฟฟ้า</t>
  </si>
  <si>
    <t>ภูดิส ภาคยานยนต์</t>
  </si>
  <si>
    <t>มาท ภาคไฟฟ้าสื่อสาร</t>
  </si>
  <si>
    <t>บีม ภาค ไฟฟ้าสื่อสาร</t>
  </si>
  <si>
    <t>พั้น ภาคโยธา</t>
  </si>
  <si>
    <t>บีม กิจกรรมปาบอล เพื่อนมีเอนเนอจี้เยอะดี</t>
  </si>
  <si>
    <t>พี่บีม ไฟฟ้า พี่จุง ไฟฟ้า พี่พี ไฟฟ้า</t>
  </si>
  <si>
    <t>พี่บีม ร้องเพลงเพราะน่ารักน่าเเกล้ง</t>
  </si>
  <si>
    <t>ฟูจิ วิศวกรรมคอมพิวเตอร์</t>
  </si>
  <si>
    <t>ปาย วิศวกรรมคอมพิวเตอร์</t>
  </si>
  <si>
    <t>ซัน วิศวกรรมคอมพิวเตอร์</t>
  </si>
  <si>
    <t>วี วิศวกรรมคอมพิวเตอร์</t>
  </si>
  <si>
    <t>ภูผา วิศวกรรมคอมพิวเตอร์</t>
  </si>
  <si>
    <t>ฟูจิ pre freshy</t>
  </si>
  <si>
    <t>น้ำ cpe เกียร์ cpe พัตเตอร์ cpe</t>
  </si>
  <si>
    <t>เกียร์ pre freshy</t>
  </si>
  <si>
    <t>วัช ภาคไฟฟ้า</t>
  </si>
  <si>
    <t>พี่บีม ภาคไฟฟ้า</t>
  </si>
  <si>
    <t>ออม ภาคไฟฟ้า</t>
  </si>
  <si>
    <t>เต้อ ภาคไฟฟ้า</t>
  </si>
  <si>
    <t>เจมส์ ภาคไฟฟ้า</t>
  </si>
  <si>
    <t>เจมส์ รู้จักจากกิจกรรมดึงกระดาษบนหลัง ที่ตึกแดง ได้พูดคุยกันแล้วสนุกดี</t>
  </si>
  <si>
    <t>จำไม่ได้เลยครับ ไม่ค่อยได้คุยกับรุ่นพี่</t>
  </si>
  <si>
    <t>พี่บีมจากภาคไฟ คุยสนุกและเป็นคนสิงห์บุรี สำเนียงการพุดเลยคล้ายๆกันเพราะผมเองก็โตที่ชัยนาท</t>
  </si>
  <si>
    <t>ภาคอินเตอร์ (International program)</t>
  </si>
  <si>
    <t>Computer Engineering</t>
  </si>
  <si>
    <t>Kum Cpe</t>
  </si>
  <si>
    <t>Woraset cpe</t>
  </si>
  <si>
    <t>Painter cpe</t>
  </si>
  <si>
    <t>V cpe</t>
  </si>
  <si>
    <t>Pun cpe</t>
  </si>
  <si>
    <t>Kum we knew each other because we play basketball together</t>
  </si>
  <si>
    <t>Gear i knew him because i go to prefreshy camp</t>
  </si>
  <si>
    <t>Turbo cpe
Patter cpe
Gear cpe</t>
  </si>
  <si>
    <t>New ACIS system</t>
  </si>
  <si>
    <t>25 hours</t>
  </si>
  <si>
    <t>dl.lib.kmutt.ac.th website</t>
  </si>
  <si>
    <t>KMUTT Student Honors Day</t>
  </si>
  <si>
    <t>regis.kmutt.ac.th website</t>
  </si>
  <si>
    <t>RO.16 Request Form for Sick Leave / Personal Leave</t>
  </si>
  <si>
    <t>MODLINK application</t>
  </si>
  <si>
    <t>Cheating on an exam</t>
  </si>
  <si>
    <t>5th Floor, Engineering Building (Wissawa Wattana Building)</t>
  </si>
  <si>
    <t>Student ID card</t>
  </si>
  <si>
    <t>School of Liberal Arts Building</t>
  </si>
  <si>
    <t>HCU, 1st Floor, Classroom Building 1</t>
  </si>
  <si>
    <t>KMUTT Book Store, Car Parking Building 1</t>
  </si>
  <si>
    <t>Student Registration Office, 1st Floor, Office of The President Building</t>
  </si>
  <si>
    <t>ซอร์ ไฟฟ้า</t>
  </si>
  <si>
    <t>เจ เครื่องมือ</t>
  </si>
  <si>
    <t>บอล เครื่องกล</t>
  </si>
  <si>
    <t>ปลื้ม วัสดุ</t>
  </si>
  <si>
    <t>หยก วัสดุ</t>
  </si>
  <si>
    <t>เจ เครื่องมือวัด</t>
  </si>
  <si>
    <t>โอเว่น เฟิร์ส บอล</t>
  </si>
  <si>
    <t>โอเว่น แนะนำสาขา</t>
  </si>
  <si>
    <t>ฟ้า โนอาห์ แอม ต้าหลิว นินิว</t>
  </si>
  <si>
    <t>ฟ้า inc</t>
  </si>
  <si>
    <t>โนอาห์ inc</t>
  </si>
  <si>
    <t>แอม inc</t>
  </si>
  <si>
    <t>ต้าหลิว pe</t>
  </si>
  <si>
    <t>นินิว me</t>
  </si>
  <si>
    <t>ต้าหลิว เจอในกลุ่ม dream อยู่สีเดียวกัน เพื่อนสวยมาก</t>
  </si>
  <si>
    <t>พี่เจ พี่มี่มี่ พี่ปั้น</t>
  </si>
  <si>
    <t>พี่ปั้น แข่งงานเดียวกัน พี่เขาตลกดี</t>
  </si>
  <si>
    <t>ใบข้าว TME</t>
  </si>
  <si>
    <t>ตี๋ TME</t>
  </si>
  <si>
    <t>ภมิ TME</t>
  </si>
  <si>
    <t>ไมตี้ TME</t>
  </si>
  <si>
    <t>ปุ๋ยฝ้าย EE</t>
  </si>
  <si>
    <t>รักTME ทุกคน</t>
  </si>
  <si>
    <t>รุ้จัก ใบข้าวเพราะว่า นั่งข้างหน้าแล้วถ่ายคลิปโชว์เลยชวนคุย</t>
  </si>
  <si>
    <t>พี่ซื่อ TME พี่บิว CPE พี่อาร์ท TME</t>
  </si>
  <si>
    <t>พี่ซื่อ เพราะใจดีคุยด้วยสนุก</t>
  </si>
  <si>
    <t>ชูครีม มิว แอ้น เจน เฟิร์น พลอย</t>
  </si>
  <si>
    <t>ชูครีม ภาคอัตโนมัติ</t>
  </si>
  <si>
    <t>มิว ภาคอัตโน</t>
  </si>
  <si>
    <t>เจน ee</t>
  </si>
  <si>
    <t>เฟิร์น ee</t>
  </si>
  <si>
    <t>พลอย ee</t>
  </si>
  <si>
    <t>แอ้น ee</t>
  </si>
  <si>
    <t>ชูครีม ได้นั่งกินข้าวโต๊ะเดียวกัน</t>
  </si>
  <si>
    <t>บีม ee ไผาหลิว ee แฮม ee</t>
  </si>
  <si>
    <t>พี่ไผ่หลิว คุมน้อง</t>
  </si>
  <si>
    <t>ภูเบศ อิเล็กฯ</t>
  </si>
  <si>
    <t>ยู อิเล็กฯ</t>
  </si>
  <si>
    <t>พี เคมี</t>
  </si>
  <si>
    <t>เน็ค การผลิตชิ้นส่วนยานยนต์</t>
  </si>
  <si>
    <t>บีม อิเล็กฯ</t>
  </si>
  <si>
    <t>บีม นั่งทำกิจกรรมข้างๆกัน</t>
  </si>
  <si>
    <t>พี่ฟิวการผลิตอัจฉริยะ พี่เชนการผลิตอัจฉริยะ พี่โอเว่นการผลิตชิ้นส่วนยานยนต์</t>
  </si>
  <si>
    <t>พี่ฟิว เป็นประธานสาขา</t>
  </si>
  <si>
    <t>1.แพร 2.นมปัง 3.โบ 4.แตงโม 5.ชัช</t>
  </si>
  <si>
    <t>แพร ภาคอิเล้ก</t>
  </si>
  <si>
    <t>นมปัง อิเล้ก</t>
  </si>
  <si>
    <t>โบ อิเล้ก</t>
  </si>
  <si>
    <t>แตงโม อิเล้ก</t>
  </si>
  <si>
    <t>ชัช อิเล้ก</t>
  </si>
  <si>
    <t>โฟ้ก อิเล้ก</t>
  </si>
  <si>
    <t>ชัช เล่นฐานวันแรก ฐานนาฬิกา</t>
  </si>
  <si>
    <t>กานต์ เบน  บีเฟิด</t>
  </si>
  <si>
    <t>แพร รุ้จัดวันสองเดินมาเจอกันหน้า7</t>
  </si>
  <si>
    <t>มิ้นท์ สาขาแมคคา</t>
  </si>
  <si>
    <t>อ๋อมแอ๋ม (TME)</t>
  </si>
  <si>
    <t>ต้นข้าว (TME)</t>
  </si>
  <si>
    <t>บิว (TME)</t>
  </si>
  <si>
    <t>ลูกพีช (TME)</t>
  </si>
  <si>
    <t>อะตอม (TME)</t>
  </si>
  <si>
    <t>เปรม (TME)</t>
  </si>
  <si>
    <t>มิ้นท์ รู้จักจากการเป็นรูเมท</t>
  </si>
  <si>
    <t>พี่เฟิสร์ พี่มังกร พี่โอเว่น</t>
  </si>
  <si>
    <t>พี่เฟิสร์ คุยเก่ง</t>
  </si>
  <si>
    <t>สุ อิเล็ก</t>
  </si>
  <si>
    <t>เบส อิเล็ก</t>
  </si>
  <si>
    <t>เกมเครื่องกล</t>
  </si>
  <si>
    <t>บัง อุตสาหกรรม</t>
  </si>
  <si>
    <t>โฟรค การผลิตและเครื่องมือขั้นสูง</t>
  </si>
  <si>
    <t>สุ อยู่สาขาเดียวกัน และเคยไปกินตี๋น้อยด้วยกัน</t>
  </si>
  <si>
    <t>โชคดี ไอซ์ มอส ENE</t>
  </si>
  <si>
    <t xml:space="preserve">โชคดี จากfirst meet </t>
  </si>
  <si>
    <t>ติน MCE</t>
  </si>
  <si>
    <t>เวียร์ MCE</t>
  </si>
  <si>
    <t>นะ MCE</t>
  </si>
  <si>
    <t xml:space="preserve">อัลฟ่า </t>
  </si>
  <si>
    <t>นะ MCE เป็นเพื่อนในสาขามีนัดไปเล่นบอร์ดเกมกันหลังจบกิจกรรมทำให้เจอเพื่อนในสาขาคนอื่นๆ</t>
  </si>
  <si>
    <t>พี่ตี๋ EV พี่มะเมี๋ยว CE พี่ปัณ</t>
  </si>
  <si>
    <t>พี่ลัคกี้ พี่พร จากฐานยิงเรือเป็นฐานเเรกของวัน</t>
  </si>
  <si>
    <t>เพนต์เตอร์ cpe</t>
  </si>
  <si>
    <t>Namo cpe</t>
  </si>
  <si>
    <t>Poom cpe</t>
  </si>
  <si>
    <t xml:space="preserve">Ice me </t>
  </si>
  <si>
    <t>Poom INC</t>
  </si>
  <si>
    <t>นะโม รู้จักจากการเป็นคู่หูเล่นบาสชวนไปเล่นบาสด้วยกัน คุยเรื่องบาสด้วยกัน</t>
  </si>
  <si>
    <t>พี่เฟรม พี่พัตเตอร์ พี่ต้นน้ำ</t>
  </si>
  <si>
    <t>พี่เฟรม เพราะพี่เขาสอนเขียนโค้ดได้เข้าใจมาก</t>
  </si>
  <si>
    <t xml:space="preserve">เต หม่อน ใบข้าว เล่อ หมิง </t>
  </si>
  <si>
    <t>เต(TME)</t>
  </si>
  <si>
    <t>หม่อน(TME)</t>
  </si>
  <si>
    <t>ใบข้าว(TME)</t>
  </si>
  <si>
    <t>เล่อ(TME)</t>
  </si>
  <si>
    <t>หมิง(TME)</t>
  </si>
  <si>
    <t>ข้างฟ้าง(TME฿</t>
  </si>
  <si>
    <t>หม่อน นอนตลอดคุยสนุก</t>
  </si>
  <si>
    <t>โอเว่น(TME)ฟิว(TME)พลอย(TME)</t>
  </si>
  <si>
    <t>โอเว่นช่วยตอบคำถามแก้ไขปัญหา</t>
  </si>
  <si>
    <t>ปอนด์  mce</t>
  </si>
  <si>
    <t>สวิส me</t>
  </si>
  <si>
    <t>เบลล์ วัดกุม</t>
  </si>
  <si>
    <t>แบงค์ ee</t>
  </si>
  <si>
    <t>สุบิน ee</t>
  </si>
  <si>
    <t>ปอนด์ ถ่ายรูปรวมภาค</t>
  </si>
  <si>
    <t>จำไม่ได้ จำไม่ได้ จำไม่ได้</t>
  </si>
  <si>
    <t>จำไม่ได้  พี่ที่เล่นมุ๊กฐานดอร์จบอลมุกเขาแปกดี</t>
  </si>
  <si>
    <t>ปอน ภาคเครื่องมือและวัสดุ</t>
  </si>
  <si>
    <t>กัญญ์ ภาคเครื่องมือและวัสดุ</t>
  </si>
  <si>
    <t>แฮม ภาคเครื่องมือและวัสดุ</t>
  </si>
  <si>
    <t>เนย ภาคเครื่องมือและวัสดุ</t>
  </si>
  <si>
    <t>มาย เครื่องมือเเละวัสดุ</t>
  </si>
  <si>
    <t>กัญญ์ กิจกรรมถ่ายรูปรวมภาค</t>
  </si>
  <si>
    <t>พี่โอเว่น พี่ฟิว พี่ภาคเครื่องมือและวัสดุ</t>
  </si>
  <si>
    <t>พี่ฟิว ถ่ายรูปรวมภาค</t>
  </si>
  <si>
    <t>นัท วิศวะโยธา</t>
  </si>
  <si>
    <t>จีโน่ วิศวะไฟฟ้า</t>
  </si>
  <si>
    <t>ใบบุญ วิศวะสิ่งแวดล้อม</t>
  </si>
  <si>
    <t>เรน วิศวะไฟฟ้า</t>
  </si>
  <si>
    <t>โฟล์ค วิศวะสิ่งแวดล้อมอินเตอร์</t>
  </si>
  <si>
    <t>ใบุบุญ เจอที่เกมยิงเรือ</t>
  </si>
  <si>
    <t>โกโก้ ภาค อุต เกื้อ ภาค วิศวะวัสดุ ภีม วิศวะเคมี</t>
  </si>
  <si>
    <t>พี่โชคดี เจอที่kfc</t>
  </si>
  <si>
    <t>ดัมเปอร์ โยธา นิสัยดีเป็นกันเอง มีความชอบ</t>
  </si>
  <si>
    <t>ภูมิ วัดคุม คอยช่วยงานตอนเรียนแฮนด์ออน เล่นเกมด้วยกัน</t>
  </si>
  <si>
    <t>ออม วัดคุม เฟรนลี่ มีมุมองคล้าย ๆ กัน</t>
  </si>
  <si>
    <t>ถิงถิง วัดคุม น่ารัก สุภาพ</t>
  </si>
  <si>
    <t>แก้มบุ๋ม เคมี คอยส่งกิจกรรมต่าง ๆ ในมอให้</t>
  </si>
  <si>
    <t>แก้มบุ๋ม เคมี เจอหน้าประตูห้องก็เลยเรียนแฮนด์ออนด้วยกัน เป็นคนคุยเก่ง</t>
  </si>
  <si>
    <t>ไม่รู้จักรุ่นพี่คนใดเลย</t>
  </si>
  <si>
    <t>กัน ภาคเครื่องมือและวัสดุ</t>
  </si>
  <si>
    <t>เหมือนฝัน ภาคเครื่องมือและวัสดุ</t>
  </si>
  <si>
    <t>หมิง ภาคเครื่องมือและวัสดุ</t>
  </si>
  <si>
    <t>ใบข้าว ภาคเครื่องมือและวัสดุ</t>
  </si>
  <si>
    <t>ปอนเจอตอนมาปฐมนิเทศ ตอนเช้า เข้ามาทัก</t>
  </si>
  <si>
    <t>1)พี่โอเว่น ภาคเครื่องมือและวัสดุ 2)พี่ฟิว ภาคเครื่องมือและวัสดุ 3)พี่นีโอ ภาคเครื่องมือและวัสดุ</t>
  </si>
  <si>
    <t>พี่โอเว่นเป็นที่ภาคให้คำแนะนำดีมาก</t>
  </si>
  <si>
    <t>แชมป์ เครื่องกล หล่อ</t>
  </si>
  <si>
    <t xml:space="preserve">กวาง เครื่องกล </t>
  </si>
  <si>
    <t>ซี เครื่องกล</t>
  </si>
  <si>
    <t>อิคคิว ไฟฟ้า</t>
  </si>
  <si>
    <t>อาฟาฟ วัดคุม</t>
  </si>
  <si>
    <t>แชมป์ จากการเข้าแถวแล้วถามชื่อ</t>
  </si>
  <si>
    <t>ปอนด์ เปา บอส เครื่องกลทั้ง 3 คน</t>
  </si>
  <si>
    <t>บอส ให้ความรู้หรือสิ่งที่สงสัยต่างๆ</t>
  </si>
  <si>
    <t>สทน.27 (คำร้องแจ้งความประสงค์ออกจากห้องเรียน)</t>
  </si>
  <si>
    <t>1.1 พิมมี่ 1.2 แพท 1.3 จ๊ะจ๋า 1.4 รวงข้าว 1.5 นิ้ง</t>
  </si>
  <si>
    <t>พิมมี่ cpe</t>
  </si>
  <si>
    <t>แพท cpe</t>
  </si>
  <si>
    <t>จ๊ะจ๋า cpe</t>
  </si>
  <si>
    <t>รวงข้าว cpe</t>
  </si>
  <si>
    <t>นิ้ง cpe</t>
  </si>
  <si>
    <t>พิมมี่ รู้จักตอนทานอาหารกลางวัน แล้วชวนกันไปออกกำลังกายตอนเย็นด้วยกัน</t>
  </si>
  <si>
    <t>พี่พราว che เป็นผู้นำเชียร์ พี่ทามและพี่ไอซ์ cpe เป็นพี่staff</t>
  </si>
  <si>
    <t>พี่ทาม cpe ตอนโยนบอลพี่เขาไปช่วยเก็บบอล</t>
  </si>
  <si>
    <t>เบล สิ่งแวดล้อม</t>
  </si>
  <si>
    <t>จีน่า สิ่งแวดล้อม</t>
  </si>
  <si>
    <t>มีมี่ ไฟฟ้า</t>
  </si>
  <si>
    <t>หมิง ยานยนต์</t>
  </si>
  <si>
    <t>เบล รู้จักจากฐานดึงป้ายที่เสื้อ คุยเก่ง เข้ากันได้ดีมากๆ</t>
  </si>
  <si>
    <t xml:space="preserve">พี่ลูกแพร pe พี่ไข่มุข pe </t>
  </si>
  <si>
    <t>พี่ลูกแพร จากกิจกรรมวันนี้</t>
  </si>
  <si>
    <t>ปลื้ม CPE</t>
  </si>
  <si>
    <t>นัท CPE</t>
  </si>
  <si>
    <t>เฟิรน์ EE</t>
  </si>
  <si>
    <t>เรนโบว์ EE</t>
  </si>
  <si>
    <t>แอนท์ EE</t>
  </si>
  <si>
    <t>ปลื้ม CPE ได้รู้จักจากการแบ่งกลุ่มวันที่ 25</t>
  </si>
  <si>
    <t>พี่บีม พี่ไอซ์ พี่นาย EE</t>
  </si>
  <si>
    <t>พี่บีม ตลก เป็นกันเอง</t>
  </si>
  <si>
    <t>มาวิน ENE โอสถ ENE วันพุธ ENE เต็งหนี่ง EIE โชค ENE</t>
  </si>
  <si>
    <t>โชค ENE</t>
  </si>
  <si>
    <t>มาวิน ENE</t>
  </si>
  <si>
    <t>โอสถ ENE</t>
  </si>
  <si>
    <t>เต็งหนึ่ง ENE</t>
  </si>
  <si>
    <t>วันพุธ ENE</t>
  </si>
  <si>
    <t>เต็งหนึ่ง make friend</t>
  </si>
  <si>
    <t>พี่โต๋ พี่ทิน พี่โชคดี</t>
  </si>
  <si>
    <t>พี่โต๋ ENE โดนหลอกสายรหัส</t>
  </si>
  <si>
    <t>ปลื้ม โยธา</t>
  </si>
  <si>
    <t>ปีโป้ โยธา</t>
  </si>
  <si>
    <t>นะโม env</t>
  </si>
  <si>
    <t>ปริ้น โยธา</t>
  </si>
  <si>
    <t>เอม โยธา</t>
  </si>
  <si>
    <t>ปลื้ม ไฟฟ้า</t>
  </si>
  <si>
    <t>ปีโป้เป็นคนตลกมาก</t>
  </si>
  <si>
    <t>พี่บีเฟิส พี่แพม พี่ไอซ์</t>
  </si>
  <si>
    <t>ตลกมากพี่แต่ละคน</t>
  </si>
  <si>
    <t>อตอม APE</t>
  </si>
  <si>
    <t>ภูริ Che</t>
  </si>
  <si>
    <t>แฮม ME</t>
  </si>
  <si>
    <t>ภูมิ ME</t>
  </si>
  <si>
    <t>ไตเติ้ล ME</t>
  </si>
  <si>
    <t>อตอม รู้จักจากการนั่งข้างๆกัน</t>
  </si>
  <si>
    <t>พี่แทน CE พี่คุณ ME</t>
  </si>
  <si>
    <t>พี่แพม เป็นพี่ฐาน</t>
  </si>
  <si>
    <t>เจม ภาคไฟฟ้า</t>
  </si>
  <si>
    <t>เนตร ภาคไฟฟ้า</t>
  </si>
  <si>
    <t>สอ ภาคไฟฟ้า</t>
  </si>
  <si>
    <t>เจน ภาคไฟฟ้า</t>
  </si>
  <si>
    <t>เฟีย ภาคไฟฟ้า</t>
  </si>
  <si>
    <t>เจม จาก bee camp ทำความรู้จักเพราะนั่งใกล้กัน เรียนเก่ง</t>
  </si>
  <si>
    <t>บอส ไอซ์ ไนน์ ภาคไฟฟ้า</t>
  </si>
  <si>
    <t xml:space="preserve">ไผ่หลิว bee camp คุยเก่ง </t>
  </si>
  <si>
    <t>ใบเตย เครื่องกล</t>
  </si>
  <si>
    <t>นนท์ เครื่องกล</t>
  </si>
  <si>
    <t>เนสต้า ยานยนต์</t>
  </si>
  <si>
    <t>เพื่อนเนสต้า อยู่บุรีรัมม.ปลายรร.เดียวกับพั้นรักแมว</t>
  </si>
  <si>
    <t>พี่สายพิณME พี่บอสME พี่ปอนด์ME</t>
  </si>
  <si>
    <t>พี่ปอนด์ME เรียนhonors</t>
  </si>
  <si>
    <t>เตอร์ ไฟฟ้า</t>
  </si>
  <si>
    <t>ชา อุตสหกรรม</t>
  </si>
  <si>
    <t>เฟรม เมคคาทรอลิก</t>
  </si>
  <si>
    <t>แน่ เป็นคนที่เข้ากันเพราะมีอะไรเหมือนๆกัน</t>
  </si>
  <si>
    <t>บีม ปัน ไผ่หลิว</t>
  </si>
  <si>
    <t>พี่บีมเพราะเป็นคนคอนประสานว่าควรทำอย่างไรและเป็นคยตลก</t>
  </si>
  <si>
    <t>ฟาฟ inc</t>
  </si>
  <si>
    <t>เว inc</t>
  </si>
  <si>
    <t>เฟิร์ส me</t>
  </si>
  <si>
    <t>เจเจ pe</t>
  </si>
  <si>
    <t>อาร์ม inc</t>
  </si>
  <si>
    <t>รู้จักจากวันปฐมนิเทศ 25 เข้าฐานด้วยกัน</t>
  </si>
  <si>
    <t>บุ๊ค วิดวะคอม บิว เครื่อง ไอซ์ คอม</t>
  </si>
  <si>
    <t>เจเจ รู้จักจากเดินไปทิ้งขยะ</t>
  </si>
  <si>
    <t xml:space="preserve">ออมสิน CPE </t>
  </si>
  <si>
    <t xml:space="preserve">ภีม CPE </t>
  </si>
  <si>
    <t xml:space="preserve">โอปอ CPE </t>
  </si>
  <si>
    <t xml:space="preserve">มุกหอม CPE </t>
  </si>
  <si>
    <t xml:space="preserve">อิ๋ง CPE </t>
  </si>
  <si>
    <t>ออมสิน กิจกรรมปฐมนิเทศ นั่งข้าง ๆ กัน</t>
  </si>
  <si>
    <t>พี่น้ำ พี่ที พี่เก้า cpe</t>
  </si>
  <si>
    <t>พี่น้ำ รู้จักเพราะเป็นพี่ที่อยู่คณะเดียวกัน ได้เจอกันตอนถ่ายรูปรวม</t>
  </si>
  <si>
    <t>เต</t>
  </si>
  <si>
    <t>เต ไฟฟ้า</t>
  </si>
  <si>
    <t>ว่องไว ำไฟฟ้า</t>
  </si>
  <si>
    <t>สมายด์ เคมี</t>
  </si>
  <si>
    <t>แอนนี่ ไฟฟ้า</t>
  </si>
  <si>
    <t>ปุยฝ้าย ไฟฟ้า</t>
  </si>
  <si>
    <t>อิ่ม แวดล้อม</t>
  </si>
  <si>
    <t>โยนบอล เขาช่วยผม</t>
  </si>
  <si>
    <t>พี่เซ็น พี่บอส พี่บัม</t>
  </si>
  <si>
    <t>พี่ขวัญ เพราะพี่ขวัญตลก</t>
  </si>
  <si>
    <t>โ</t>
  </si>
  <si>
    <t>ซัน ไฟฟ้า</t>
  </si>
  <si>
    <t>โชติ ไฟฟ้า</t>
  </si>
  <si>
    <t>ยามา เครื่องกล</t>
  </si>
  <si>
    <t>นน เครื่องกล</t>
  </si>
  <si>
    <t>ไอย์ ไฟฟ้า</t>
  </si>
  <si>
    <t>ยามา โยนบอลใส่กัน</t>
  </si>
  <si>
    <t>ริว ไฟฟ้า บอล คอม</t>
  </si>
  <si>
    <t>นน วิ่งเล่นจับกระดาษ</t>
  </si>
  <si>
    <t>พีช ภาคไฟฟ้า</t>
  </si>
  <si>
    <t>หยอง ภาคเครื่องกล</t>
  </si>
  <si>
    <t>กัสจัง ภาคเคมี</t>
  </si>
  <si>
    <t>ทาม ภาคไฟฟ้า</t>
  </si>
  <si>
    <t>เก่ง ภาคเครื่องกล</t>
  </si>
  <si>
    <t>หยอง ได้ทำกิจกรรม12นาฬิกา</t>
  </si>
  <si>
    <t>ไผ่หลิว พรีม แฮม</t>
  </si>
  <si>
    <t>ไผ่หลิว พี่กิจกรรมประจำกลุ่ม</t>
  </si>
  <si>
    <t>แซง วิศวะเครื่องมือและวัสดุ</t>
  </si>
  <si>
    <t>แบ็กกิ้น วิศวะโยธา</t>
  </si>
  <si>
    <t>ปั้น วิศวะสิ่งแวดล้อม</t>
  </si>
  <si>
    <t>ภีม วิศวะคอมพิวเตอร์</t>
  </si>
  <si>
    <t>นะโม วิศวะอุตสาหการ</t>
  </si>
  <si>
    <t>แบ็กกิ้น เจอเพื่อนนั่งกินข้าวอยู่เลยเข้าไปคุยด้วย</t>
  </si>
  <si>
    <t>พี่ฟิว TME พี่โอเว่น TME พี่พลอย TME</t>
  </si>
  <si>
    <t>พี่ฟิว เดินเข้ามาหลอกถาม</t>
  </si>
  <si>
    <t>ปราย ยานยนต์</t>
  </si>
  <si>
    <t>ปก เคมี</t>
  </si>
  <si>
    <t>วิคเตอร์ เคมีอินเตอร์</t>
  </si>
  <si>
    <t>เกด เครื่องกล</t>
  </si>
  <si>
    <t>วิคเตอร์ รู้จักจากกิจกรรมนาฬิกา เป็นคนต่างชาติที่พูดอังกฤษแล้วฟังง่าย</t>
  </si>
  <si>
    <t>พี่ปอนด์ เครื่องกล พี่เพลงพิณ เครื่องกล พี่ถุงข้าว เครื่องกล</t>
  </si>
  <si>
    <t>พี่เพลงพิณ เอมซีฐานนาฬิกา สดใส</t>
  </si>
  <si>
    <t>เนย ภาคเครื่องกล</t>
  </si>
  <si>
    <t>ใบตอง ภาคเครื่องกล</t>
  </si>
  <si>
    <t>ใบเตย ภาคเครื่องกล</t>
  </si>
  <si>
    <t>กีวี่ ภาคเครื่องกล</t>
  </si>
  <si>
    <t>โอม ภาคเครื่องกล</t>
  </si>
  <si>
    <t>เนย ได้นั่งข้างๆกันตอนลงทะเบียนภาคบ่าย แล้วก็คุยกันจนแลกไอจี</t>
  </si>
  <si>
    <t>พี่เปา เครื่องกล พี่ไวท์เครื่องกล พี่อาย เครื่องกล</t>
  </si>
  <si>
    <t>พี่ไวท์ ใส่หน้ากากมาเบียวสู้ปีหนึ่งค่ะ</t>
  </si>
  <si>
    <t>ตั้ด ปกป้อง เวียร์ เต้อ โปรด</t>
  </si>
  <si>
    <t>โปรด ภาควิชา วิศวกรรมไฟฟ้า</t>
  </si>
  <si>
    <t>ปกป้อง ภาควิชา วิศวกรรมไฟฟ้า</t>
  </si>
  <si>
    <t>เวียร์ ภาควิชา วิศวกรรมไฟฟ้า</t>
  </si>
  <si>
    <t>ตั้ด ภาควิชา วิศวกรรมไฟฟ้า</t>
  </si>
  <si>
    <t>เต๋อ ภาควิชา วิศวกรรมไฟฟ้า</t>
  </si>
  <si>
    <t>ปกป้อง กิจกรรมปาบอล</t>
  </si>
  <si>
    <t xml:space="preserve">หยก ภาควิชา วิศวกรรมไฟฟ้า </t>
  </si>
  <si>
    <t>หยก ดึงแผ่นป้าย</t>
  </si>
  <si>
    <t>พิมพ์ ee</t>
  </si>
  <si>
    <t>สปาย ee</t>
  </si>
  <si>
    <t>เอมี่ ee</t>
  </si>
  <si>
    <t>โอปอ ee</t>
  </si>
  <si>
    <t>แคน่อล ee ท็อป ee</t>
  </si>
  <si>
    <t>พิมพ์ เป็นเพื่อนภาคเดียวกันเลยทักไปเมคเฟรนสุดท้ายได้เป็นเพื่อนสนิท</t>
  </si>
  <si>
    <t>พี่บีม พี่แฮม พี่ไผ่หลิว ee</t>
  </si>
  <si>
    <t>พี่แพว ไปค่ายบีแคมป์</t>
  </si>
  <si>
    <t>พีช ISEE</t>
  </si>
  <si>
    <t>แอล ISEE</t>
  </si>
  <si>
    <t>ไอวี่ ISEE</t>
  </si>
  <si>
    <t>รี ISEE</t>
  </si>
  <si>
    <t>ต้า ISEE</t>
  </si>
  <si>
    <t>พีช รู้จักจากกิจกรรมฐาน</t>
  </si>
  <si>
    <t xml:space="preserve">พี่มุก PE พี่บิงโก PE พี่สปาย PE </t>
  </si>
  <si>
    <t>พี่มุก รู้จักการถ่ายภาพรุ่น</t>
  </si>
  <si>
    <t>1.1โบ้ท 1.2ไอซ์ 1.3เนย 1.4ชิน 1.5จัสติน</t>
  </si>
  <si>
    <t xml:space="preserve">โบ้ท CPE </t>
  </si>
  <si>
    <t>ไอซ์ CPE</t>
  </si>
  <si>
    <t>เนย CPE</t>
  </si>
  <si>
    <t>ชิน CPE</t>
  </si>
  <si>
    <t>จัสติน CPE</t>
  </si>
  <si>
    <t>ติน CPE</t>
  </si>
  <si>
    <t>โบ้ท เขาดีเปนคนดี เจอตอนปฐมนิเทศ</t>
  </si>
  <si>
    <t>พี่ไทม์ คนเดียว</t>
  </si>
  <si>
    <t>พี่ไทม์ เจอเขาตอนปฐมนิเทศ เขาดุเปนคนดี</t>
  </si>
  <si>
    <t>น้ำหวาน PE</t>
  </si>
  <si>
    <t>แป้งหอม EE</t>
  </si>
  <si>
    <t>เจ ME</t>
  </si>
  <si>
    <t>โนอาห์ INC</t>
  </si>
  <si>
    <t>เจน EE</t>
  </si>
  <si>
    <t>น้ำหวาน รู้จักจากกิจกรรมปฐมนิเทศ</t>
  </si>
  <si>
    <t>พี่ปอนด์ ME พี่โจนัส ME พี่บอส ME</t>
  </si>
  <si>
    <t>พี่ปอนด์ สอนท่าประจำวิชาภาค</t>
  </si>
  <si>
    <t>ออกัส อิเล็กทรอนิกส์</t>
  </si>
  <si>
    <t>การคบเพื่อนต้องใช้เวลาในการทำความรู้จัก</t>
  </si>
  <si>
    <t>นันทนาการ เขามาทัก</t>
  </si>
  <si>
    <t>ไม่รู้ครับ ไม่ได้ถาม</t>
  </si>
  <si>
    <t>ผมกำลังจะถ่ายรูปแล้วพี่บอกภาคผิด</t>
  </si>
  <si>
    <t>ข้าวหอมเครื่องกล</t>
  </si>
  <si>
    <t>เฟียส เครื่องกล</t>
  </si>
  <si>
    <t>ทิพเครื่องกล</t>
  </si>
  <si>
    <t>ซิวเครื่องกล</t>
  </si>
  <si>
    <t>นะจังเครื่องกล</t>
  </si>
  <si>
    <t>ปลื้มเครื่องกล</t>
  </si>
  <si>
    <t>ออสก้า เจอกันก่อนไปรวมที่คณะ</t>
  </si>
  <si>
    <t>ปอน สายพิน โจนัท เครื่องกล</t>
  </si>
  <si>
    <t>ปอน รู้จักตอนทำกิจกรรม</t>
  </si>
  <si>
    <t>ข้าวหอม เครื่องกล</t>
  </si>
  <si>
    <t>อาตี้ เครื่องกล</t>
  </si>
  <si>
    <t>ม้อน เครื่องกล</t>
  </si>
  <si>
    <t>เกด มาจากห้องเดียวกันที่รรเก่า และได้มาอยู่สาขาเดวกัน</t>
  </si>
  <si>
    <t>พี่ปอน เครื่องกล พี่โจนัท เครื่องกล พี่บอส เครืองกล</t>
  </si>
  <si>
    <t>พี่ปอน ออกมาแนะนําตัวน้องๆ สอนท่าประจําเครื่องกล</t>
  </si>
  <si>
    <t>1.1โชค ee1.2แสตมป์ ee 1.3ชูครีม ae 1.4ใบเตย tme 1.5คริสตัล env</t>
  </si>
  <si>
    <t>ชูครีม AE</t>
  </si>
  <si>
    <t>โชค EE</t>
  </si>
  <si>
    <t>แสตมป์ EE</t>
  </si>
  <si>
    <t>ใบเตย TME</t>
  </si>
  <si>
    <t>คริสตัล ENV</t>
  </si>
  <si>
    <t>ชูครีม จากปฐมนิเทศ ชอบนิสัย</t>
  </si>
  <si>
    <t>ไม่มี------------------</t>
  </si>
  <si>
    <t>ไม่มี-------------------</t>
  </si>
  <si>
    <t>อะตอม ภาควัสดุ</t>
  </si>
  <si>
    <t>น้ำหวาน ภาควัสดุ</t>
  </si>
  <si>
    <t>ต้นข้าว ภาควัสดุ</t>
  </si>
  <si>
    <t>ลูกพีช ภาควัสดุ</t>
  </si>
  <si>
    <t>ขวัญข้าว ภาควัสดุ</t>
  </si>
  <si>
    <t>เปรม ภาควัสดุ</t>
  </si>
  <si>
    <t>ต้นข้าว รู้จากต้นข้าวเพราะสัมภาษณ์รอบ2มาด้วยกัน</t>
  </si>
  <si>
    <t>พี่เฟิร์สวัสดุ พี่เปรมภาควัสดุ พี่มังกรภาควัสดุ</t>
  </si>
  <si>
    <t>พี่เฟิร์ส รู้จักจากตอนถ่ายรูปรวมภาควิชา</t>
  </si>
  <si>
    <t>คิว env</t>
  </si>
  <si>
    <t>ใบบุญ env</t>
  </si>
  <si>
    <t>ปาย env</t>
  </si>
  <si>
    <t>เตย ene</t>
  </si>
  <si>
    <t>หนามเตย ene</t>
  </si>
  <si>
    <t>แพรว ene</t>
  </si>
  <si>
    <t>คิว env อยู่บ้าน dream เหมือนกัน เป็นเพื่อนของเพื่อนเลยรู้จัก</t>
  </si>
  <si>
    <t>จำพี่ๆไม่ได้เลยค่ะ😭</t>
  </si>
  <si>
    <t>จำพี่ๆไม่ได้เลยค่ะ😭🙏🏻</t>
  </si>
  <si>
    <t>ตัง วิศวกรรมคอมพิวเตอร์</t>
  </si>
  <si>
    <t>เนปจูน วิศวกรรมโยธา</t>
  </si>
  <si>
    <t>ชิน วิศวกรรมคอมพิวเตอร์</t>
  </si>
  <si>
    <t>เหนือ วิศวกรรมคอมพิวเตอร์</t>
  </si>
  <si>
    <t>ปอนร์ วิศวกรรมโยธา</t>
  </si>
  <si>
    <t>จากกิจกรรม ฐานตึก s11 โดยเป็นตอนที่ไปเล่นกิจกรรมสะพาน</t>
  </si>
  <si>
    <t>เกียร วิศวกรรมคอมพิงเตอร์ พี่ไอซ์ วิศวกรรมคอมพิวเตอร์ พี่นํา วิศกรรมคอมพิวเตอร์</t>
  </si>
  <si>
    <t>พี่ไอซ์ จากกิจกรรมปาบอล ตอนที่เล่นมุก5556</t>
  </si>
  <si>
    <t>ปลื้ม วิศวะไฟฟ้า</t>
  </si>
  <si>
    <t>เอก วิศวะไฟฟ้า</t>
  </si>
  <si>
    <t>ว่องไว วิศวะไฟฟ้า</t>
  </si>
  <si>
    <t>ต้น วิศวะไฟฟ้า</t>
  </si>
  <si>
    <t>สอ วิศวะไฟฟ้า</t>
  </si>
  <si>
    <t>ปลื้ม มาชวนคุยและพาเจอเพื่อนคนอื่นๆ</t>
  </si>
  <si>
    <t>พี่บีม พี่เปา พี่ไอซ์</t>
  </si>
  <si>
    <t>พี่บีม เพราะดูแลดี</t>
  </si>
  <si>
    <t>แอนนี้ ภาคไฟฟ้า</t>
  </si>
  <si>
    <t>เต ภาคไฟฟ้า</t>
  </si>
  <si>
    <t>กาย ภาคเครื่องกล</t>
  </si>
  <si>
    <t>โมเม ภาคเครื่องกล</t>
  </si>
  <si>
    <t>เปิ้ล ภาคไฟฟ้า</t>
  </si>
  <si>
    <t>ปรายฟ้า ภาคโยธา</t>
  </si>
  <si>
    <t>แอนนี่ จากกิจกรรมภาควันนี้ เพื่อนคุยเก่ง</t>
  </si>
  <si>
    <t>พี่ไผ่หลิว พี่บีม พี่ปัน</t>
  </si>
  <si>
    <t>พี่ไผ่หลิว พี่คอยดูแลวันนี้</t>
  </si>
  <si>
    <t>โฟกัส ภาควิชาcpe</t>
  </si>
  <si>
    <t>เติ้ลภาควิชาce</t>
  </si>
  <si>
    <t>โมภาควิชาcpe</t>
  </si>
  <si>
    <t>ซอลภาควิชาpe</t>
  </si>
  <si>
    <t>โกโก้ภาควิชาuser</t>
  </si>
  <si>
    <t xml:space="preserve">เติ้ล จากกิจกรรมไล่แย่งกระดาษจากหลังทีมตรงข้าม </t>
  </si>
  <si>
    <t>พี่มะเหมี่ยว พี่ข้าวฟ่าง พี่บิว</t>
  </si>
  <si>
    <t>พี่โอปอ รู้จักจากโรงเรียนเก่า</t>
  </si>
  <si>
    <t>อะตอม ภาคเครื่องมือและวัสดุ</t>
  </si>
  <si>
    <t>อ๋อมแอ๋ม ภาคเครื่องมือและวัสดุ</t>
  </si>
  <si>
    <t>ลูกพีช ภาคเครื่องมือและวัสดุ</t>
  </si>
  <si>
    <t>ตันข้าว ภาคเครื่องมือและวัสดุ</t>
  </si>
  <si>
    <t>ขวัญข้าว ภาคเครื่องมือและวัสดุ</t>
  </si>
  <si>
    <t>บิว ภาคเครื่องมือและวัสดุ</t>
  </si>
  <si>
    <t>ลูกพีช รู้จักตั้งแต่ตอนสัมภาษณ์รอบที่3 เป็นเพื่อนในสาขาคนแรกที่รู้จัก</t>
  </si>
  <si>
    <t>พี่เฟิร์ส พี่เปรม พี่มังกร</t>
  </si>
  <si>
    <t>พี่เฟิร์ส รู้จักพี่จากตอนรวมตัวที่จะถ่ายรูปภาควิชา</t>
  </si>
  <si>
    <t>จ้อด โยธา</t>
  </si>
  <si>
    <t>ไอซ์ โยธา</t>
  </si>
  <si>
    <t>พลอย เครื่องกล</t>
  </si>
  <si>
    <t>นัท เคมี</t>
  </si>
  <si>
    <t>พลอย โยธา</t>
  </si>
  <si>
    <t>พลอย โยธา อยู่กลุ่มเดียวกันตอนทำกิจกรรมเพื่อนเฟรนลี่คุยสนุก</t>
  </si>
  <si>
    <t>พี่แฮม พี่บีม พี่ชานม ภาคไฟฟ้า</t>
  </si>
  <si>
    <t>ต้นกล้า เข้ามาชวนพูดคุยตอนค่าย bee camp</t>
  </si>
  <si>
    <t>อาอู๋ tme</t>
  </si>
  <si>
    <t>อาโป tme</t>
  </si>
  <si>
    <t>ต้นข้าว tme</t>
  </si>
  <si>
    <t>อ๋อมแอ๋ม tme</t>
  </si>
  <si>
    <t>น้ำหวาน tme</t>
  </si>
  <si>
    <t>น้ำหวาน รู้จักจากวันสัมภาษณ์</t>
  </si>
  <si>
    <t>พี่เฟิร์ส พี่มังกร พี่เปรม</t>
  </si>
  <si>
    <t>พี่เฟิร์ส รู้จักจากกิจกรรม</t>
  </si>
  <si>
    <t xml:space="preserve"> แอ๋ม ภาคเครื่องมือและวัสดุ</t>
  </si>
  <si>
    <t>น้ำหวาน ภาคเครื่องมือและวัสดุ</t>
  </si>
  <si>
    <t>ต้นข้าว ภาคเครื่องมือและวัสดุ</t>
  </si>
  <si>
    <t>เปรม ภาคเครื่องมือและวัสดุ</t>
  </si>
  <si>
    <t>เจียเจีย สิ่งเเวดล้อม</t>
  </si>
  <si>
    <t xml:space="preserve"> รู้จักจากกิจกรรมปฐมนิเทศคณะวิศวกรรม ได้เข้าไปคุยละทักทายกัน</t>
  </si>
  <si>
    <t>รู้จักพี่ๆจากตอนรอถ่ายรูปภาควิชา</t>
  </si>
  <si>
    <t>ไอวี่ ภาคอุตสาหการ</t>
  </si>
  <si>
    <t>รี ภาคอุตสาหการ</t>
  </si>
  <si>
    <t>เตเต้ ภาคอุตสาหการ</t>
  </si>
  <si>
    <t>พีท ภาคอุตสาหการ</t>
  </si>
  <si>
    <t>ต้า ภาคอุตสาหการ</t>
  </si>
  <si>
    <t>เตเต้ ภาคอุตสาหการ นั่งข้างกันในงานปฐมนิเทศ</t>
  </si>
  <si>
    <t>1.พี่บิงโก PE 2.พี่สปาย PE 3.พี่มุก PE</t>
  </si>
  <si>
    <t>พี่บิงโกรุ้จักจากค่ายเป็นพี่sec  tue welcome</t>
  </si>
  <si>
    <t>เกม ภาควิศวกรรมเครื่องกล</t>
  </si>
  <si>
    <t>สตาร์ ภาควิศวกรรมอุตสาหการ</t>
  </si>
  <si>
    <t>นิว ภาควิศวกรรมอุตสาหการ</t>
  </si>
  <si>
    <t>อชิ ภาควิศวกรรมเครื่องมือและวัสดุ</t>
  </si>
  <si>
    <t>ภีม ภาควิศวกรรมอุตสาหการ</t>
  </si>
  <si>
    <t>รู้จักเพราะกิจกรรมฐานเมื่อวาน</t>
  </si>
  <si>
    <t>ป่าน ภาควิศวกรรมอุตสาหการ เกม ภาควิศวกรรมเครื่องกล เบส ภาควิศวกรรมเคมี</t>
  </si>
  <si>
    <t>รู้จักจากกิจกรรมการเข้าฐานเมื่อวาน</t>
  </si>
  <si>
    <t>นัท โยธา</t>
  </si>
  <si>
    <t>โอม สิ่งแวดล้อม</t>
  </si>
  <si>
    <t>ใบบุญ สิ่งแวดล้อม</t>
  </si>
  <si>
    <t>ข้าวหอม สิ่งแวดล้อม</t>
  </si>
  <si>
    <t>เลน อิเล็ก</t>
  </si>
  <si>
    <t>จีโน่ อิเล็ก</t>
  </si>
  <si>
    <t>นัท เตะฟุตบอลกินข้าวด้วยกัน</t>
  </si>
  <si>
    <t>พี่คริส พี่แพรว ตั้งโอ๋ อุตสาหการ</t>
  </si>
  <si>
    <t>เลน เตะฟุตบอลกินข้าวด้วยกัน</t>
  </si>
  <si>
    <t>น้ำซี ภาคโยธา</t>
  </si>
  <si>
    <t>โชติ ภาคไฟฟ้า</t>
  </si>
  <si>
    <t>ปอ ภาควิศวะวัสดุ</t>
  </si>
  <si>
    <t>อาม ภาคโยธา</t>
  </si>
  <si>
    <t>ปลื้ม ภาคเครื่องกล</t>
  </si>
  <si>
    <t>โชติ ได้เจอตอนทำกิจกรรมสะพานโค้ง</t>
  </si>
  <si>
    <t>พี่บีม ภาคไฟฟ้า พี่ต้นหม่อน ภาคไฟฟ้า พี่แฮม ภาคไฟฟ้า</t>
  </si>
  <si>
    <t>พี่ไอซ์ MC เอนเทอร์เทน กิจกรรมดอทบอลสนุก</t>
  </si>
  <si>
    <t>1.1 นัท 1.2 สิงโต 1.3 พลู 1.4 เจแปน 1.5 ออม</t>
  </si>
  <si>
    <t>นัท sem</t>
  </si>
  <si>
    <t>สิงโต sem</t>
  </si>
  <si>
    <t>พลู ene</t>
  </si>
  <si>
    <t>เจแปน sem</t>
  </si>
  <si>
    <t>ออม sem</t>
  </si>
  <si>
    <t>เจแปนนั่งข้างๆกัน</t>
  </si>
  <si>
    <t>พี่ดาด้า พี่บีเฟิส พี่ไผ่</t>
  </si>
  <si>
    <t>พี่ดาด้าเพราะเป็นพี่รหัส</t>
  </si>
  <si>
    <t>คอปเตอ เซมิ</t>
  </si>
  <si>
    <t>ป้อน เซมิ</t>
  </si>
  <si>
    <t>อาม เซมิ</t>
  </si>
  <si>
    <t>ต้นน้ำ เซมิ</t>
  </si>
  <si>
    <t>นน เซมิ</t>
  </si>
  <si>
    <t>อาบู โยธา</t>
  </si>
  <si>
    <t>คอปเตอ อยู่ด้วยกันที่หอ</t>
  </si>
  <si>
    <t>พี่ ไอส์ โชคดี โชกุล</t>
  </si>
  <si>
    <t>อาม อยู่หอด้วยกัน</t>
  </si>
  <si>
    <t>จีน EE</t>
  </si>
  <si>
    <t>เสี่ยเเบงค์ EE</t>
  </si>
  <si>
    <t>หัวเรือยูริ EE</t>
  </si>
  <si>
    <t>แทน Ee</t>
  </si>
  <si>
    <t>ปางอุ๋ง EE</t>
  </si>
  <si>
    <t>เพื่อนจีน จากกิจกรรมพักกินข้าวเพื่อนเอาช้อนลวกมาให้</t>
  </si>
  <si>
    <t>ภัทร EE ปลื้มEE ปลื้มEE</t>
  </si>
  <si>
    <t>พี่ปลื้มEE พี่โอนตังใฟ้</t>
  </si>
  <si>
    <t>กาย เคมี</t>
  </si>
  <si>
    <t>โบกี้ เคมี</t>
  </si>
  <si>
    <t>ตอง เครื่องกล</t>
  </si>
  <si>
    <t>ปาร์ม เครื่องกล</t>
  </si>
  <si>
    <t>เมฆ เครื่องกล</t>
  </si>
  <si>
    <t>Tuewelcome camp ปฐมนิเทศคณะ</t>
  </si>
  <si>
    <t>อาย ปอน เปา เครื่องกล</t>
  </si>
  <si>
    <t>พี่ฟิม  จากการเล่นเปตอง</t>
  </si>
  <si>
    <t>นาวา ภาคอิเล็กทรอนิกส์</t>
  </si>
  <si>
    <t>มี่ ภาคอิเล็กทรอนิกส์</t>
  </si>
  <si>
    <t>นาย ภาคอิเล็กทรอนิกส์</t>
  </si>
  <si>
    <t>บีม ภาคอิเล็กทรอนิกส์</t>
  </si>
  <si>
    <t>เปาๆ ภาคอิเล็กทรอนิกส์</t>
  </si>
  <si>
    <t>อลิน ภาคอิเล็กทรอนิกส์</t>
  </si>
  <si>
    <t>มี่ กิจกรรมนาฬิกา</t>
  </si>
  <si>
    <t xml:space="preserve">พี่โชคดี พี่ไอซ์ พี่อั๋น </t>
  </si>
  <si>
    <t>พี่ไอซ์ จากกิจกรรมปฐมนิเทศ</t>
  </si>
  <si>
    <t>ตี๋ ภาคเครื่องมือและวัสดุ</t>
  </si>
  <si>
    <t>ทีม ภาคเครื่องมือและวัสดุ</t>
  </si>
  <si>
    <t>มอส เครื่องมือและวัสดุ</t>
  </si>
  <si>
    <t>คิว เครื่องมือและวัสดุ</t>
  </si>
  <si>
    <t>ผักกาด เครื่องมือและวัสดุ</t>
  </si>
  <si>
    <t>มอส รู้จักจากการที่ได้มาจากตอนวันที่ให้ภาควิชานัดและได้คุยกันอย่างสนิทสนม</t>
  </si>
  <si>
    <t>พี่มังกร ภาคเครื่องมือและวัสดุ พี่โอเว่น ภาคเครื่องมือและวัสดุ พี่เปรม ภาคเครื่องมือและวัสดุ</t>
  </si>
  <si>
    <t xml:space="preserve">พี่มังกร เครื่องมือและวัสดุ กิจกรรมปฐมนิเทศ </t>
  </si>
  <si>
    <t>ปลื้ม EE</t>
  </si>
  <si>
    <t>ว่องไว EE</t>
  </si>
  <si>
    <t>ภู EE</t>
  </si>
  <si>
    <t>ดิว CHM</t>
  </si>
  <si>
    <t>เกนจิ EE</t>
  </si>
  <si>
    <t>ดิว ได้คุยกันเพราะเล่นกิจกรรม ฐานเรือ</t>
  </si>
  <si>
    <t>พี่บีม พี่ขวัญ พี่โชกุน พี่โฟลค์ พี่แบงค์</t>
  </si>
  <si>
    <t>พี่ไฟฟ้าครับ เพราะเกมเอากระดาษหลังสนุกมากคับ</t>
  </si>
  <si>
    <t>ค. โทรศัพท์มือถือ</t>
  </si>
  <si>
    <t>สแตมป์ ME</t>
  </si>
  <si>
    <t>สมาย che</t>
  </si>
  <si>
    <t>แองจี้ วิศวสิ่งแวดล้อม</t>
  </si>
  <si>
    <t>ต้นรัก che</t>
  </si>
  <si>
    <t>ฟ้า วิศวสิ่งแวดล้อม</t>
  </si>
  <si>
    <t>สแตมป์ รู้จักเพื่อนตอนที่กำลังจะเข้ากิจกรรม เพื่อนน่ารักมาก อยู่ฐานเดียวกัน เดินไปไหนด้วยกันตลอด</t>
  </si>
  <si>
    <t>พี่สายพิณ จากME และอีก2คนจำชื่อไม่ได้แต่คนนึงอยู่คอม ส่วนอีกคนอยุ่เครื่องกล</t>
  </si>
  <si>
    <t>สายพิณ พี่เขาเวลาเห็นคนไหน อยู่คนเดียวพี่จะเข้าไปคุยด้วย เป็นคนเฮฮาน่ารัก</t>
  </si>
  <si>
    <t>เปรม Icpe</t>
  </si>
  <si>
    <t>ปราย icpe</t>
  </si>
  <si>
    <t>ไอซ์ icpe</t>
  </si>
  <si>
    <t>พี icpe</t>
  </si>
  <si>
    <t>นัท cpe เจอกันในค่ายและได้รับความช่วยเหลือในการแก้โจทย์ปัญหาจากเพื่อน</t>
  </si>
  <si>
    <t>พี่เจ cpe/ พี่ปิง ene/พี่มิ้งมอย che</t>
  </si>
  <si>
    <t>พี่เจ cpe ได้รับความช่วยเหลือในการเตรียมตัวสอบเข้ามหาลัย</t>
  </si>
  <si>
    <t>1.1 อาร์ท 1.2 โฟล์ค 1.3 แตงโม 1.4 ตี๋ 1.5 เจน</t>
  </si>
  <si>
    <t>อาร์ท เซมิ</t>
  </si>
  <si>
    <t>โฟล์ค อิเล็ก</t>
  </si>
  <si>
    <t>เจน เซมิ</t>
  </si>
  <si>
    <t xml:space="preserve">ออมสิน cpe ซัน cpe </t>
  </si>
  <si>
    <t>กิจกรรมตามกลุ่มที่สุ่มครับ</t>
  </si>
  <si>
    <t>พี่ไอซ์ พี่แทค พี่อั๋น</t>
  </si>
  <si>
    <t>พี่แทค กิจกรรมในช่วงวันที่ 2 ภาคบ่าย</t>
  </si>
  <si>
    <t>เบส nice</t>
  </si>
  <si>
    <t>จา PE</t>
  </si>
  <si>
    <t>ริช mce</t>
  </si>
  <si>
    <t>ภูมิใจ PE</t>
  </si>
  <si>
    <t>ธีร์ PE</t>
  </si>
  <si>
    <t>รู้จักเบสจากเล่นฐาน</t>
  </si>
  <si>
    <t>พี่บิงโก PE พี่ฟูจิ PE พี่ลัคกี้ sit</t>
  </si>
  <si>
    <t>พี่บิงโก พี่ดูแลดี</t>
  </si>
  <si>
    <t>P cpe</t>
  </si>
  <si>
    <t>เฆม ee</t>
  </si>
  <si>
    <t>Arty Me</t>
  </si>
  <si>
    <t>Pun ene</t>
  </si>
  <si>
    <t>Pp cpe</t>
  </si>
  <si>
    <t xml:space="preserve">P He always talkative </t>
  </si>
  <si>
    <t>I didn’t do that, but the dumpmajor that stared at me for all time</t>
  </si>
  <si>
    <t>Ican’t because did n’t talk with any senior</t>
  </si>
  <si>
    <t>Leb2.org website</t>
  </si>
  <si>
    <t>5th Floor, Classroom Building 2</t>
  </si>
  <si>
    <t>Both student ID and national ID</t>
  </si>
  <si>
    <t>ริชชี่ MCE</t>
  </si>
  <si>
    <t>มิลลิลิตร PE</t>
  </si>
  <si>
    <t>โฟกัส PE</t>
  </si>
  <si>
    <t>รู้จักเบสเพราะนั่งข้างๆกัน</t>
  </si>
  <si>
    <t>1.พี่บิงโก PE 2.พี่ลัคกี้ IT 3.พี่นิว ENV</t>
  </si>
  <si>
    <t>พี่บิงโก เป็นพี่ที่พาเดิน</t>
  </si>
  <si>
    <t>จา อุตสาหการ</t>
  </si>
  <si>
    <t>ต้นกล้า อุตสาหการ</t>
  </si>
  <si>
    <t>ริชชี่ เมคคาทรอนิกส์</t>
  </si>
  <si>
    <t>โฟกัส อัตสาหการ</t>
  </si>
  <si>
    <t>ซี วิศวะสิ่งแวดล้อม</t>
  </si>
  <si>
    <t>จา เล่นฐานกิจกรรม</t>
  </si>
  <si>
    <t>1.พี่ฟูจิ อุต 2.พี่นิว สิ่งแวดล้อม 3.พี่ลักกี้ it</t>
  </si>
  <si>
    <t>พี่วา เพราะเป็นพี่ค่ายและดูแลพวกผม</t>
  </si>
  <si>
    <t>ปุยฝ้าย ภาคไฟ</t>
  </si>
  <si>
    <t>เปิ้ล EE</t>
  </si>
  <si>
    <t>มีมี่ EE</t>
  </si>
  <si>
    <t>ยูตะ ENE</t>
  </si>
  <si>
    <t>ปุยฝ้าย กิจกรรมภาค</t>
  </si>
  <si>
    <t>พี่ไผ่หลิว EE พี่กรุงเทพ EE พี่บีม EE</t>
  </si>
  <si>
    <t>พี่กรุงเทพ พี่ปี3มาทักเพราะเป็นสายรหัส</t>
  </si>
  <si>
    <t xml:space="preserve">กร EE , เต้ CE , จอร์จ CE , โปรด EE , </t>
  </si>
  <si>
    <t xml:space="preserve">กร EE </t>
  </si>
  <si>
    <t xml:space="preserve">เต้ CE </t>
  </si>
  <si>
    <t xml:space="preserve">จอร์จ CE </t>
  </si>
  <si>
    <t xml:space="preserve">โปรด EE </t>
  </si>
  <si>
    <t>ต้า ENE</t>
  </si>
  <si>
    <t>ต้า ENE รู้จักจาการเล่นกิจกรรมวันที่ 25</t>
  </si>
  <si>
    <t>พี่ขุน EE , พี่บีม EE , พี่ไผ่หลิว EE</t>
  </si>
  <si>
    <t>พี่ขุน EE รู้จักจากกิจกรรมวันที่ 26 ได้คุยกับพี่เขาตอนไปเขาห้องน้ำคับ</t>
  </si>
  <si>
    <t>ฟิล์ม isee</t>
  </si>
  <si>
    <t>ยูฟ่า isee</t>
  </si>
  <si>
    <t>จ๋า isee</t>
  </si>
  <si>
    <t>ชมพู isee</t>
  </si>
  <si>
    <t>น้ำอิง isee</t>
  </si>
  <si>
    <t>ไนท์ isee</t>
  </si>
  <si>
    <t>เกล isee</t>
  </si>
  <si>
    <t>ฟิล์ม เป็นเพื่อนภาคเดียวกันทำความรู้จักกันตอนวันปฐมนิเทศนั่งแล้วชวนคุย</t>
  </si>
  <si>
    <t>ยังไม่รู้จักรุ่นพี่วันนี้เป็นการส่วนตัว</t>
  </si>
  <si>
    <t>จ๋า รู้ตักกันจากเพื่อนแนะนำ นั่งข้างกัน</t>
  </si>
  <si>
    <t>นัท</t>
  </si>
  <si>
    <t>นัทisee</t>
  </si>
  <si>
    <t>ชมพู่ isee</t>
  </si>
  <si>
    <t>นัท จากการทำกิจกรรมแต่ละฐาน</t>
  </si>
  <si>
    <t xml:space="preserve">อาร์ม เครื่องกล </t>
  </si>
  <si>
    <t>ไม่รู้จักเป็นการส่วนตัว แต่มีพี่ๆคอยพาทำกิจกรรมเยอะมาก</t>
  </si>
  <si>
    <t>เอมี่ ไฟฟ้า</t>
  </si>
  <si>
    <t>ไทน์ ไฟฟ้า</t>
  </si>
  <si>
    <t>ไน้ พิมพ์ ไอซ์</t>
  </si>
  <si>
    <t>ตอนถ่ายรูปรวมหน้าตึก</t>
  </si>
  <si>
    <t>ไม่แน่ใจเท่าไหร่ค่ะ</t>
  </si>
  <si>
    <t>ไม่มีรุ่นพี่ที่รู้จัก แต่คุ้นหน้าเป็นส่วนใหญ่</t>
  </si>
  <si>
    <t>เฟิซ ไฟฟ้า</t>
  </si>
  <si>
    <t>ช้าง ไฟฟ้า</t>
  </si>
  <si>
    <t>ทาม ไฟฟ้า</t>
  </si>
  <si>
    <t>จอร์จ โยธา</t>
  </si>
  <si>
    <t>โอ๊ต โยธา</t>
  </si>
  <si>
    <t>จอร์จ โยธาปี1 รู้จักตอนเล่นบอล ประทับใจที่เล่นโหด</t>
  </si>
  <si>
    <t>พี่ขุนไฟฟ้า พี่กล้าไฟฟ้า พี่เเพร์ไฟฟ้า</t>
  </si>
  <si>
    <t>พี่เต ไฟฟ้าปี3 รู้จักจากการไปกินข้าว ประทับใจที่พี่กินเก่งมาก</t>
  </si>
  <si>
    <t>ดอล ไฟฟ้า ระบบ</t>
  </si>
  <si>
    <t>ทีม ยานยนต์</t>
  </si>
  <si>
    <t>เต้อ ไฟฟ้า</t>
  </si>
  <si>
    <t>ว่องไว ไฟฟ้า</t>
  </si>
  <si>
    <t>ดอล รู้กันก่อนแล้ว</t>
  </si>
  <si>
    <t>มีแค่พี่จาก beecamp ครับ</t>
  </si>
  <si>
    <t>พี่ กันเอง beecamp</t>
  </si>
  <si>
    <t>ฟลุ๊ค ME</t>
  </si>
  <si>
    <t>ปลื้ม ISEE</t>
  </si>
  <si>
    <t>โรม ISEE</t>
  </si>
  <si>
    <t>เติ้ล ISEE</t>
  </si>
  <si>
    <t>ต้นกล้า ENE</t>
  </si>
  <si>
    <t>ฟลุ๊ค ME จากกิจกรรมยิงเรือ</t>
  </si>
  <si>
    <t>มีแค่พี่ภูมิ ME</t>
  </si>
  <si>
    <t>พี่ภูมิ ME ตอนนันทนาการ</t>
  </si>
  <si>
    <t>ซิว ภาควิชาวิศวกรรมเครื่องกล</t>
  </si>
  <si>
    <t>ทิพย์ ภาควิชาวิศวกรรมเครื่องกล</t>
  </si>
  <si>
    <t>สแตมป์ ภาควิชาวิศวกรรมเครื่องกล</t>
  </si>
  <si>
    <t>ใบว่าน ภาควิชาวิศวกรรมเครื่องกล</t>
  </si>
  <si>
    <t>เจมส์ ภาควิชาวิศวกรรมเครื่องกล</t>
  </si>
  <si>
    <t>ซิว รู้จักจากกิจกรรมHands On รู้จักจากกิจกรรมนั้นแล้วก็กลายเป็นเพื่อนมาตลอดต่อเลย</t>
  </si>
  <si>
    <t>พี่สายพิณ ภาควิชาวิศวกรรมเครื่องกล พี่อาย ภาควิชาวิศวกรรมเครื่องกล พี่ปอน์ด ภาควิชาวิศวกรรมเครื่องกล</t>
  </si>
  <si>
    <t>พี่สายพิณ รู้จักจากกิจกรรมปฐมนิเทศ</t>
  </si>
  <si>
    <t>1.ซี 2.บอล 3.ฟอตร์ 4.ปลื้ม 5.กาย</t>
  </si>
  <si>
    <t>ฟอตร์ เครื่องกล</t>
  </si>
  <si>
    <t>กาย เครื่องกล</t>
  </si>
  <si>
    <t>กิจกรรมนาฬิกา เป็นกรุปเดียวกัน</t>
  </si>
  <si>
    <t>พี่ข้าว พี่bad พี่โอ่ง</t>
  </si>
  <si>
    <t>แทง รู้จักจากค่าย</t>
  </si>
  <si>
    <t>เนส แบงค์ ปลื้ม เคจิ จีน</t>
  </si>
  <si>
    <t>เกจิ ภาคไฟฟ้า</t>
  </si>
  <si>
    <t>จีน ภาคไฟฟ้า</t>
  </si>
  <si>
    <t>เนส ภาคไฟฟ้า</t>
  </si>
  <si>
    <t>เปาโล ภาคไฟฟ้า</t>
  </si>
  <si>
    <t>ยูริ ภาคไฟฟ้า</t>
  </si>
  <si>
    <t>สายป่าน คอม</t>
  </si>
  <si>
    <t>ยูริ กินเก่ง หล่อ ตัวหอม</t>
  </si>
  <si>
    <t>หนึ่งเดียว เล่นเกมเก่ง ตัวสูง ทรงช่าง</t>
  </si>
  <si>
    <t xml:space="preserve">เนส พูดเก่ง หล่อ </t>
  </si>
  <si>
    <t>ชมพู่ อุตสาหการ</t>
  </si>
  <si>
    <t>จ๋า อุตสหาการ</t>
  </si>
  <si>
    <t>ยูฟ่า อุตหการ</t>
  </si>
  <si>
    <t>ชมพู่ กินข้าวด้วยกัร</t>
  </si>
  <si>
    <t>พี่มะเมี่ยว พี่ไนซ์ พี่บูม</t>
  </si>
  <si>
    <t>พี่มะเมี่ยว เป็นพี่พิธีกรดำเนินที่น่ารักดี</t>
  </si>
  <si>
    <t>ไนท์ อุตสาห</t>
  </si>
  <si>
    <t>ลืมค่ะ</t>
  </si>
  <si>
    <t>ตั้ม ลืมง่ะ</t>
  </si>
  <si>
    <t>พิม ไฟฟ้า</t>
  </si>
  <si>
    <t>ไนท์ รู้จักการฐานเรือ เฟรนลลี่่ดีีีี</t>
  </si>
  <si>
    <t>พี่ไอซ์cpe พี่ทามcpe พี่พี่พี่</t>
  </si>
  <si>
    <t>พี่ไอซ์ กิจกรรมปาบอล เปนกันเองมากคับ</t>
  </si>
  <si>
    <t>ดิส เครื่องกล</t>
  </si>
  <si>
    <t>มั้ง เครื่องกล</t>
  </si>
  <si>
    <t>เต้ เครื่องกล</t>
  </si>
  <si>
    <t>มาร์ก เครื่องกล</t>
  </si>
  <si>
    <t>ลีโอ เครื่องกล</t>
  </si>
  <si>
    <t>มั้ง มาจากกิจกรรมรับน้องเครื่องกล  คุยง่ายเข้าใจกัน</t>
  </si>
  <si>
    <t xml:space="preserve"> ดิส มาจากกิจกรรมรับน้องเครื่องกล เข้าใจกัน</t>
  </si>
  <si>
    <t>นน รับน้องเครื่องกล มีความตั้งใจเรียน</t>
  </si>
  <si>
    <t>ข. บัตรประจำตัวประชาชน</t>
  </si>
  <si>
    <t>1พรีเมียร์2เบส3นอล4เตย5ฟ้า</t>
  </si>
  <si>
    <t>พรีเมียร์ inc</t>
  </si>
  <si>
    <t>นอล inc</t>
  </si>
  <si>
    <t xml:space="preserve">ฟ้า Inc </t>
  </si>
  <si>
    <t>พรีเมียร์ไปตีปิงปองด้วยกันบนชั้น7</t>
  </si>
  <si>
    <t xml:space="preserve">มินา อาร์ต วิน </t>
  </si>
  <si>
    <t>พี่มินา ผมมาสายแล้วเขาทักผม</t>
  </si>
  <si>
    <t>ฟลุ๊ค อิ่มเอิบ อาร์ม ก้อง วิน</t>
  </si>
  <si>
    <t>ฟลุ๊ค ten</t>
  </si>
  <si>
    <t>อิ่มเอิบ ten</t>
  </si>
  <si>
    <t>อาร์ม ten</t>
  </si>
  <si>
    <t>ก้อง ten</t>
  </si>
  <si>
    <t>วิน inc</t>
  </si>
  <si>
    <t>วิน ปฐมนิเทศ ตลกดี</t>
  </si>
  <si>
    <t>พี่โอเว่น ฟิว เชน tme</t>
  </si>
  <si>
    <t>พี่ โอเว่น รับน้อง พี่ตลกดี</t>
  </si>
  <si>
    <t xml:space="preserve">นิน cpe </t>
  </si>
  <si>
    <t xml:space="preserve">จั๋ง cpe </t>
  </si>
  <si>
    <t>มิ้กกี้ cpe</t>
  </si>
  <si>
    <t>นิน กินข้าวด้วยกัน</t>
  </si>
  <si>
    <t>------------------</t>
  </si>
  <si>
    <t>-----------------</t>
  </si>
  <si>
    <t>วิน me</t>
  </si>
  <si>
    <t>ปั้บ inc</t>
  </si>
  <si>
    <t>ปิ่น me</t>
  </si>
  <si>
    <t>ภูม cpe</t>
  </si>
  <si>
    <t>มุก inc</t>
  </si>
  <si>
    <t>ปั้ป เจอจากกิจกรรม 12นาฬิกา คุยกันถูกคอ</t>
  </si>
  <si>
    <t>พี่บอส พี่ปอน พี่อัส</t>
  </si>
  <si>
    <t>พี่บอส นิสัยดีเฟรนลี่</t>
  </si>
  <si>
    <t>1.1 ลีโอ 1.2นาซิม 1.3 นิวตั้น 1.4 ทอง 1.5 ดอล</t>
  </si>
  <si>
    <t>ลีโอ ภาคไฟ</t>
  </si>
  <si>
    <t>นาซิม ภาคไฟ</t>
  </si>
  <si>
    <t>นิวตั้น ภาคไฟ</t>
  </si>
  <si>
    <t>ทอง ภาคไฟ</t>
  </si>
  <si>
    <t>ดอล ภาคไฟ</t>
  </si>
  <si>
    <t>ไปป์ ภาคโยธา</t>
  </si>
  <si>
    <t>นาซิมจากการสัมภาษณ์เข้ารอบแรก</t>
  </si>
  <si>
    <t>พี่เซน พี่บอส พี่ไผ่หลิว</t>
  </si>
  <si>
    <t>พี่เซน เล่นบอลด้วนกัน</t>
  </si>
  <si>
    <t>นน โยา</t>
  </si>
  <si>
    <t>ดรีม สิ่งเเวดลอม</t>
  </si>
  <si>
    <t>ต้า โยธา</t>
  </si>
  <si>
    <t>ปุ้ย วัสดุ</t>
  </si>
  <si>
    <t>งุ้ย อิเล้ก</t>
  </si>
  <si>
    <t>ต้า ีำีำีำรำรงกวำนกร</t>
  </si>
  <si>
    <t>เพื่อนดีมากกาากากสสกส</t>
  </si>
  <si>
    <t>.เพื่อนดีกาากากากา</t>
  </si>
  <si>
    <t>Gear CPE</t>
  </si>
  <si>
    <t>Preaw CPE</t>
  </si>
  <si>
    <t>Opal CPE</t>
  </si>
  <si>
    <t>Mui CPE</t>
  </si>
  <si>
    <t>Ing CPE</t>
  </si>
  <si>
    <t>Preaw it's orientation of department of cpe at pre freshly event we met at the group project and that's our first met</t>
  </si>
  <si>
    <t>I met P'gear he's a TA who teaches us a calculus</t>
  </si>
  <si>
    <t>P'Dose cpe
P'nam cpe 
P'wa ene</t>
  </si>
  <si>
    <t>Club Exhibition</t>
  </si>
  <si>
    <t>Fundamental Science Laboratory Building</t>
  </si>
  <si>
    <t>ไอวี่ ภาควิชาอุตสาหการ</t>
  </si>
  <si>
    <t>แอล ภาควิชาอุตสาหการ</t>
  </si>
  <si>
    <t>เตเต้ ภาควิชาอุตสาหการ</t>
  </si>
  <si>
    <t>แพน ภาควิชาอุตสาหการ</t>
  </si>
  <si>
    <t>พีท ภาควิชาอุตสาหการ</t>
  </si>
  <si>
    <t>ต้า ภาควิชาอุตสาหการ</t>
  </si>
  <si>
    <t>ไอวี่ นั่งข้างกัน</t>
  </si>
  <si>
    <t>พี่บิงโก ภาควิชาอุตสาหการ พี่มุก ภาควิชาอุตสาหการ พี่สปาย ภาควิชาอุตสาหการ</t>
  </si>
  <si>
    <t>พี่บิงโก เป็นรุ่นพี่ในภาคเป็นพี่คุมวันนี้</t>
  </si>
  <si>
    <t>ก๋อยME</t>
  </si>
  <si>
    <t>ดิวME</t>
  </si>
  <si>
    <t>กายME</t>
  </si>
  <si>
    <t>พีชชี่ME</t>
  </si>
  <si>
    <t>เบอร์ดี้ME</t>
  </si>
  <si>
    <t>น็อตME</t>
  </si>
  <si>
    <t>ก๋อยจากกิจกรรมนาฬิกา</t>
  </si>
  <si>
    <t>พี่ก้านME พี่ก๋อยME พี่ดิวME</t>
  </si>
  <si>
    <t>พี่ก้านกิจกรรมประฐมนิเทศเครื่องกล</t>
  </si>
  <si>
    <t>มังกร ฟ้า แป้ง มีน นนท์</t>
  </si>
  <si>
    <t>มังกร PE</t>
  </si>
  <si>
    <t>แป้ง PE</t>
  </si>
  <si>
    <t>มีน CPE</t>
  </si>
  <si>
    <t>ฟ้า env</t>
  </si>
  <si>
    <t>ปัน CPE</t>
  </si>
  <si>
    <t>ปั้น (ไฟฟ้า)</t>
  </si>
  <si>
    <t>มังกร รู้จักจากกิจกรรม เที่ยงวันเที่ยงคืน ที่ให้หาเพื่อนที่ได้เวลาตรงกันกับเราแล้วทำความรู้จัก</t>
  </si>
  <si>
    <t>พี่ตูน( ยานยนต์ ) พี่บอส(เครื่องกล) พี่ปอนนี่ (เครื่องกล)</t>
  </si>
  <si>
    <t>พี่ตูน รู้จักจากกิจกรรมเที่ยงวันเที่ยงคืนเหมือนกัน</t>
  </si>
  <si>
    <t>ฟลุ๊ค ภาคอุต ISEE</t>
  </si>
  <si>
    <t>ลูกขุน ภาคอุต ISEE</t>
  </si>
  <si>
    <t>ไอวี่ ภาคอุต ISEE</t>
  </si>
  <si>
    <t>รี ภาคอุต ISEE</t>
  </si>
  <si>
    <t>เกื้อ ภาคอุต ISEE</t>
  </si>
  <si>
    <t>ลูกขุน รู้จักกันตอนสัมภาษณ์</t>
  </si>
  <si>
    <t xml:space="preserve">ไม่มีครับ พึ่งมาวันนี้วันแรกครับ เมื่อวานป่วย </t>
  </si>
  <si>
    <t>พี่แชมป์ รู้จักจากKMUTT on tour ep8</t>
  </si>
  <si>
    <t>ใบเตย INC</t>
  </si>
  <si>
    <t>แปงหอม EE</t>
  </si>
  <si>
    <t>อ๊อฟ CHE</t>
  </si>
  <si>
    <t>กบ CE</t>
  </si>
  <si>
    <t>ใบม่อน เครื่องมือวัด : เคมีเข้ากัน</t>
  </si>
  <si>
    <t>ไม่มี -----------</t>
  </si>
  <si>
    <t>ไม่มี -------------</t>
  </si>
  <si>
    <t>30 ชั่วโมง</t>
  </si>
  <si>
    <t>ตี๋เครื่องกล นามวัสดุ น้ำไฟฟ้า สุบินไฟฟ้า ปุนไฟฟ้า</t>
  </si>
  <si>
    <t>ตี๋เครื่องกล</t>
  </si>
  <si>
    <t>นามวัสดุ</t>
  </si>
  <si>
    <t>ปุนไฟฟ้า</t>
  </si>
  <si>
    <t>ปัตอุด</t>
  </si>
  <si>
    <t>ปลื้มคอม</t>
  </si>
  <si>
    <t>ปุนไฟฟ้า ได้จากค่าย</t>
  </si>
  <si>
    <t>ฟ้าใสเคมี กานต์อิเล็ก แฟนต้าไฟฟ้า</t>
  </si>
  <si>
    <t>ฟ้าใสเคมีอินเตอร์ เด็กสอวน.ศูนย์ศิลปากรเหมือนกัน</t>
  </si>
  <si>
    <t>1.ไนท์ 2.อะตอม 3.ขนมปัง 4.พีช 5.แตงโม</t>
  </si>
  <si>
    <t>ไนท์ ภาคอิเล็ก</t>
  </si>
  <si>
    <t>อะตอม อิเล็ก</t>
  </si>
  <si>
    <t>ขนมปัง อิเล็ก</t>
  </si>
  <si>
    <t>พีช อิเล็ก</t>
  </si>
  <si>
    <t>ไนท์ อยู่บ้านเดียวกัน ได้ทำกืยกรด้วยกัน</t>
  </si>
  <si>
    <t>พี่ไอซ์ พี่กานต์ พี่บีเฟิส</t>
  </si>
  <si>
    <t>พี่บีเฟิส เจอตอนที่ทำกิจกรรม</t>
  </si>
  <si>
    <t>ชมพู่ อุต</t>
  </si>
  <si>
    <t>แอล อุต</t>
  </si>
  <si>
    <t>ไอวี่ อุต</t>
  </si>
  <si>
    <t>ช้าง อุต</t>
  </si>
  <si>
    <t>โบ๊ท เคมี</t>
  </si>
  <si>
    <t>พอส เครื่องกล</t>
  </si>
  <si>
    <t xml:space="preserve">ชมพู่รู้จักตอนนั่งรวมแถว </t>
  </si>
  <si>
    <t>พี่ขนุน พี่บิงโก</t>
  </si>
  <si>
    <t>พี่ขนุนรู้จักจากกิจกรรมMc</t>
  </si>
  <si>
    <t>ต้นข้าว วิศวกรรมไฟฟ้าสื่อสารและอิเล็กทรอนิกส์</t>
  </si>
  <si>
    <t>ชมพู่ วิศวกรรมไฟฟ้าสื่อสารและอิเล็กทรอนิกส์</t>
  </si>
  <si>
    <t>ออม วิศวกรรมไฟฟ้าสื่อสารและอิเล็กทรอนิกส์</t>
  </si>
  <si>
    <t>ภีม วิศวกรรมไฟฟ้าสื่อสารและอิเล็กทรอนิกส์</t>
  </si>
  <si>
    <t>ซิตี้ วิศวกรรมไฟฟ้าสื่อสารและอิเล็กทรอนิกส์</t>
  </si>
  <si>
    <t xml:space="preserve">ต้นข้าว วิศวกรรมไฟฟ้าสื่อสารและอิเล็กทรอนิกส์ รู้จักจากกิจกรรมปฐมนิเทศคณะวิศวกรรมศาสตร์ </t>
  </si>
  <si>
    <t>พี่เบนซ์ พี่เอพิ่ล พี่บีเฟิร์ส ต้นข้าว ภาควิชาวิศวกรรมไฟฟ้าสื่อสารและอิเล็กทรอนิกส์</t>
  </si>
  <si>
    <t>พี่เอพิ่ล วิศวกรรมไฟฟ้าสื่อสารและอิเล็กทรอนิกส์ รู้จักจากกิจกรรมปฐมนิเทศคณะวิศวกรรมศาสตร์</t>
  </si>
  <si>
    <t>อิง เครื่องกล</t>
  </si>
  <si>
    <t>ธีร์ วัสดุ</t>
  </si>
  <si>
    <t>อิงชวนคุยในช่วงฐานกิจกรรม ทำให้รู้อยภาคเดียวกัน</t>
  </si>
  <si>
    <t>พี่ปอนด์ me พี่ถุงข้าว me พี่คิม me</t>
  </si>
  <si>
    <t>พี่ลัคกี้ mc ฐานกิจกรรม พี่เขาดูใจดีมากค่ะ</t>
  </si>
  <si>
    <t>อาโป  วัสดุ</t>
  </si>
  <si>
    <t>ไอซ์ คอม</t>
  </si>
  <si>
    <t>ฟีฟ่า คอม</t>
  </si>
  <si>
    <t>โอม เจอกันตอนวิ่งที่สนามมจธ</t>
  </si>
  <si>
    <t>ไอซ์ อิเล็ก  เฮง อิเล็ก คิน อิเล็ก</t>
  </si>
  <si>
    <t>พี่ดิศ ค่ายติวเวล20</t>
  </si>
  <si>
    <t>ไนซ์ PE</t>
  </si>
  <si>
    <t>ขวัญข้าว TME</t>
  </si>
  <si>
    <t>ลูกพีช TME</t>
  </si>
  <si>
    <t>ต้นข้าว TME</t>
  </si>
  <si>
    <t>รู้จักขวัญข้าวจากการพิมพ์ลงโน้ตว่า ชั้นเหงา ชั้นกินข้าวคนเดียวมาสองเดือนแล้ว</t>
  </si>
  <si>
    <t>รู้จักเบลจากการชวนกันเล่รฐาน</t>
  </si>
  <si>
    <t>รู้จักเปิ้ลเพราะชวนกินข้าวตอนพัก</t>
  </si>
  <si>
    <t>ฮูโต๋ ยานยนต์</t>
  </si>
  <si>
    <t>พีชชี่ เครื่องกล</t>
  </si>
  <si>
    <t>ดิว เครื่องกล</t>
  </si>
  <si>
    <t>น็อต เครื่องกล</t>
  </si>
  <si>
    <t>เบอดี้ เครื่องกล</t>
  </si>
  <si>
    <t>ฮูโต๋ จากฐานกิจกรรม 12 นาฬิกา</t>
  </si>
  <si>
    <t>พี่ปอนด์ พี่โจนัท พี่สายพิณ</t>
  </si>
  <si>
    <t xml:space="preserve">พี่ปอนด์ จากกิจกรรมปฐมนิเทศ </t>
  </si>
  <si>
    <t>รี ไอวี่ แอล เตเต้ พีท</t>
  </si>
  <si>
    <t>ริว isee</t>
  </si>
  <si>
    <t>พีท isee</t>
  </si>
  <si>
    <t>ตาต้า isee</t>
  </si>
  <si>
    <t>สมาย เพื่อนน่ารักมากๆ</t>
  </si>
  <si>
    <t>มุก บิงโก นาย pe</t>
  </si>
  <si>
    <t>บิงโก พี่สาขาอุต</t>
  </si>
  <si>
    <t>แทน ภาคไฟฟ้า</t>
  </si>
  <si>
    <t>แบงค์ ภาคไฟฟ้า</t>
  </si>
  <si>
    <t>อุ๋ง ภาคไฟฟ้า</t>
  </si>
  <si>
    <t>เอ็กแอล ภาคไฟฟ้า</t>
  </si>
  <si>
    <t>ได้รู้จักจากนันทนาการ</t>
  </si>
  <si>
    <t>1.ออกัส ภาคไฟฟ้า 2.ปลื้ม ภาคไฟฟ้า 3.บุ๊ค ภาคไฟฟ้า</t>
  </si>
  <si>
    <t>พี่ออกัส รู้จักนันทนาการ ประทับใจชวนคุย</t>
  </si>
  <si>
    <t>1.1ปุ่น 1.2เป้ 1.3โอ๊ต 1.4วิน 1.5บาส</t>
  </si>
  <si>
    <t>โอ๊ต ภาคเครื่องมือวัสดุ</t>
  </si>
  <si>
    <t>ปุ่น เครื่องมือวัสดุ</t>
  </si>
  <si>
    <t>เป้ เครื่องวัสดุ</t>
  </si>
  <si>
    <t>เนค เครื่องมือวัสดุ</t>
  </si>
  <si>
    <t>บาส เครื่องมือ วัสดุ</t>
  </si>
  <si>
    <t>โอ๊ต เจอจากการมาสอบวัดระดับและได้เป็นเพื่อนกัน</t>
  </si>
  <si>
    <t>พี่โอเว่น พี่เชน พี่ซือ</t>
  </si>
  <si>
    <t>พี่โอเว่น เป็นรุ่นพี่จากรรเก่า</t>
  </si>
  <si>
    <t>xl ไฟฟ้า</t>
  </si>
  <si>
    <t>อุ๋ง ไฟฟ้า</t>
  </si>
  <si>
    <t>เนส ไฟฟ้า</t>
  </si>
  <si>
    <t>ยูริ ไฟฟ้า</t>
  </si>
  <si>
    <t>จีน ไฟฟ้า</t>
  </si>
  <si>
    <t>อุ๋ง จากดอชบอล ละได้เล่นเกมด้วยกัน</t>
  </si>
  <si>
    <t>แฮม ถั่ว บีม ภาคไฟฟ้า</t>
  </si>
  <si>
    <t>แฮม ตอนกินข้าวและได้ไปเล่นบอร์ดเกม</t>
  </si>
  <si>
    <t>ปิกนิก ภาควิชาเคมี</t>
  </si>
  <si>
    <t>ยูฟ่า ภาควิชาอุตสาหการ</t>
  </si>
  <si>
    <t>นัท ภาควิชาอุตสาหการ</t>
  </si>
  <si>
    <t>ฟิล์ม ภาควิชาอุตสาหการ</t>
  </si>
  <si>
    <t>ไนซ์ ภาควิชาอุตสาหการ</t>
  </si>
  <si>
    <t>ปิกนิก จากกิจกรรมเข้าฐาน เพื่อนดูแลดีมาก ๆ</t>
  </si>
  <si>
    <t>พี่โจต้า ภาควิชาเครื่องกล พี่บิงโก ภาควิชาอุตสาหการ พี่แปม ภาควิชาอุตสาหการ</t>
  </si>
  <si>
    <t>พี่ไอซ์ จากกิจกรรมฐานดอดจ์บอล เอนเนอร์จี้ดีค่ะ</t>
  </si>
  <si>
    <t>ซูชิ วิศวกรรมโยธา</t>
  </si>
  <si>
    <t>Thae Thae CPE</t>
  </si>
  <si>
    <t>Yuri CPE</t>
  </si>
  <si>
    <t>Nut CPE</t>
  </si>
  <si>
    <t>Hafa CPE</t>
  </si>
  <si>
    <t>ซูชิ รู้จักกันเพราะเป็นเพื่อนของเพื่อนอีกที</t>
  </si>
  <si>
    <t>พี่ข้าวฟ่างHDS พี่ไอซ์HDS พี่ภูมิ CPE inter</t>
  </si>
  <si>
    <t>พี่ไทม์ รู้จักเพราะชวนไปกินหมูทะและชอบรีพลายสตอรี่</t>
  </si>
  <si>
    <t>พอใจ ภาควิชาวิศวกรรมอุตสาหการ</t>
  </si>
  <si>
    <t>โฟกัส ภาควิชส</t>
  </si>
  <si>
    <t>เดียร์ ภาควิชาวิศวกรรมเคมี</t>
  </si>
  <si>
    <t>ข้าวแพง ภาควิชาวิศวกรรมเคมี</t>
  </si>
  <si>
    <t>ปลื้ม ภาควิชาวิศวกรรมเครื่องกล</t>
  </si>
  <si>
    <t>พอใจและโฟกัสเจอในโครงการ Kmutt buddies</t>
  </si>
  <si>
    <t>พี่ฟลุ๊ค คอม, พี่ครีม คอม, พี่น้ำมนต์ คอม</t>
  </si>
  <si>
    <t>พี่ฟลุ๊ค ภาคคอม ใจดี ^^</t>
  </si>
  <si>
    <t>1.1 ข้าวปั้น ยานยนต์</t>
  </si>
  <si>
    <t xml:space="preserve"> 1.2 วิน ยานยนต์</t>
  </si>
  <si>
    <t>1.3 นัต ยานยนต์</t>
  </si>
  <si>
    <t>1.4 อาม INC</t>
  </si>
  <si>
    <t>1.5 โต๋ ยานยนต์</t>
  </si>
  <si>
    <t>ข้าวปั้น เจอกันตอนปฐมนิเทศ</t>
  </si>
  <si>
    <t>บอส เครื่องกล หนึ่ง เครื่องกล บาส เครื่องกล</t>
  </si>
  <si>
    <t>พี่บอส แนะนำกิจกรรมต่างๆ</t>
  </si>
  <si>
    <t>น้ำอิง cpe inter</t>
  </si>
  <si>
    <t>สตางค์ cpe ปกติ</t>
  </si>
  <si>
    <t>อีทาน cpe ปกติ</t>
  </si>
  <si>
    <t>ไจ๋ไจ๋ cpe inter</t>
  </si>
  <si>
    <t>โม cpe inter</t>
  </si>
  <si>
    <t>รู้จักจากกิจกรรมปรับพื้นฐาน และได้ไปเล่นบอร์ดเกม</t>
  </si>
  <si>
    <t>พัตเตอร์ cpe ภู cpe เจเจ (สิ่งแวดล้อม)</t>
  </si>
  <si>
    <t xml:space="preserve">พี่พัตเตอร์ จากกิจกรรม pre-freshy </t>
  </si>
  <si>
    <t>เวฟ isee</t>
  </si>
  <si>
    <t>ธันวา isee</t>
  </si>
  <si>
    <t>บอส me</t>
  </si>
  <si>
    <t>บอล pe</t>
  </si>
  <si>
    <t>บาส mce</t>
  </si>
  <si>
    <t>เวฟ use รู้ตักตอนลงทะเบียนได้คุยเพราะไม่รู้ว่าต้องทำไรต่อ</t>
  </si>
  <si>
    <t>ไม่ได้ถามชื่อรุ่นพี่เอาไว้</t>
  </si>
  <si>
    <t>มีรุ่นพี่แนะนำช่วงพักว่าในมอทีอะไรบ้าง</t>
  </si>
  <si>
    <t>ช้าง วิศวกรรมไฟฟ้า</t>
  </si>
  <si>
    <t>ว่องไว วิศวกรรมไฟฟ้า</t>
  </si>
  <si>
    <t>ภูมิ วิศวกรรมไฟฟ้า</t>
  </si>
  <si>
    <t>ไทม์ วิศวกรรมไฟฟ้า</t>
  </si>
  <si>
    <t>เต้อ วิศวกรรมไฟฟ้า</t>
  </si>
  <si>
    <t>ว่องไว ค่าย BEE Camp ออกไปนำเสนอและเต้นบ่อย</t>
  </si>
  <si>
    <t>พี่บีม วิศวกรรมไฟฟ้า พี่ไอซ์ วิศวกรรมไฟฟ้า พี่แบงค์วิศวกรรมไฟฟ้า</t>
  </si>
  <si>
    <t>พี่ไอซ์ เป็นmcตอนเข้าค่าย พูดเก่งและดำเนินกิจกรรมสนุก</t>
  </si>
  <si>
    <t>ฟักแฟง เครื่องมือและวัสดุ</t>
  </si>
  <si>
    <t>โอ้ต เครื่องมือและวัสดุ</t>
  </si>
  <si>
    <t>ยูริ เครื่องมือและวัสดุ</t>
  </si>
  <si>
    <t>เน้ก เครื่องมือและวัสดุ</t>
  </si>
  <si>
    <t>ปุ้น เครื่องมือและวัสดุ</t>
  </si>
  <si>
    <t>เน้กช่วยเก็บกระเป๋าตังคืนผมครับ</t>
  </si>
  <si>
    <t>พี่โอ่น พี่เชน พี่ซือ</t>
  </si>
  <si>
    <t>พี่โอเว่นเป็นพี่แนะแนวเนื้อในภาค</t>
  </si>
  <si>
    <t>เฟียต  โฟค แฮม เพชร เมฆ กุณ</t>
  </si>
  <si>
    <t>เฟียต AME</t>
  </si>
  <si>
    <t>โฟค AME</t>
  </si>
  <si>
    <t>แฮม AME</t>
  </si>
  <si>
    <t>เพชร AME</t>
  </si>
  <si>
    <t>เมฆ AME</t>
  </si>
  <si>
    <t>กุณ AME</t>
  </si>
  <si>
    <t>เพชรรู้จัก จากฐานโยธา ช่วยกันทำให้บอลลงตระกร้า</t>
  </si>
  <si>
    <t>สายพิน อาย ปอนด์ ME</t>
  </si>
  <si>
    <t>ขนุน PE ช่วยให้ผมทำฐานของเครื่องกลผ่านไปได้ครบได้</t>
  </si>
  <si>
    <t>ปลื้มME</t>
  </si>
  <si>
    <t>ปลื้มEE</t>
  </si>
  <si>
    <t>ปลื้มPE</t>
  </si>
  <si>
    <t>ปลื้มAE</t>
  </si>
  <si>
    <t>ปลื้มCHEM</t>
  </si>
  <si>
    <t>ปลื้มCE</t>
  </si>
  <si>
    <t>ปลื้มAE หล่อเลยทัก</t>
  </si>
  <si>
    <t>พี่บีมEE พี่โชกุนEE พี่ขวันEE</t>
  </si>
  <si>
    <t>พี่บีม จากภาคไฟBeeCamp</t>
  </si>
  <si>
    <t>ส่งงานล่าช้า</t>
  </si>
  <si>
    <t>ทิพ วิศวกรรมเครื่องกล</t>
  </si>
  <si>
    <t>อันย้า วิศวกรรมเคมี</t>
  </si>
  <si>
    <t>ตี๋ วิศวกรรมเครื่องกล</t>
  </si>
  <si>
    <t>พลอย วิศวกรรมสิ่งแวดล้อม</t>
  </si>
  <si>
    <t>พี วิศวกรรมเคมี</t>
  </si>
  <si>
    <t xml:space="preserve">ตี๋ เป็ยเพื่อนจากวัยประถม มาเจอกันที่มหาลัย เพื่อนมีความกล้าแสดงออกมากๆ </t>
  </si>
  <si>
    <t xml:space="preserve">พี่หมูปีศาจ ภาควิศวกรรมเครื่องกล </t>
  </si>
  <si>
    <t>พี่ AKA หมูปีศาจ รุ่นพี่จัดกรรมในตึกเครื่องกล</t>
  </si>
  <si>
    <t>I only got one, bruv. His name is Leo: ME</t>
  </si>
  <si>
    <t>Leo, ME. Kejhwhe</t>
  </si>
  <si>
    <t>Naa.jeiejhd</t>
  </si>
  <si>
    <t>Nahh, jwhsidi</t>
  </si>
  <si>
    <t>Nah.hekeij</t>
  </si>
  <si>
    <t>Nah.beheie</t>
  </si>
  <si>
    <t>Nah</t>
  </si>
  <si>
    <t>Leo จาก ดูอะไรซักอย่าง</t>
  </si>
  <si>
    <t>ตั้ง ME. Oekjejei</t>
  </si>
  <si>
    <t>ตั้ง จากโรงเรียนเก่า</t>
  </si>
  <si>
    <t>เจฟ ภาคอุตสาหการ</t>
  </si>
  <si>
    <t>ออมสิน ภาคอุตสาหการ</t>
  </si>
  <si>
    <t>ฟ้า ภาคอุตสาหการ</t>
  </si>
  <si>
    <t>ฝ้าย ภาคอุตสาหการ</t>
  </si>
  <si>
    <t>เปียโน ภาคอุตสาหการ</t>
  </si>
  <si>
    <t>ตาต้า ภาคอุตสาหการ</t>
  </si>
  <si>
    <t>เจฟ ตลกดีเวลาไปเที่ยว</t>
  </si>
  <si>
    <t>เภื่อนฟ้า รักรักรักรัรดรกรัดร</t>
  </si>
  <si>
    <t>พี่โบว์ รักรักรัดรัรด</t>
  </si>
  <si>
    <t>ปูน ไฟฟ้า</t>
  </si>
  <si>
    <t>ปลื้ม เคมี</t>
  </si>
  <si>
    <t xml:space="preserve"> ภูมิ ไฟฟ้า</t>
  </si>
  <si>
    <t>มิว เครื่องกล</t>
  </si>
  <si>
    <t>เปรม คอมพิวเตอร์</t>
  </si>
  <si>
    <t>ถ่ายรูปภาควิชา และ ฐานกิจกรรม</t>
  </si>
  <si>
    <t>ไผ่หลิว ไฟฟ้า บีม ไฟฟ้า หมู ไฟฟ้า</t>
  </si>
  <si>
    <t>ถ่ายรูปภาควิชา พี่ๆใจดีมาก</t>
  </si>
  <si>
    <t>เอิร์ธ วิศวกรรมเครื่องกล</t>
  </si>
  <si>
    <t>ดิสนีย์ วิศวกรรมสิ่งแวดล้อม</t>
  </si>
  <si>
    <t>หยอง วิศวกรรมเครื่องกล</t>
  </si>
  <si>
    <t>ออกัส วิศวกรรมเครื่องกล</t>
  </si>
  <si>
    <t>โฟกัส วิศวกรรมสิ่งแวดล้อม</t>
  </si>
  <si>
    <t>ดิสนีย์ ทักข้างหน้า แล้วอยู่ด้วยจนจบงานวันแรก</t>
  </si>
  <si>
    <t>1.พี่ปอน วิศวกรรมเครื่องกล 2.พี่โจอี้ วิศวกรรมเครื่องกล 3.พี่ตูนวิศวกรรมเครื่องกล</t>
  </si>
  <si>
    <t>พี่ปอน พี่เขาช่วยทำกิจกรรม 12 นาฬิกา</t>
  </si>
  <si>
    <t>Control Systems and Instrumentation Engineering</t>
  </si>
  <si>
    <t>Jip, Gam ,Smart ,joule,To</t>
  </si>
  <si>
    <t>Inc jip</t>
  </si>
  <si>
    <t>Inc gam</t>
  </si>
  <si>
    <t>AE smart</t>
  </si>
  <si>
    <t>AE joule</t>
  </si>
  <si>
    <t>AE Tol</t>
  </si>
  <si>
    <t xml:space="preserve">Smart .He is very unique person </t>
  </si>
  <si>
    <t>P’Yok Always caring</t>
  </si>
  <si>
    <t>P’Yok ,P’Aom ,P’Auey</t>
  </si>
  <si>
    <t>5th Floor, Classroom Building 1</t>
  </si>
  <si>
    <t>Classroom Building 2</t>
  </si>
  <si>
    <t>ญี่ปุ่น ยูริ นะโม ธีร์ ภูมิใจ</t>
  </si>
  <si>
    <t>ญี่ปุ่น เครื่องมือและวัสดุ</t>
  </si>
  <si>
    <t>นะโม เครื่องมือและวัสดุ</t>
  </si>
  <si>
    <t>ธีร์ อุตสาหกรรม</t>
  </si>
  <si>
    <t>ภูมิใจ อุตสาหกรรม</t>
  </si>
  <si>
    <t>รวมตัวก่อนถ่ายรูปภาค</t>
  </si>
  <si>
    <t>พี่โอเว่น พี่ซือ พี่พลอย</t>
  </si>
  <si>
    <t>พี่โอเว่น ลืมครับ</t>
  </si>
  <si>
    <t>ริว CPE</t>
  </si>
  <si>
    <t>ข้าวหอม MCE</t>
  </si>
  <si>
    <t>ออมสิน CPE</t>
  </si>
  <si>
    <t>กันต์ MCE</t>
  </si>
  <si>
    <t>ภูมิ EE</t>
  </si>
  <si>
    <t>ไอซ์ CPE รู้จักจากกิจกรรมฐานยิงเรือ ช่วยคิดท่า</t>
  </si>
  <si>
    <t>พี่เจเจPTE พี่บิวENE พี่บิวCPE</t>
  </si>
  <si>
    <t>พี่นิก รู้จักจากกิจกรรมปฐมนิเทศ ให้ข้อมูลละเอียด</t>
  </si>
  <si>
    <t xml:space="preserve">ไทน์ ไฟฟ้า </t>
  </si>
  <si>
    <t xml:space="preserve">ไนท์ ไฟฟ้า </t>
  </si>
  <si>
    <t>ไนซ์ อุตสาหการ</t>
  </si>
  <si>
    <t>ม่อน วัดคุม</t>
  </si>
  <si>
    <t>เฟรม เมคคา</t>
  </si>
  <si>
    <t>ต่อแถวเจอกันนนนนน</t>
  </si>
  <si>
    <t>จำไม่ได้เลยครับ</t>
  </si>
  <si>
    <t>จำไม่ได้เลยจริงๆครับ</t>
  </si>
  <si>
    <t>ข้าวปั้น เครื่องกล</t>
  </si>
  <si>
    <t>วินเนอร์ เครื่องกล</t>
  </si>
  <si>
    <t>กี่วี่ เครื่องกล</t>
  </si>
  <si>
    <t>ใบตอง เครื่องกล</t>
  </si>
  <si>
    <t>เนย เครื่องกล</t>
  </si>
  <si>
    <t>ข้าวปั้น ติวเวล</t>
  </si>
  <si>
    <t>พี่ไวน์  พี่วา พี่โฟกัส เครื่องกล</t>
  </si>
  <si>
    <t>พี่ไวน์ ใส่หน้ากาก</t>
  </si>
  <si>
    <t>1.1 ซันนี่ ภาคเครื่องกล 1.2หมิง ภาคคอม 1.3จ๊า ภาคคอม   1.4 ออมสิน ภาคคอม   1.5 ฟิล์ม ภาคคอม</t>
  </si>
  <si>
    <t>หมิง ภาคคอม</t>
  </si>
  <si>
    <t>ซันนี่ ภาคเครื่องกล</t>
  </si>
  <si>
    <t xml:space="preserve">จ๊า ภาคคอม </t>
  </si>
  <si>
    <t>ฟิล์ม ภาคคอม</t>
  </si>
  <si>
    <t>ออมสิน ภาคคอม</t>
  </si>
  <si>
    <t>จ๊า เจอกันที่โรงอาหาร</t>
  </si>
  <si>
    <t>พี่ เจเจ pe  พี่ บิว cpe พี่มาย ene</t>
  </si>
  <si>
    <t>พี่บิว จากกิจกรรมแนะนำสโมสรวิศวะ</t>
  </si>
  <si>
    <t>เปรม tme</t>
  </si>
  <si>
    <t>อิง tme</t>
  </si>
  <si>
    <t>โอปอ tme</t>
  </si>
  <si>
    <t>ปาริ tme</t>
  </si>
  <si>
    <t xml:space="preserve">ปาริ tme ได้รู้จักในตอนเข้าร่วมกิจกรรม tue welcome ครั้งที่20 ของชมรมติว </t>
  </si>
  <si>
    <t>พี่เฟิร์ส tme พี่ฟิวส์ tme พี่โอเว่น tme</t>
  </si>
  <si>
    <t xml:space="preserve">พี่เฟิร์ส tme ได้รู้จักในกิจกรรมปฐมนิเทศวิศวกรรมศาสตร์ </t>
  </si>
  <si>
    <t>มาเรีย EE</t>
  </si>
  <si>
    <t>เบญ EE</t>
  </si>
  <si>
    <t>เฟิร์น EE</t>
  </si>
  <si>
    <t>เอมี่ EE</t>
  </si>
  <si>
    <t>เบญ เพื่อนที่พึ่งมาวันนี้วันแรกได้คุยดันครั้งแรก เป็นคนตลก</t>
  </si>
  <si>
    <t>พี่ไผ่หลิว EE พี่บีมEE พี่แฮมEE</t>
  </si>
  <si>
    <t>พี่ไผ่หลิว จากกิจกรรมค่าย พี่ดูแลดีมากๆๆ</t>
  </si>
  <si>
    <t xml:space="preserve">เต ยูริ ฟักแฟง เป้ วิน </t>
  </si>
  <si>
    <t>เต ape hand on</t>
  </si>
  <si>
    <t>ยูริ ape hand on</t>
  </si>
  <si>
    <t>ฟักแฟง ape hand on</t>
  </si>
  <si>
    <t>เป้ ape hand on</t>
  </si>
  <si>
    <t>วิน ape hand on</t>
  </si>
  <si>
    <t>โอ้ต ape hand on</t>
  </si>
  <si>
    <t>วิน เพราะวินมาสายเลยจดจำ</t>
  </si>
  <si>
    <t>โอเว่น ซือ พลอย</t>
  </si>
  <si>
    <t>พี่โอเว่น ดูแลน้องๆดีในกลุ่ม</t>
  </si>
  <si>
    <t xml:space="preserve">สอ ee </t>
  </si>
  <si>
    <t>นะ mce</t>
  </si>
  <si>
    <t>น้ำหวาน Pe</t>
  </si>
  <si>
    <t>โฟกัส Pe</t>
  </si>
  <si>
    <t>แป้งหอม ee</t>
  </si>
  <si>
    <t>เจน ee ได้รู้จักเพื่อนจากกิจกรรมฐานค่ะ ได้พูดคุยกัน</t>
  </si>
  <si>
    <t>พี่ไข่มุก Pe พี่สายพินMe พี่ฟูจิMce</t>
  </si>
  <si>
    <t>พี่สายพิน เป็นMc เกมแรกที่ได้เลยแล้วจำได้</t>
  </si>
  <si>
    <t xml:space="preserve">เฟิร์ส inc </t>
  </si>
  <si>
    <t>เกม inc</t>
  </si>
  <si>
    <t>เพรช inc</t>
  </si>
  <si>
    <t>นิโน่ inc</t>
  </si>
  <si>
    <t>ปริ้น inc</t>
  </si>
  <si>
    <t>เฟริส กิจกรรมถ่ายรูปตอนเช้า เหตุการณ์ชอบเตะบอลเหมือนกัน</t>
  </si>
  <si>
    <t>พี่มี่ inc พี่hongwhaa inc พี่Mee inc</t>
  </si>
  <si>
    <t>พี่Mimi คอยแจ้งข่าวสารลงในไลน์กลุ่ม</t>
  </si>
  <si>
    <t>ท็อป ee</t>
  </si>
  <si>
    <t>แคน ee</t>
  </si>
  <si>
    <t>ท็อป รู้จักจากกิจกรรมของสาขา</t>
  </si>
  <si>
    <t>พี่แฮม พี่บีม พี่หลิว</t>
  </si>
  <si>
    <t>พี่แฮม รู้จักจากการเป็นน้องรหัส</t>
  </si>
  <si>
    <t>ภูมิ INC</t>
  </si>
  <si>
    <t>เกม INC</t>
  </si>
  <si>
    <t>เท็ด INC</t>
  </si>
  <si>
    <t>นีโน่ INC</t>
  </si>
  <si>
    <t>ปริ้น INC</t>
  </si>
  <si>
    <t>ภูมิ ถ่ายรูปด้วยกัน</t>
  </si>
  <si>
    <t>พี่mimi INC พี่mee INC พี่hongWhaa INC</t>
  </si>
  <si>
    <t>มีมี่ INC คอยแจ้งข่าวสารให้กับน้องๆ</t>
  </si>
  <si>
    <t>มาร์ท ภาคENE</t>
  </si>
  <si>
    <t>เรน ene</t>
  </si>
  <si>
    <t>ตุ้ย IMc</t>
  </si>
  <si>
    <t>จ็อบ icee</t>
  </si>
  <si>
    <t>ภีม icee</t>
  </si>
  <si>
    <t>ชื่อ เก้า เค้ามาทักเป็นคนเเรก</t>
  </si>
  <si>
    <t>ภีม ตั้ม ดีดี icee</t>
  </si>
  <si>
    <t>พี่โชคดี มาถามมาจากจังหวัดไหน</t>
  </si>
  <si>
    <t>ตี้ EE</t>
  </si>
  <si>
    <t>ภู ENE</t>
  </si>
  <si>
    <t>ออม TME</t>
  </si>
  <si>
    <t>อาร์ม TME</t>
  </si>
  <si>
    <t>โปรด EE เพื่อนที่รู้จักแนะนำมา</t>
  </si>
  <si>
    <t xml:space="preserve">พี่ฟิวTME พี่โอเว่น TME พี่เชน TME </t>
  </si>
  <si>
    <t>พี่ฟิว รู้จักเพราะเป็นรุ่นพี่ในสาขา</t>
  </si>
  <si>
    <t>โอปอล์ tme</t>
  </si>
  <si>
    <t>หยก tme</t>
  </si>
  <si>
    <t>เ</t>
  </si>
  <si>
    <t xml:space="preserve">เซ้นส์ tme รู้จักจากกิจกรรมติวเวลคัม ครั้งที่ 20 </t>
  </si>
  <si>
    <t>พี่เฟิร์ส tme ,พี่ฟิว tme , พี่โอเว่น tme</t>
  </si>
  <si>
    <t>พี่เฟิร์ส เป็นพี่ที่คุยเก่งมาก เป็นคนน่ารัก</t>
  </si>
  <si>
    <t>ริว cpe</t>
  </si>
  <si>
    <t>เก้ cpe</t>
  </si>
  <si>
    <t>ต้นน้ำ cpe</t>
  </si>
  <si>
    <t>จ๋า cpe</t>
  </si>
  <si>
    <t>หมิง cpe</t>
  </si>
  <si>
    <t>ริว cpe รู้จักผ่านเพื่อนของเพื่อนแล้วมาแนะนำให้รู้จัก</t>
  </si>
  <si>
    <t>พี่เจเจ pe พี่บิว cpe พี่มาย ene</t>
  </si>
  <si>
    <t>พี่บิว cpe เพราะเป็นพิธีกรในงานปฐมนิเทศครั้งนี้</t>
  </si>
  <si>
    <t>โกโก้ ENE</t>
  </si>
  <si>
    <t>ฟูจิ ChE</t>
  </si>
  <si>
    <t>ตี๋น้อย MEE</t>
  </si>
  <si>
    <t>ตองแก้ว EE</t>
  </si>
  <si>
    <t>มายด์ SEMI</t>
  </si>
  <si>
    <t>ฟูจิ ChE เจอกันกิจกรรมแรก อยู่กลุ่มเดียว เข้ากันได้ดี</t>
  </si>
  <si>
    <t>พี่บีเฟิร์ส ENE พี่เฟอรีน ENE พี่ซัน ENE</t>
  </si>
  <si>
    <t>พี่บีเฟิร์ส ได้กวนพี่เขา</t>
  </si>
  <si>
    <t>ติน isee</t>
  </si>
  <si>
    <t>ซีเกม isee</t>
  </si>
  <si>
    <t>โรม isee</t>
  </si>
  <si>
    <t>เวฟ รับน้องคณะ เล่นเกมด้วยกัน</t>
  </si>
  <si>
    <t>บอส pe มาคpe บาสpe</t>
  </si>
  <si>
    <t>ซีเกม รับน้องคณะ</t>
  </si>
  <si>
    <t>อเล็กซ์ inc</t>
  </si>
  <si>
    <t>ไอซ์ ene</t>
  </si>
  <si>
    <t>เหมย ene</t>
  </si>
  <si>
    <t>องศา cpe</t>
  </si>
  <si>
    <t>อเล็กซ์ inc รู้จักจากตอนไปเล่นฐานกิจกรรมบ้านbloom</t>
  </si>
  <si>
    <t>บิว cpe นาย ene เจเจ pe</t>
  </si>
  <si>
    <t>บิว cpe ได้รู้รายละเอียดเกี่ยวกับสโมวิศวะ</t>
  </si>
  <si>
    <t>เปาโล ee</t>
  </si>
  <si>
    <t>ปางอุ๋ง ee</t>
  </si>
  <si>
    <t>จีน ee</t>
  </si>
  <si>
    <t>xl ee</t>
  </si>
  <si>
    <t>แทน ee</t>
  </si>
  <si>
    <t>เกจิ โดนลิฟต์หนีบด้วยกัน</t>
  </si>
  <si>
    <t>พี่บีม พี่แฮม พี่จินนี่ ee</t>
  </si>
  <si>
    <t>พี่บีม พี่เขาจัดแถวให้แล้วเฟรนลี่ดี</t>
  </si>
  <si>
    <t>นํ้า อุตสาหการ</t>
  </si>
  <si>
    <t>มิลลิลิตร อุตสาหการ</t>
  </si>
  <si>
    <t>ลูกขุน อุตสาหการ</t>
  </si>
  <si>
    <t>คุณหลวง โยธา</t>
  </si>
  <si>
    <t>คุณหลวง เพื่อนๆพามารู้จัก ตอนข้ามถนนคุณหลวงช่วยดูรถให้ ระวังให้ เป็นสุภาพบุรุษมากๆ</t>
  </si>
  <si>
    <t>พี่บิงโก อุตสาหการ พี่เจเจ อุตสาหการ พี่หนุน mc</t>
  </si>
  <si>
    <t>ลูกขุน นั่งทำกิจกรรมอยู่ด้านหน้า ได้คุยทำความรู้จักกัน ลูกขุนน่ารักดี</t>
  </si>
  <si>
    <t>1.1 เตอร์ EE 1.2 เอก EE 1.3 ภู EE  1.4 ปลื้ม EE 1.5 ทาม EE</t>
  </si>
  <si>
    <t>เตอร์ EE</t>
  </si>
  <si>
    <t>เอก EE</t>
  </si>
  <si>
    <t>ทาม EE</t>
  </si>
  <si>
    <t>บอส APE ยิงเรือ</t>
  </si>
  <si>
    <t xml:space="preserve">พี่ไผ่หลิว EE  </t>
  </si>
  <si>
    <t>พี่บีม พี่บีมพาเต้น</t>
  </si>
  <si>
    <t>ปิงปอง ENE</t>
  </si>
  <si>
    <t>เมฆ EE</t>
  </si>
  <si>
    <t>ดีดี IE</t>
  </si>
  <si>
    <t>ยูตะ 12 นาฬิกา ตกใจเพราะอยู่อิเล็กเหมือนกัน</t>
  </si>
  <si>
    <t>บีเฟิร์ส ENE บีม EE เอพริล ENE</t>
  </si>
  <si>
    <t>โอห์ม เดินแล้วคุยด้วยสนุกดี</t>
  </si>
  <si>
    <t>นํ้าหวาน PE</t>
  </si>
  <si>
    <t>นะโม TME</t>
  </si>
  <si>
    <t>โดม PE</t>
  </si>
  <si>
    <t>ซีซ่า MCE</t>
  </si>
  <si>
    <t>ภูมิ MCE</t>
  </si>
  <si>
    <t>ซีซี CME</t>
  </si>
  <si>
    <t>โดม เล่นทายชื่อกัน</t>
  </si>
  <si>
    <t>พี่บิงโก พี่ไข่มุก พี่ผ้าเเพร</t>
  </si>
  <si>
    <t>พี่ไข่มุก เป็นรุ่นพี่ที่รู้จักกันมานานเเล้วกลับมาเจอกัน</t>
  </si>
  <si>
    <t>ฟิว วิศวกรรมไฟฟ้า</t>
  </si>
  <si>
    <t>มังกร วิศวกรรมไฟฟ้า</t>
  </si>
  <si>
    <t>แม็ก วิศวกรรมไฟฟ้า</t>
  </si>
  <si>
    <t>นนท์ วิศวกรรมไฟฟ้า</t>
  </si>
  <si>
    <t>เอฟ วิศวกรรมไฟฟ้า</t>
  </si>
  <si>
    <t>ตัว วิศวกรรมไฟฟ้า ได้รับจากกิจกรรมถ่ายรูปรุ่น เนื่องจากยืนถ่ายรูปข้างกัน</t>
  </si>
  <si>
    <t>พี่บีม วิศวกรรมไฟฟ้า พี่โบนัส วิศวกรรมเคมี พี่ปั้น วิศวกรรมไฟฟ้า</t>
  </si>
  <si>
    <t>พี่โบนัส วิศวกรรมเคมี จากกิจกรรมปฐมนิเทศ</t>
  </si>
  <si>
    <t>ผักกาด pe</t>
  </si>
  <si>
    <t>แป้ง pe</t>
  </si>
  <si>
    <t>แคลร์ cpe</t>
  </si>
  <si>
    <t>โฟกัส pe</t>
  </si>
  <si>
    <t>หนูดี pe</t>
  </si>
  <si>
    <t>โฟกัส รู้จักจากค่าย buddies kmutt โฟกัสพาไปกินของหวาน ปชอ.45</t>
  </si>
  <si>
    <t>พี่ปิ่น  เคมี / พี่หนุน โยธา /  โบนัส อุต</t>
  </si>
  <si>
    <t>พี่ข้าว เจอกันใน ig พี่ข้าวน่ารักกก</t>
  </si>
  <si>
    <t>อ๋อมแอ๋ม TME</t>
  </si>
  <si>
    <t>อะตอม TME</t>
  </si>
  <si>
    <t>มีนา PE</t>
  </si>
  <si>
    <t>มิ้งค์ PE</t>
  </si>
  <si>
    <t>มีนาPE จากกิจกรรม 12 นาฬิกา ได้พูดคุยและรู้จักกัน</t>
  </si>
  <si>
    <t>เฟิร์ส TME โอเว่น TME แว่นแก้ว TME</t>
  </si>
  <si>
    <t>เฟิร์ส TME เพราะเป็นประธานสาขา</t>
  </si>
  <si>
    <t>อรรถ MCE</t>
  </si>
  <si>
    <t>เต้ ME</t>
  </si>
  <si>
    <t>น้ำมนต์ PE</t>
  </si>
  <si>
    <t>พูห์ ME</t>
  </si>
  <si>
    <t>พูห์ เจอตอนรวมถ่ายรูป</t>
  </si>
  <si>
    <t>เจเจ บิว มะเหมี่ยว</t>
  </si>
  <si>
    <t>พี่เฟย เจอที่กิจกรรมเวลาหาเพื่อน</t>
  </si>
  <si>
    <t>1.กีวี่ 2.เนย 3.ใบตอง 4.ข้าวปั้น 5.ม่อน</t>
  </si>
  <si>
    <t>เนย ame</t>
  </si>
  <si>
    <t>ใบตอง ame</t>
  </si>
  <si>
    <t>กีวี่ ame</t>
  </si>
  <si>
    <t>ผิงอัน ame</t>
  </si>
  <si>
    <t>วินเนอร์ame</t>
  </si>
  <si>
    <t>เนย รู้จักผ่านกลุ่ม build เเล้วอยู่สาขาเดียวกัน</t>
  </si>
  <si>
    <t>พี่เปา พี่อาย พี่สายพิณ</t>
  </si>
  <si>
    <t>พี่เปา เสียงดังมากจะรั่ว</t>
  </si>
  <si>
    <t>เเยม ภาคไฟฟ้า</t>
  </si>
  <si>
    <t>เบญ ภาคไฟฟ้า</t>
  </si>
  <si>
    <t>ฟิต ภาคโยธา</t>
  </si>
  <si>
    <t>พลอย ภาคเคมี</t>
  </si>
  <si>
    <t>ออโต้ ภาคคอม</t>
  </si>
  <si>
    <t xml:space="preserve">เเยม กิจกรรมปฐมนิเทศ </t>
  </si>
  <si>
    <t>พี่บีมEE พี่เพียวEE พี่โอมEE</t>
  </si>
  <si>
    <t>พี่ไผ่หลิว พาไปเข้าห้องน้ำทุกรอบ น่าสงสารพี่</t>
  </si>
  <si>
    <t>ปังอุ๋ง ภาคไฟ</t>
  </si>
  <si>
    <t>เกจิ ภาคไฟ</t>
  </si>
  <si>
    <t>เเบงค์ ภาคไฟ</t>
  </si>
  <si>
    <t>จีนภาคไฟ</t>
  </si>
  <si>
    <t>Xl ภาคไฟ</t>
  </si>
  <si>
    <t>ยูริภาคไฟ</t>
  </si>
  <si>
    <t>ปังอุ๋ง ประสบการณ์ที่แระทับใจคือมันเเบกเเรงค์rov</t>
  </si>
  <si>
    <t>พี่ปุน ที่มุก พี่บีม</t>
  </si>
  <si>
    <t>พี่มุก เพราะเป็นพี่รหัสผม😜</t>
  </si>
  <si>
    <t>ภาควิชาวิศวกรรมเคมี (Chemical Engineering)</t>
  </si>
  <si>
    <t>นมสด คิว เอฟ เตย เอญ่า</t>
  </si>
  <si>
    <t>เอญ่า วิศวกรรมเคมี</t>
  </si>
  <si>
    <t>คิว วิศวกรรมเคมี</t>
  </si>
  <si>
    <t>เตย วิศวกรรมเคมี</t>
  </si>
  <si>
    <t>ลูกปัด วิศวกรรมเคมี</t>
  </si>
  <si>
    <t>ออมสิน วิศวกรรมเคมี</t>
  </si>
  <si>
    <t>นมสด เป็นคนตลกมากคือเข้าหาเพื่อนเก่งเกินน ทำให้สนุกมากขึ้น</t>
  </si>
  <si>
    <t xml:space="preserve">พี่กาฟิว พี่เต พี่กาฟิวคนที่สอง </t>
  </si>
  <si>
    <t>กาฟิว พี่เค้าเอนเนอร์จ้ติ้กตอกมากกตลกมากก</t>
  </si>
  <si>
    <t>ตี้ ไฟฟ้า</t>
  </si>
  <si>
    <t>อาร์ม ไฟฟ้า</t>
  </si>
  <si>
    <t>ฟลุ๊ค เครื่องมือ</t>
  </si>
  <si>
    <t>ภูมัย โยธา</t>
  </si>
  <si>
    <t>โรม เครื่องกล</t>
  </si>
  <si>
    <t>อาร์ม เป็นคนน่ารักไปไหนไปกัน</t>
  </si>
  <si>
    <t>บีม ไฟฟ้า ไพหลิว ไฟฟ้า ปัน ไฟฟ้า</t>
  </si>
  <si>
    <t>ภูมัย นิ่งๆแต่ซิ่ง</t>
  </si>
  <si>
    <t>ดีดี ภาควิชาอุตสาหการ</t>
  </si>
  <si>
    <t>เจ้าขุน ภาควิชาอุตสาหการ</t>
  </si>
  <si>
    <t>เกื้อ ภาควิชาอุตสาหการ</t>
  </si>
  <si>
    <t>จัสติน ภาควิชาอุตสาหการ</t>
  </si>
  <si>
    <t>ไทม์ ภาควิชาอุตสาหการ</t>
  </si>
  <si>
    <t>ดีดี เจอกันที่มอ เล่นบาสด้วยกัน และกินหมูทะ สนุกมาก</t>
  </si>
  <si>
    <t xml:space="preserve">พี่ฟิก นัท ดาว อุต </t>
  </si>
  <si>
    <t>พี่ฟิก ให้ข้อมูลเกี่ยวภาควิชาได้เยี่ยม คุยสนุก</t>
  </si>
  <si>
    <t>นัท เครื่องกล</t>
  </si>
  <si>
    <t>คอปเตอร์ เครื่องกล</t>
  </si>
  <si>
    <t>มาร์ค เครื่องกล</t>
  </si>
  <si>
    <t>เฟิส ยานยนต์</t>
  </si>
  <si>
    <t>ปลื้ม รู้จักเพราะอยู่กลุ่มเดียวกัน</t>
  </si>
  <si>
    <t>พี่ต้นอ้อ พี่บอส พี่เปา</t>
  </si>
  <si>
    <t>พี่ต้นอ้อ เป็นรุ่นพี่ในคณะ</t>
  </si>
  <si>
    <t>คาบิว วิศวะฯ สิ่งแวดล้อม</t>
  </si>
  <si>
    <t>ตะวัน วิศวะฯ ไฟฟ้า</t>
  </si>
  <si>
    <t>ปกป้อง วิศวะฯ ไฟฟ้า</t>
  </si>
  <si>
    <t>ชิน วิศวะฯ คอมพิวเตอร์</t>
  </si>
  <si>
    <t>รวงจ้าว วิศวะฯ คอมพิวเตอร์</t>
  </si>
  <si>
    <t>จากการนั่งข้างกัน</t>
  </si>
  <si>
    <t>จำไม่ได้ครับ ขอโทษครับ</t>
  </si>
  <si>
    <t>ยังไม่รู้จักครับ</t>
  </si>
  <si>
    <t>คิว เครื่องมือวัสดุ</t>
  </si>
  <si>
    <t>อิ่มเอิ่ม เครื่องมือวัสดุ</t>
  </si>
  <si>
    <t>เต เครื่องมือวัสดุ</t>
  </si>
  <si>
    <t>เต็ม ไฟฟ้า</t>
  </si>
  <si>
    <t>เขต เมคคา</t>
  </si>
  <si>
    <t>ไม่ทราบชื่อ ไฟฟ้า</t>
  </si>
  <si>
    <t>เพื่อนจากเครื่องมือวัด ได้อยู่กลุ่มเดียวกันตอนลง hands on</t>
  </si>
  <si>
    <t xml:space="preserve">พี่ฟิวส์ owen first เครื่องมือวัสดุ </t>
  </si>
  <si>
    <t>พี่ฟิวส์ ได้คุยตอนลงลิฟต์</t>
  </si>
  <si>
    <t xml:space="preserve">ไกด์ ภาควิชาวิศวกรรมเครื่องกล </t>
  </si>
  <si>
    <t>บีม ภาควิชาวิศวกรรมเครื่องกล</t>
  </si>
  <si>
    <t>คอตตอน ภาควิชาวิศวกรรมเครื่องกล</t>
  </si>
  <si>
    <t>บีม ภาควิชาวิศวกรรมโยธา 1.5 นะ ภาควิชาวิศวกรรมอุตสาหการ</t>
  </si>
  <si>
    <t>นะ ภาควิชาวิศวกรรมอุตสาหการ</t>
  </si>
  <si>
    <t>เพื่อนชื่อบีม รู้จักกันวันปฐมนิเทศวิศวะวันเเรก ตอนพักกลางวันกินข้าว เนื่องจากเป็นเพื่อนของเพื่อนที่สนิทของผม ละบังเอิญเพื่อนที่ผมสนิทรู้จัก และะเห็นว่าเพื่อนของเขาอยู่ภาคเดียวกับผม เลยมำให้ได้รู้จักกัน</t>
  </si>
  <si>
    <t>พี่ปอน พี่สายพิณ พี่อาย</t>
  </si>
  <si>
    <t>พี่ปอน วิศวกรรมเครื่องกล เป็นคนที่คอยเอ็นเตอร์เทนกิจกรรมภายในภาคต่างๆ เป็นคนที่มีพลังสูงมาก ทำให่ผมมีพี่ปอนเป็นไอดอลเลยครับ</t>
  </si>
  <si>
    <t>ตูน EE</t>
  </si>
  <si>
    <t>ฟิว EE</t>
  </si>
  <si>
    <t>มังกร EE</t>
  </si>
  <si>
    <t>เอฟ EE</t>
  </si>
  <si>
    <t>ตูน รู้จักตอนสอบวัดระดับพื้นฐาน</t>
  </si>
  <si>
    <t>พี่บีม EE พี่แฮม EE พี่ชานุ EE</t>
  </si>
  <si>
    <t>พี่มุก ทำกิจกรรมด้วยกันเลยได้รู้จักกัน</t>
  </si>
  <si>
    <t>โฟล์ค ยานยนต์</t>
  </si>
  <si>
    <t>มอนเต้ ยานยนต์</t>
  </si>
  <si>
    <t>เมศ ยานยนต์</t>
  </si>
  <si>
    <t>เพชร ยานยนต์</t>
  </si>
  <si>
    <t>ม่อน เครื่องด</t>
  </si>
  <si>
    <t>ม่อน จากฐาน นาฬิกา</t>
  </si>
  <si>
    <t>ถุงข้าวME  ขนุนPE สายพินME</t>
  </si>
  <si>
    <t>พี่ขนุน เจอจากการเล่นเกมฐาน นาฬิกา</t>
  </si>
  <si>
    <t>เจ้าหน้าที่บริการการศึกษา</t>
  </si>
  <si>
    <t>คิม ME</t>
  </si>
  <si>
    <t>พัตเตอร์ INC</t>
  </si>
  <si>
    <t>พอเพียง ME</t>
  </si>
  <si>
    <t>ปาร์ค ME</t>
  </si>
  <si>
    <t>คิม เพราะชวนทำความรู้จักผู้หญิง</t>
  </si>
  <si>
    <t>ตุ๋ย ปีเตอร์ คิว ME</t>
  </si>
  <si>
    <t>พี่พั้น กิจกรรมยิงเรือ</t>
  </si>
  <si>
    <t>แกง เครื่องกล</t>
  </si>
  <si>
    <t>วิน เครื่องกล</t>
  </si>
  <si>
    <t>วิลลี่ เครื่องกล</t>
  </si>
  <si>
    <t>ต้ะ เครื่องกล</t>
  </si>
  <si>
    <t>ต๊อด เครื่องกล</t>
  </si>
  <si>
    <t>แกง รู้จักจากการเดินเข้ามอ</t>
  </si>
  <si>
    <t>1อาย 2บอส 3ปอนด์</t>
  </si>
  <si>
    <t>พี่อาย จากการแนะนำตัว</t>
  </si>
  <si>
    <t>ไอซ์ EE</t>
  </si>
  <si>
    <t>ปุน EE</t>
  </si>
  <si>
    <t>ซัน EE</t>
  </si>
  <si>
    <t>สไปร์ EE</t>
  </si>
  <si>
    <t>ตูน  ซัน ปุน นั่งคุยแลกเปลี่ยนความรู้กัน</t>
  </si>
  <si>
    <t>พี่ชานุ ขุน ภูเขา</t>
  </si>
  <si>
    <t>พี่ขุน  เล่นบาสด้วยกัน</t>
  </si>
  <si>
    <t>อิน ภาควัสดุ</t>
  </si>
  <si>
    <t>โชกุน ภาควัสดุ</t>
  </si>
  <si>
    <t>มาร์ค ภาควัสดุ</t>
  </si>
  <si>
    <t>หมิง ภาควัสดุ</t>
  </si>
  <si>
    <t>ฮาน ภาควัสดุ</t>
  </si>
  <si>
    <t>อิน เจอเพื่อนตอนทำกลุ่มกิจกรรม เป็นคนสนุกเฮฮา</t>
  </si>
  <si>
    <t>พี่โอเว่น ภาควัสดุ พี่ซือ ภาควัสดุ พี่พลอย ภาควัสดุ</t>
  </si>
  <si>
    <t>พี่ซือ เจอตอนกิจกรรม เป็นคนสนุก</t>
  </si>
  <si>
    <t>โม cpe</t>
  </si>
  <si>
    <t>น้ำอิง cpe</t>
  </si>
  <si>
    <t>โบนัส cpe</t>
  </si>
  <si>
    <t>เบน cpe</t>
  </si>
  <si>
    <t>บัว cpe</t>
  </si>
  <si>
    <t>น้ำอิง เจอตอนถ่ายรูป</t>
  </si>
  <si>
    <t>I dont know sorry naka</t>
  </si>
  <si>
    <t>Same as previous answer😭</t>
  </si>
  <si>
    <t>RO.25 Registration Form</t>
  </si>
  <si>
    <t>Student Union Building, Faculty of Engineering application</t>
  </si>
  <si>
    <t>Department of Microbiology Building</t>
  </si>
  <si>
    <t>Student Union of Faculty of Engineering, KMUTT</t>
  </si>
  <si>
    <t>Acare from Computer Engineering</t>
  </si>
  <si>
    <t xml:space="preserve">Khaopang from Chemical Engineering </t>
  </si>
  <si>
    <t xml:space="preserve">Dear from Chemical Engineering </t>
  </si>
  <si>
    <t xml:space="preserve">Pluem from Mechanical Engineering </t>
  </si>
  <si>
    <t xml:space="preserve">Atom from Mechanical Engineering </t>
  </si>
  <si>
    <t xml:space="preserve">Acare i met her at the orientation day we make friends and found that we were in the same department but different programs </t>
  </si>
  <si>
    <t xml:space="preserve">p'fluke he was kind </t>
  </si>
  <si>
    <t>p'fluke , p cream , p'nammon</t>
  </si>
  <si>
    <t>หยอง me</t>
  </si>
  <si>
    <t>ฟลุ๊ค me</t>
  </si>
  <si>
    <t>ปาร์ค me</t>
  </si>
  <si>
    <t>นาย me</t>
  </si>
  <si>
    <t>ตี๋ me</t>
  </si>
  <si>
    <t>หยอง จากกิจกรรมนาฬิกา</t>
  </si>
  <si>
    <t>พี่พั้น จากกิจกรรมยิงเรือ</t>
  </si>
  <si>
    <t>อิง ภาคเครื่องกล</t>
  </si>
  <si>
    <t>เต้ ภาคเครื่องกล</t>
  </si>
  <si>
    <t>โน้ต ภาคเครื่องกล</t>
  </si>
  <si>
    <t xml:space="preserve">แม็ค ภาคเครื่องกล </t>
  </si>
  <si>
    <t>โยโย่ รู้จักเพราะไปถ่ายรูปด้วยกัน</t>
  </si>
  <si>
    <t xml:space="preserve">คิม การ์ตูน ปอน </t>
  </si>
  <si>
    <t>พี่การ์ตูน รู้จักเพราะว่าเรียกชื่อพี่เขาผิด</t>
  </si>
  <si>
    <t>แตม EE</t>
  </si>
  <si>
    <t>เจม EE</t>
  </si>
  <si>
    <t>โปรด ร้องซิกเซเว่น</t>
  </si>
  <si>
    <t>พี่บีม EE พี่หม่อน EE พี่ต้นหลิว EE</t>
  </si>
  <si>
    <t>พี่บีม พูดซิกเซเว่น</t>
  </si>
  <si>
    <t>แอล อุตสาหการ</t>
  </si>
  <si>
    <t>รี อุตสาหการ</t>
  </si>
  <si>
    <t>เตเต้ อุตสาหการ</t>
  </si>
  <si>
    <t>แพน อุตสาหการ</t>
  </si>
  <si>
    <t>พีท อุตสาหการ</t>
  </si>
  <si>
    <t>พนธ์ อุตสาหการ</t>
  </si>
  <si>
    <t>รี รู้จักเพราะนั่งข้างๆ</t>
  </si>
  <si>
    <t xml:space="preserve">พี่มุก พี่สปาย พี่บิงโก ภาคอุตสหการ </t>
  </si>
  <si>
    <t>พี่บิงโก เป็นพี่คุม</t>
  </si>
  <si>
    <t>เอฟ ไฟฟ้า</t>
  </si>
  <si>
    <t>มังกร ไฟฟ้า</t>
  </si>
  <si>
    <t>ดอล ไฟฟ้า</t>
  </si>
  <si>
    <t>ฟิว ไฟฟ้า</t>
  </si>
  <si>
    <t>เอฟ รู้จักตอน beecamp</t>
  </si>
  <si>
    <t>พี่บีม ไฟฟ้า พี่เมฆ ไฟฟ้า พี่หมอก ไฟฟ้า</t>
  </si>
  <si>
    <t>พี่ไอซ์  รู้จักตอน beecamp</t>
  </si>
  <si>
    <t>แดเนียล ภาควิศวกรรมคอมพิวเตอร์</t>
  </si>
  <si>
    <t>ออย ภาควิศวกรรมคอมพิวเตอร์</t>
  </si>
  <si>
    <t>นินิว ภาควิศวกรรมคอมพิวเตอร์</t>
  </si>
  <si>
    <t>เพชร ภาควิศวกรรมเครื่องมือและวัสดุ</t>
  </si>
  <si>
    <t>ส้มเปรี้ยว ภาควิศวกรรมโยธา</t>
  </si>
  <si>
    <t>ส้มเปรี้ยว โยธา ทำกิจกรรมเก่ง</t>
  </si>
  <si>
    <t>พี่ข้าวฟ่าง พี่ครีม พี่บิว</t>
  </si>
  <si>
    <t>พี่ทาม ช่วยเหลือให้ข้อมูล</t>
  </si>
  <si>
    <t>กร EE</t>
  </si>
  <si>
    <t>ปั้น TME</t>
  </si>
  <si>
    <t>โมจิ ENE</t>
  </si>
  <si>
    <t>ต้า CHE</t>
  </si>
  <si>
    <t>แสตมป์ EE รู้จักจากกิจกรรม 12 นาฬิกา</t>
  </si>
  <si>
    <t>กี้ไฟฟ้า ไอซ์ไฟฟ้า มุกไฟฟ้า</t>
  </si>
  <si>
    <t>ปอนด์ ME รู้จักจากกิจกรรม 12 นาฬิกา</t>
  </si>
  <si>
    <t>ข้าวฟ่าง EE</t>
  </si>
  <si>
    <t>ไอซ์ ไฟฟ้า</t>
  </si>
  <si>
    <t>ไนท์ ไฟฟ้า</t>
  </si>
  <si>
    <t>นะโม คอม</t>
  </si>
  <si>
    <t>พีท inc</t>
  </si>
  <si>
    <t xml:space="preserve">ไอซ์ 12 นาฬิกา </t>
  </si>
  <si>
    <t xml:space="preserve">ขนุน มีมี่ เอย </t>
  </si>
  <si>
    <t>ขนุน เป็นพิธีกร</t>
  </si>
  <si>
    <t>ซีซ่า อุตสาหการและเมคคาทรอนิกส์</t>
  </si>
  <si>
    <t>มีน อุตสาหการและเมคคาทรอนิกส์</t>
  </si>
  <si>
    <t>อัลฟ่า อุตสาหการและเมคคาทรอนิกส์</t>
  </si>
  <si>
    <t>นะ อุตสาหการและเมคคาทรอนิกส์</t>
  </si>
  <si>
    <t>ต้นข้าว อุตสาหการและเมคคาทรอนิกส์</t>
  </si>
  <si>
    <t>มีน รู้จักจากกิจกรรมฐานที่ 1 มีเป็นคนที่เรียกเสียงหัวเราะให้เพื่อนบ่อยมากๆ</t>
  </si>
  <si>
    <t>พี่ฮง พี่เฟย พี่ฟลุ๊ค ภาคอุตสาหการและเมคคาทรอนิกส์</t>
  </si>
  <si>
    <t>พี่ฮง รู้จักจากกิจกรรมปฐมนิเทศ</t>
  </si>
  <si>
    <t>คิว ME</t>
  </si>
  <si>
    <t xml:space="preserve">ภู ME </t>
  </si>
  <si>
    <t xml:space="preserve">คอปเตอร์ ME </t>
  </si>
  <si>
    <t xml:space="preserve">พูห์ ME </t>
  </si>
  <si>
    <t>ตอง ME</t>
  </si>
  <si>
    <t>ลีโอ ME</t>
  </si>
  <si>
    <t>คิว ME รู้สึกว่าเแนคนที่เงียบๆเเต่มีความสุขในการใช้ชีวิตมหาลัย</t>
  </si>
  <si>
    <t>พี่สายพิณ ME พี่ไตเติ้ล ME พี่โฟร์ ME</t>
  </si>
  <si>
    <t>พี่ถุงชา รู้สึกว่าพี่ตะโกนเสียงดังมากก</t>
  </si>
  <si>
    <t>คอส อาร์ม โบ๊ท ภูผา อันดา</t>
  </si>
  <si>
    <t>คอส Me</t>
  </si>
  <si>
    <t>อาร์ม Ce</t>
  </si>
  <si>
    <t>โบ๊ท Cpe</t>
  </si>
  <si>
    <t>ภูผา Pe</t>
  </si>
  <si>
    <t>อันดา Ee</t>
  </si>
  <si>
    <t>อาร์ม ทำกิจกรรม</t>
  </si>
  <si>
    <t>บอส me บอส me พี่ปีศาจหมู</t>
  </si>
  <si>
    <t>พี่บอส เเนะนำตีว</t>
  </si>
  <si>
    <t>เจอการการปฐมนิเทศ เพื่อนช่วยเล่นเกม</t>
  </si>
  <si>
    <t>พี่มะเหมี่ยว กับพี่เขียว พี่จ้ะจ๋า</t>
  </si>
  <si>
    <t>เจอการการปฐมนิเทศ ไปกินข้าว</t>
  </si>
  <si>
    <t>ภีม ภาคไฟฟ้าอิเล็ก</t>
  </si>
  <si>
    <t>แตม ภาคไฟฟ้า</t>
  </si>
  <si>
    <t>เกม ภาคเครื่องกล</t>
  </si>
  <si>
    <t>นัท ภาคยานยนต์</t>
  </si>
  <si>
    <t>สตาร์ ภาคแมคคาทรอนิก</t>
  </si>
  <si>
    <t>รู้จักแคมมจากกิจกรรมแปะกระดาษ</t>
  </si>
  <si>
    <t>พี่โชคดี พี่ฟิวภาคเครื่องมือวัสดุ พี่โอเว่นภาคเครื่องมือวัสดุ</t>
  </si>
  <si>
    <t>พี่โอเว่นเพราะพี่เค้ามาพูดแนะนำก่อนที่จะถ่ายภาพรวมภาค</t>
  </si>
  <si>
    <t xml:space="preserve">โบกี้ เบล </t>
  </si>
  <si>
    <t>โบกี้ inc</t>
  </si>
  <si>
    <t>เจอจากกิจกรรมนาฬิกา</t>
  </si>
  <si>
    <t>จำไม่ได้ สักคน เลยครับ</t>
  </si>
  <si>
    <t>มีมี่ จากไลน์ ตอบแชทเก่ง</t>
  </si>
  <si>
    <t>Career Insight Series</t>
  </si>
  <si>
    <t>โน้ต เครื่องกล</t>
  </si>
  <si>
    <t>นะ อุตเมคคา</t>
  </si>
  <si>
    <t>หมูหยอง อุตเมคคา</t>
  </si>
  <si>
    <t>เรนโบว์ ไฟฟ้า</t>
  </si>
  <si>
    <t>รู้จักจากกิจกรรมดึงกระดาษ เพื่อนนั่งอยู่และอยู่สีเดียวกันจึงเข้าไปลองทักเมคเฟรน</t>
  </si>
  <si>
    <t>พี่ฮง พี่เฟย พี่ฟลุ๊ก ภาคอุต</t>
  </si>
  <si>
    <t>พี่ฮง ประทับใจที่คุยกันสนุกและเฟรนลี่จากรุ่นพี่ภาคเดียวกัน</t>
  </si>
  <si>
    <t>Jung ICPE</t>
  </si>
  <si>
    <t>Nin ICPE</t>
  </si>
  <si>
    <t>Nut ICPE</t>
  </si>
  <si>
    <t>Pet ME</t>
  </si>
  <si>
    <t>Sheelsea ME</t>
  </si>
  <si>
    <t>Jung shared about favorite type of song</t>
  </si>
  <si>
    <t>Jaosub We shared about our interspective of the AI in nowadays</t>
  </si>
  <si>
    <t>Pun ICPE Jaosub CPE Tongtong CPE</t>
  </si>
  <si>
    <t>1.เวียร์ 2.มิล 3.ซิม 4.เฟม 5.ณะ</t>
  </si>
  <si>
    <t>มิล Ce</t>
  </si>
  <si>
    <t>ซิม MCE</t>
  </si>
  <si>
    <t>เฟม MCE</t>
  </si>
  <si>
    <t>ณะ MCE</t>
  </si>
  <si>
    <t>หมูหย๋อง MCE</t>
  </si>
  <si>
    <t>รู้จักจากกิจกรรมถ่ายรูปรวมคณะ</t>
  </si>
  <si>
    <t>พี่คิม ภาคอุต พี่นาย ไฟฟ้า พี่จีจี้ ภาคอุต</t>
  </si>
  <si>
    <t>จากกิจกรรมถ่ายรูปรวม</t>
  </si>
  <si>
    <t>1.1ลูกตาล TME 1.2ซีซี TME 1.3ผักบุ้ง TME 1.4มาย TME 1.5มิ้น TME</t>
  </si>
  <si>
    <t>ลูกตาล tme</t>
  </si>
  <si>
    <t>ซีซี tme</t>
  </si>
  <si>
    <t>ผักบุ้ง tme</t>
  </si>
  <si>
    <t>มาย tme</t>
  </si>
  <si>
    <t>อาร์ม cu</t>
  </si>
  <si>
    <t>ลูกตาล ทำความรู้จักกันตั้งแต่กิจกรรมค่ายติว</t>
  </si>
  <si>
    <t>อาร์ท tme เอม che รุต tme</t>
  </si>
  <si>
    <t>พี่อาร์ทเลี้ยงข้าว</t>
  </si>
  <si>
    <t>นานี่ ee</t>
  </si>
  <si>
    <t>มีมี่ ee</t>
  </si>
  <si>
    <t>มายด์ ee</t>
  </si>
  <si>
    <t>มิกซ์ ee</t>
  </si>
  <si>
    <t>เดียร์ ee</t>
  </si>
  <si>
    <t>มายด์ เจอกันตอนหลังจบค่าย คุยกันถูกคอเลยสนิทกันมาก</t>
  </si>
  <si>
    <t>พี่กุ้ยจื่อ พี่บีม พี่ไผ่หลิว</t>
  </si>
  <si>
    <t xml:space="preserve">พี่บีม รู้จักจากค่ายบีแคมป์ พี่เขาเทคแคร์รุ่นน้องดีมากประทับใจสุด ๆ </t>
  </si>
  <si>
    <t>เบญโกโก้EE</t>
  </si>
  <si>
    <t>มีมี่EE</t>
  </si>
  <si>
    <t>มิกซ์EE</t>
  </si>
  <si>
    <t xml:space="preserve">มายด์EE </t>
  </si>
  <si>
    <t>เพ้ด APE</t>
  </si>
  <si>
    <t>มิกซ์ทักมาพูดคุยและได้เจอกันตอนสอบทำให้ได้รู้จักเพื่อนคนอื่นๆตามมา</t>
  </si>
  <si>
    <t>พี่ไผ่หลิว พี่บีม</t>
  </si>
  <si>
    <t>พี่ๆแนะนำ พาไปห้องน้ำหรือไปไหนตลอด</t>
  </si>
  <si>
    <t>Poom CPE</t>
  </si>
  <si>
    <t>Jung CPE</t>
  </si>
  <si>
    <t>Mickey CPE</t>
  </si>
  <si>
    <t>Pleum CPE</t>
  </si>
  <si>
    <t>Poom and I ate breakfast together.</t>
  </si>
  <si>
    <t>Putter is the moderator of CPE Pre-Freshy.</t>
  </si>
  <si>
    <t>I don't know his name.</t>
  </si>
  <si>
    <t>Department boards</t>
  </si>
  <si>
    <t>Mobile phone</t>
  </si>
  <si>
    <t>วิด ไฟฟ้า</t>
  </si>
  <si>
    <t>นน ไฟฟ้า</t>
  </si>
  <si>
    <t>เรนโบ ไฟฟ้า</t>
  </si>
  <si>
    <t>วิชญ์ ไฟฟ้า</t>
  </si>
  <si>
    <t>วิชญ์ ไฟฟ้า รู้จักจากกิจกรรมปฐมนิเทศช่วงบ่าย</t>
  </si>
  <si>
    <t>บีม ไฟฟ้า มะเหมี่ยว</t>
  </si>
  <si>
    <t>บีมไฟฟ้า พาไปเข้าห้องน้ำ</t>
  </si>
  <si>
    <t>เป้ยเป้ย เคมี</t>
  </si>
  <si>
    <t>นานี่ ไฟฟ้า</t>
  </si>
  <si>
    <t>แป้งหอม ไฟฟ้า</t>
  </si>
  <si>
    <t>เบญ ไฟฟ้า</t>
  </si>
  <si>
    <t>สมาย เคมี</t>
  </si>
  <si>
    <t>แป้งหอม ค่าย bee camp</t>
  </si>
  <si>
    <t xml:space="preserve">พี่บีม พี่ไผ่หลิว ไฟฟ้า </t>
  </si>
  <si>
    <t>พี่พิกุล  ค่าย bee camp น่ารักมาก</t>
  </si>
  <si>
    <t xml:space="preserve">1.1. Kindness 1.2Friendly 1.3 comfortable 1.4 reliable 1.5 Friendly </t>
  </si>
  <si>
    <t>May ( CPE international program)</t>
  </si>
  <si>
    <t>Harsffale ( CPE international)</t>
  </si>
  <si>
    <t>Cho Thwe (Civil international)</t>
  </si>
  <si>
    <t>Eain Oo ( Civil Engineering international)</t>
  </si>
  <si>
    <t>Zen ( CPE international)</t>
  </si>
  <si>
    <t>May Me ( meet at the photoshop spot)</t>
  </si>
  <si>
    <t xml:space="preserve">May Theingi ( met before the activity and she impressed me with her kindness </t>
  </si>
  <si>
    <t>May Theingi ( CPE international)</t>
  </si>
  <si>
    <t>kmutt.ac.th website</t>
  </si>
  <si>
    <t>จ๋า ene</t>
  </si>
  <si>
    <t>อิงฟ้า ene</t>
  </si>
  <si>
    <t>สาม ene</t>
  </si>
  <si>
    <t>ต้นข้าว ene</t>
  </si>
  <si>
    <t>แอม cpe</t>
  </si>
  <si>
    <t>พั้น ce</t>
  </si>
  <si>
    <t>จ๋า พูดคุยกับเรื่องกิจกรรม</t>
  </si>
  <si>
    <t>บีเฟิร์ส กาน ไอซ์ ene</t>
  </si>
  <si>
    <t>สาม ได้เล่นเกมด้วยกัน</t>
  </si>
  <si>
    <t>อัลมอนด์ เครืองกล</t>
  </si>
  <si>
    <t>น้ำอิงเครื่องกล</t>
  </si>
  <si>
    <t>เมฆเครื่องกล</t>
  </si>
  <si>
    <t>ต็อดอิเล้ก</t>
  </si>
  <si>
    <t>อาตี้ ค่อนสอนตอนเรียน handon</t>
  </si>
  <si>
    <t>ปิ่น เปา ปอน เครื่องกล</t>
  </si>
  <si>
    <t>น้ำผึ้ง ค่อยพาทำกิจกรรม</t>
  </si>
  <si>
    <t>ชมพู ภาคอุต</t>
  </si>
  <si>
    <t>ไนซ์ ภาคอุต</t>
  </si>
  <si>
    <t>น้ำอิงค์ ภาคคอม</t>
  </si>
  <si>
    <t>ผัก ภาควัสดุ</t>
  </si>
  <si>
    <t>จิ๊กซอว์ ภาคอุต</t>
  </si>
  <si>
    <t>ออม ภาคอุต</t>
  </si>
  <si>
    <t xml:space="preserve">จิ๊กซอว์ รู้จักจากปฐมนิเทศ </t>
  </si>
  <si>
    <t>จำไม่ได้แล้วค่า😞</t>
  </si>
  <si>
    <t>พี่แบม  รู้จักจากรอเข้าเเถวเดิน</t>
  </si>
  <si>
    <t xml:space="preserve">เซ้น TME </t>
  </si>
  <si>
    <t>ปาริ TME</t>
  </si>
  <si>
    <t>อิง TME</t>
  </si>
  <si>
    <t>จิน CE</t>
  </si>
  <si>
    <t>ครีม CHE</t>
  </si>
  <si>
    <t>เซ้น TME รู้จักจากกิจกรรมรับน้องวิศวะ เป็นคนน่ารัก คุยง่าย</t>
  </si>
  <si>
    <t>พี่เฟิร์ส tme พี่โอเว่น tme พี่อาร์ท tme</t>
  </si>
  <si>
    <t>พี่เฟิร์ส tme รับน้องวิศวะ เป็นพี่น่ารัก คุยเก่ง ให้คำปรึกษาดี</t>
  </si>
  <si>
    <t>พลอย PE</t>
  </si>
  <si>
    <t>บิ๊ก TEN</t>
  </si>
  <si>
    <t>ภูมิจัย PE</t>
  </si>
  <si>
    <t>ไนซ์ ENV</t>
  </si>
  <si>
    <t>นิว PE</t>
  </si>
  <si>
    <t>พน PE</t>
  </si>
  <si>
    <t>บิ๊ก นั่งรอทำกิจกรรมถัดไปแล้วเพื่อนถามสาขาคณะ ที่ประทับใจคือตอนพักเที่ยงเพื่อนชวนไปกินข้าวด้วย</t>
  </si>
  <si>
    <t>P.มุก PE / P.เจเจ PE / P.</t>
  </si>
  <si>
    <t>P.มุก กิจกรรม12นาฬิกา</t>
  </si>
  <si>
    <t>เปียโนINC</t>
  </si>
  <si>
    <t xml:space="preserve">  ตี๋ME    </t>
  </si>
  <si>
    <t>นิวCPE</t>
  </si>
  <si>
    <t>เนปจูนCPE</t>
  </si>
  <si>
    <t>นัทCPE</t>
  </si>
  <si>
    <t>เปีนโน รู้จักจากกิจกรรมปฐมนิเทศเมื่อวันที่24 เป็นเพื่อนที่ว่าจากน้อยเอ็ดและอยู่กอแถวพุทํบูชา</t>
  </si>
  <si>
    <t>พี่บิวcpe พี่ครีมcpe พี่ข้าวฟ่างcpe</t>
  </si>
  <si>
    <t>พี่ครีม เป็นพี่ที่รู้จักกิจกรรมcomcamp และนังเป็นรุ่นพี่ที่น่ารักมาก พี่ครีมเป็นพี่ที่่อยู่สาขาเดียวกัน และเป็นที่ปรึกษาที่ดีมากกก</t>
  </si>
  <si>
    <t>ซึม(เมคคา)</t>
  </si>
  <si>
    <t>เวีย(เมคคา)</t>
  </si>
  <si>
    <t>มีน(เมคคา)</t>
  </si>
  <si>
    <t>นะ(เมคคา)</t>
  </si>
  <si>
    <t>ข้าวสวย(เมคคา)</t>
  </si>
  <si>
    <t>มิ้น</t>
  </si>
  <si>
    <t>รู้จักกับอุ่นจากกิจกรรมปฐมนิเทศของคณะจากการเล่นกิจกรรมด้วยกัน</t>
  </si>
  <si>
    <t>พี่จีจี้(อุต) พี่นาย(ENE) พี่แอม(MCE)</t>
  </si>
  <si>
    <t>พี่แอมรู้จักจากค่ายTUE welcome เดินมาคุยเรื่องต่างๆแล้วพึ่งมารู้ที่หลังว่าก็อยู่สาขาเดียวกัน</t>
  </si>
  <si>
    <t>ขุนเดช PE</t>
  </si>
  <si>
    <t>แพนเค้ก INC</t>
  </si>
  <si>
    <t>อลิน INC</t>
  </si>
  <si>
    <t>แบงค์ PE</t>
  </si>
  <si>
    <t>นิว กิจกรรม12นาฬิกา</t>
  </si>
  <si>
    <t xml:space="preserve">P’เจเจ PE /P’มะเมี่ยว FIET </t>
  </si>
  <si>
    <t>พี่บิวกิจกรรม12นาฬิกา</t>
  </si>
  <si>
    <t>มายด์ ไฟฟ้า</t>
  </si>
  <si>
    <t>เฟริ์น ไฟฟ้า</t>
  </si>
  <si>
    <t>ต้อง คอมพิวเตอร์</t>
  </si>
  <si>
    <t>ต้อง ได้รู้จักฐานกิจกรรมลูกบอล</t>
  </si>
  <si>
    <t>อัลมอนด์ ไฟฟ้า โบนัสเคมี ไผ่หลิวไฟฟ้า</t>
  </si>
  <si>
    <t>อัลมอนด์ จากกิจกรรมดึงป้ายข้างหลัง</t>
  </si>
  <si>
    <t>ปรายเครื่องกล</t>
  </si>
  <si>
    <t>อาตี้เครื่องกล</t>
  </si>
  <si>
    <t>อัลม่อนเครื่องกล</t>
  </si>
  <si>
    <t>เฟียสเครื่องกล</t>
  </si>
  <si>
    <t>โฟลคเครื่องกล</t>
  </si>
  <si>
    <t>ปรานให้ดูน้องบอสเบบี้</t>
  </si>
  <si>
    <t>พี่แบดพี่โจนัสพี่ตูน</t>
  </si>
  <si>
    <t>พี่ตูนเพราะว่าพี่ตูนตลก</t>
  </si>
  <si>
    <t>ซิม ภาคอุตสาหกรรม</t>
  </si>
  <si>
    <t>มีน ภาคอุตสาหกรรม</t>
  </si>
  <si>
    <t>เฟรม ภาคอุตสาหกรรม</t>
  </si>
  <si>
    <t>นะ ภาคอุตสาหกรรม</t>
  </si>
  <si>
    <t>อัลฟ่า ภาคอุตสาหกรรม</t>
  </si>
  <si>
    <t>สตาร์ ภาคอุตสาหกรรม</t>
  </si>
  <si>
    <t>ซิม เจอตอนkmutt on tour เพราะไปเล่นด้วยกัน</t>
  </si>
  <si>
    <t>1.พี่คิ้ม ภาคอุตสาหกรรม  2พี่นาย ภาคไฟฟ้า 3</t>
  </si>
  <si>
    <t>พี่นาย รู้จักตอนแนะนำสโมสร พี่นายเป็นคนนายกสโมสร</t>
  </si>
  <si>
    <t>เปยเป้ย เคมี</t>
  </si>
  <si>
    <t>ข้าวตัง</t>
  </si>
  <si>
    <t>มีมี่ กิจกรรม12นาฬิกา</t>
  </si>
  <si>
    <t>พี่บีม พี่ไผ่หลิว พี่พั้นซ์</t>
  </si>
  <si>
    <t>พี่เอพิ้ว ทำกิจกรรมในฐาน</t>
  </si>
  <si>
    <t>ยีน -TME</t>
  </si>
  <si>
    <t>โชกุน-TME</t>
  </si>
  <si>
    <t>เชลซี-TME</t>
  </si>
  <si>
    <t>Mark-TME</t>
  </si>
  <si>
    <t>อิน-TME</t>
  </si>
  <si>
    <t>นิว-ENE</t>
  </si>
  <si>
    <t>อิน-รู้จักจากตอนสัมภาษณ์แล้วมาเจอกันในกิจกรรมอีกที</t>
  </si>
  <si>
    <t>พี่ปิ่น-เคมี พี่มะเหมี่ยว-ภาค….พี่โอเว้นTME</t>
  </si>
  <si>
    <t>พี่ซือจากTME-รู้จักจากการเล่นกิจกรรมสายรหัสและพบปะภาคเมื่อช่วงเช้า</t>
  </si>
  <si>
    <t>ปลื้ม อิเล็กทรอนิกส์</t>
  </si>
  <si>
    <t>ปลื้ม อุตสาหกรรม</t>
  </si>
  <si>
    <t>ปลื้ม ชื่อน่าจดจำดีและซ้ำกับคนอื่นเยอะ</t>
  </si>
  <si>
    <t>พี่ไอซ์ ไฟฟ้า ชานุ ไฟฟ้า โฟลก ไฟฟ้า</t>
  </si>
  <si>
    <t>ไอซ์ จำไม่ได้แล้วว่าทำกิจกรรมอะไร</t>
  </si>
  <si>
    <t>มิล ภาควิชาอุตสาหการ</t>
  </si>
  <si>
    <t>น้ำ ภาควิชาอุตสาหการ</t>
  </si>
  <si>
    <t>วา ภาควิชาอุตสาหการ</t>
  </si>
  <si>
    <t>ต้นกล้า ภาควิชาอุตสาหการ</t>
  </si>
  <si>
    <t>ข้าว ภาควิชาอุตสาหการ</t>
  </si>
  <si>
    <t>รู้จักจากการนั่งข้างๆกัน</t>
  </si>
  <si>
    <t>พี่คิ้ม ภาควิชาอุตสาหการ พี่จีจี้ ภาควิชาอุตสาหการ พี่นาย ภาควิชาวิศวกรรมไฟฟ้า</t>
  </si>
  <si>
    <t>พี่คิ้ม ภาควิชาอุตสาหการ เจอจากการเดินไปคุย5555</t>
  </si>
  <si>
    <t>ซี ME</t>
  </si>
  <si>
    <t>พลอย CE</t>
  </si>
  <si>
    <t>ลูกน้ำ CE</t>
  </si>
  <si>
    <t>เจเจ ME</t>
  </si>
  <si>
    <t>ตะวัน CPE</t>
  </si>
  <si>
    <t>จากกิจกรรม12นาฬิกา เจอเพื่อนหลายภาค</t>
  </si>
  <si>
    <t>พี่ไผ่หลิว EE พี่กรุงเทพEE พี่รันEE</t>
  </si>
  <si>
    <t>พี่บีม จากกิจกรรมถ่ายรูปตามภาค</t>
  </si>
  <si>
    <t>1.1ม่อนME 1.2 มิกกี้ME 1.3 บีมME 1.4นัทME 1.5 แซ็กME</t>
  </si>
  <si>
    <t>ม่อน ME</t>
  </si>
  <si>
    <t>บีมMe</t>
  </si>
  <si>
    <t>มิกกี้ME</t>
  </si>
  <si>
    <t>แซ็กME</t>
  </si>
  <si>
    <t>นัท ME</t>
  </si>
  <si>
    <t>เปียโนPE</t>
  </si>
  <si>
    <t>บีมME เดินท้าทายแล้วชวนไปกินข้าว</t>
  </si>
  <si>
    <t>พี่อาย ME พี่ปอน ME พี่ลีโอ ME</t>
  </si>
  <si>
    <t xml:space="preserve">พี่เติ้ล รู้จักจาก tue welcome </t>
  </si>
  <si>
    <t>บีม ene</t>
  </si>
  <si>
    <t>มอนด์ CE</t>
  </si>
  <si>
    <t>ปลายปี cpe</t>
  </si>
  <si>
    <t>บาส ape</t>
  </si>
  <si>
    <t>บาส อยู่หอใกล้กัน</t>
  </si>
  <si>
    <t>พี่ซิน พี่ซือ พี่โอเวน</t>
  </si>
  <si>
    <t>พี่ซิน หอใกล้กัน</t>
  </si>
  <si>
    <t>อรENV</t>
  </si>
  <si>
    <t>เนปจูนinc</t>
  </si>
  <si>
    <t>เบสinc</t>
  </si>
  <si>
    <t>พรีเมี่ยinc</t>
  </si>
  <si>
    <t>กันกรME</t>
  </si>
  <si>
    <t>กรเพื่อนจากเครื่องกลรู้จักโดยบังเอิญจสกกิจกรรมที่ดึงกระดาษจากหลัง</t>
  </si>
  <si>
    <t>มินา อาท วิน (inc)</t>
  </si>
  <si>
    <t>พี่อาท ได้คุยระหว่างลงบันไดไปถ่ายรูป</t>
  </si>
  <si>
    <t>ม่อน เครื่องกล</t>
  </si>
  <si>
    <t>กีวี่ เครื่องกล</t>
  </si>
  <si>
    <t>เจอจากค่ายติวเวลแล้วมาเจอกันอีกทีตอนปฐมนิเทศ</t>
  </si>
  <si>
    <t>ไวส์ เครื่องกล วา เครื่องกล โฟกัส เครื่องกล</t>
  </si>
  <si>
    <t>ไวส์ จากโรงเรียนเก่า ประทับใจที่เป็นคนพับกระดาษไดโนเสาร์</t>
  </si>
  <si>
    <t>Chemical Engineering</t>
  </si>
  <si>
    <t>Panda che</t>
  </si>
  <si>
    <t>Nammon che</t>
  </si>
  <si>
    <t>Sopia che</t>
  </si>
  <si>
    <t>Gorya che</t>
  </si>
  <si>
    <t>Smile che</t>
  </si>
  <si>
    <t>Weiwei che</t>
  </si>
  <si>
    <t>Panda she look alike to me</t>
  </si>
  <si>
    <t xml:space="preserve">Actually I don’t know any senior </t>
  </si>
  <si>
    <t>I don’t actually know</t>
  </si>
  <si>
    <t>National ID card</t>
  </si>
  <si>
    <t>เจ,ฟินดี้,ฟักแฟง,ไมค์ตี้,โยโย่</t>
  </si>
  <si>
    <t>เจ-cpe</t>
  </si>
  <si>
    <t>ฟินดี้-ME</t>
  </si>
  <si>
    <t>ฟักแฟง-APE</t>
  </si>
  <si>
    <t>ไมค์ตี้-APE</t>
  </si>
  <si>
    <t>โยโย่-ME</t>
  </si>
  <si>
    <t>เจ อยู่ภาคคอมเข้าไปทักละบ้านอยู่ภาคใต้เหมือนกัน</t>
  </si>
  <si>
    <t>พี่เว่น,พี่ซือ,บังซิน</t>
  </si>
  <si>
    <t>พี่ซิน ชอบเล่นกีต้าร์เหมือนกันและเป็นคนที่เคยแนะนำอะไรหลายๆอย่างก่อนเข้ามหาลัย</t>
  </si>
  <si>
    <t>กิ่งไผ่ pe</t>
  </si>
  <si>
    <t>แพท pe</t>
  </si>
  <si>
    <t>ณิชา pe</t>
  </si>
  <si>
    <t xml:space="preserve">เจน ee </t>
  </si>
  <si>
    <t>กิ่งไผ่แพท รู้จักจากรับน้อง เป็นคนตลก เฟรนลี่</t>
  </si>
  <si>
    <t xml:space="preserve">พี่ฟูจิ พี่เอพิล พี่บิลลี่ pe </t>
  </si>
  <si>
    <t>พี่ไข่ตุ๋น รู้จักจากค่ายติว น่ารัก ใจดี</t>
  </si>
  <si>
    <t>ดาต้า ENV</t>
  </si>
  <si>
    <t>ข้าวหอม ME</t>
  </si>
  <si>
    <t>อู๋ ME</t>
  </si>
  <si>
    <t>แพม Me</t>
  </si>
  <si>
    <t>ภู Me</t>
  </si>
  <si>
    <t>นิวส์ CPE</t>
  </si>
  <si>
    <t>ข้าวหอม เจอเพื่อนคนนี้ที่กิจกรรมแรกเลยแล้วเพื่อนคนนี้เป็นคนตลกเลยจำเพื่อนได้แล้วบังเอิญอยู่สาขาเดียวกัน</t>
  </si>
  <si>
    <t>อาย ME สายพิน ME ปอน ME</t>
  </si>
  <si>
    <t>ถุงข้าว เจอรุ่นพี่ตอนจะพาไปถ่ายรูปเพราะพี่เสียงดังมาก</t>
  </si>
  <si>
    <t>ตองแก้ว ภาควิศวกรรมไฟฟ้า</t>
  </si>
  <si>
    <t>ณิสา ภาควิศวกรรมไฟฟ้า</t>
  </si>
  <si>
    <t>เกมส์ ภาควิศวกรรมไฟฟ้า</t>
  </si>
  <si>
    <t>ทอง ภาควิศวกรรมไฟฟ้า</t>
  </si>
  <si>
    <t>ภูมิ ภาควิศวกรรมไฟฟ้า</t>
  </si>
  <si>
    <t>มาสัมภาษณ์และได้พูดคุยกัน</t>
  </si>
  <si>
    <t>พี่บีม พี่ไผ่หลิว พี่ปาล์ม</t>
  </si>
  <si>
    <t>พี่บีม เพราะพี่บีมเก็บกระเป๋าให้</t>
  </si>
  <si>
    <t>ใบเฟิร์น วิศวกรรมไฟฟ้า</t>
  </si>
  <si>
    <t>นิสา วิศวกรรมไฟฟ้า(ระบบ)</t>
  </si>
  <si>
    <t>เกมส์ วิศวกรรมไฟฟ้า</t>
  </si>
  <si>
    <t>ปัน วิศวกรรมสิ่งแวดล้อม</t>
  </si>
  <si>
    <t>ไพร์ส วิศวกรรมอุตสาหการ</t>
  </si>
  <si>
    <t>ใบเฟิร์น เจอกันทักกันน่ารักดีเย่</t>
  </si>
  <si>
    <t>พี่กันเอง พี่บีม พี่ไผ่หลิว</t>
  </si>
  <si>
    <t>พี่บีม พี่บีมเก็บกระเป๋าให้ค่ะ</t>
  </si>
  <si>
    <t>นัท AME</t>
  </si>
  <si>
    <t>Dream EE</t>
  </si>
  <si>
    <t xml:space="preserve">เนปจูน Inc </t>
  </si>
  <si>
    <t xml:space="preserve">โนอาร์ Inc </t>
  </si>
  <si>
    <t>ลลิน inc</t>
  </si>
  <si>
    <t>นัท รู้จักผ่านกิจกรรมฐานในวันที่ 25 เป็นเพื่อนต่างคณะคนแรก</t>
  </si>
  <si>
    <t xml:space="preserve">พี่มินา พี่อาร์ท พี่วิน Inc </t>
  </si>
  <si>
    <t>พี่มินา ตอนถ่ายรูป</t>
  </si>
  <si>
    <t>ถิง PE</t>
  </si>
  <si>
    <t>แพท PE</t>
  </si>
  <si>
    <t>ณิชา PE</t>
  </si>
  <si>
    <t>ได้รู้จักถิงและแพทจากกิจกรรมเข้าร่วมในภาควิชา</t>
  </si>
  <si>
    <t xml:space="preserve">1.พี่ฟูจิ PE 2.พี่April PE 3.พี่ไข่ตุ๋น </t>
  </si>
  <si>
    <t>รู้จักพี่ไข่ตุ๋นจากกิจกรรมเรือ ประทับใจเพราะสวยและเฟรนลี่มากๆ</t>
  </si>
  <si>
    <t>ออก้า เครื่องกล</t>
  </si>
  <si>
    <t>เกม เครื่องกล</t>
  </si>
  <si>
    <t>พอเพียง เครื่องกล</t>
  </si>
  <si>
    <t>เอิท เครื่องกล</t>
  </si>
  <si>
    <t>รู้จักพีช จากการได้นั่งข้างกันในกิจกรรมแนะนําตัวของเครื่องกล</t>
  </si>
  <si>
    <t>พี่ปอน พี่โจนัส พี่ตูน (เครื่องกลหมดเลย)</t>
  </si>
  <si>
    <t>รู้จักออก้า จากการได้นั่งข้างกันในกิจกรรมแนะนําตัวของเครื่องกล</t>
  </si>
  <si>
    <t>เพชร อุต</t>
  </si>
  <si>
    <t>ดิว เคมี</t>
  </si>
  <si>
    <t>บุญ อุต</t>
  </si>
  <si>
    <t>กร อุต</t>
  </si>
  <si>
    <t>นาย อุต</t>
  </si>
  <si>
    <t>เพชรต่อเเถวคุยกัน</t>
  </si>
  <si>
    <t>พี่กร พี่เฟรม พี่ปั้น ภาคอุต</t>
  </si>
  <si>
    <t>มะเมี่ยว พี่เขาเปนคนพุด</t>
  </si>
  <si>
    <t>ฟ้า ภาคอุต</t>
  </si>
  <si>
    <t>ริว ภาคคอม</t>
  </si>
  <si>
    <t>อ๋อมแอ๋ม เครื่องมือและวัสดุ</t>
  </si>
  <si>
    <t>ออมสิน เคมี</t>
  </si>
  <si>
    <t>โอปอ เครื่องมือและวัสดุ</t>
  </si>
  <si>
    <t>ฟ้า อยู่กลุ่มbloomด้วยกันพูดเก่งเอ้กโทรเวิ้ดคุยสนุก</t>
  </si>
  <si>
    <t>พี่เฟิร์ส MEN , พี่ฟิว TEN , พี่โอเว่น APE</t>
  </si>
  <si>
    <t>พี่เฟิร์ส รู้จักจากตอนมารอก่อนไปถ่ายรูป อยู่สาขาเดียวกัน พี่เค้าเล่าประสบการชวนคุยสนุก</t>
  </si>
  <si>
    <t>เปรม เครื่องมือและวัสดุ</t>
  </si>
  <si>
    <t>เซ้นส์ เครื่องมือและวัสดุ</t>
  </si>
  <si>
    <t>ปาริ เครื่องมือและวัสดุ</t>
  </si>
  <si>
    <t>ลูกพีช เครื่องมือและวัสดุ</t>
  </si>
  <si>
    <t>แอ๋ม จากกิจกรรมปฐมนิเทศ</t>
  </si>
  <si>
    <t>พี่โอเว่นTME พี่เฟิร์สTME พี่ฟิวTME</t>
  </si>
  <si>
    <t>พี่เฟิร์ส กิจกรรมรับน้อง เล่าประสบการณ์การเรียน</t>
  </si>
  <si>
    <t>กิ่งไผ่ PE</t>
  </si>
  <si>
    <t>ที PE</t>
  </si>
  <si>
    <t>ตี๋ ME</t>
  </si>
  <si>
    <t>ถิงและกิ่งไผ่ จากกิจกรรมปฐมนิเทศ เป็นคนที่คุยเก่ง พูดเก่ง เป็นกันเอง</t>
  </si>
  <si>
    <t xml:space="preserve">ไข่ตุ๋น คณะวิทย์ ถิง PE กิ่งไผ่ Pe </t>
  </si>
  <si>
    <t>พี่ต้นไม้ คุยสนุกมาก</t>
  </si>
  <si>
    <t>เฟียต เครื่องกล</t>
  </si>
  <si>
    <t xml:space="preserve">โย เครื่องกล </t>
  </si>
  <si>
    <t>โฟล์ค เครื่องกล</t>
  </si>
  <si>
    <t>กุน เครื่องกล</t>
  </si>
  <si>
    <t>พอใจ เครื่องกล</t>
  </si>
  <si>
    <t xml:space="preserve">โฟล์ต เพราะว่าเขาหล่อมาดทำให้ผมต้องทัก </t>
  </si>
  <si>
    <t>คิวเครื่องกล อาตเครื่องกล ลีโอเครืทองกล</t>
  </si>
  <si>
    <t>พี่คิวฟิวแฟน เขาเล่าประสบการณ์ตอนเรียนให้ฟังครับ</t>
  </si>
  <si>
    <t>มอส บิ๊ก ปั้น ภู มุ้ย</t>
  </si>
  <si>
    <t>บิ๊กTME</t>
  </si>
  <si>
    <t>ปั้นTME</t>
  </si>
  <si>
    <t>ภูTME</t>
  </si>
  <si>
    <t>มุ้ย TME</t>
  </si>
  <si>
    <t>ไรเฟิร์ล TME</t>
  </si>
  <si>
    <t>มอส ได้รู้จักจากตอนสัมภาษณ์แล้วก็ทำความรูจักกันมา</t>
  </si>
  <si>
    <t>พี่ฟิว พี่โอเว่น พี่เฟิร์ส TME</t>
  </si>
  <si>
    <t>พี่ตูน ME ได้รู้จากกิจกรรมวันแรกพี่เขาพาเล่นกิจกรรม</t>
  </si>
  <si>
    <t>ไทน์ วิดศวะกรรมไฟฟ้า</t>
  </si>
  <si>
    <t>เปิ้ล วิศวะกรรมไฟฟ้า</t>
  </si>
  <si>
    <t>เจฟ วิศวะกรรมเมคคาทรอนิกส์</t>
  </si>
  <si>
    <t>ม่อน วิศวะกรรมวัดคุม</t>
  </si>
  <si>
    <t>ไน้ วิศวะกรรมเมคคาทรอนิกส์</t>
  </si>
  <si>
    <t>จิ๊บ วิศวะกรรมวัดคุม</t>
  </si>
  <si>
    <t>มีมี่ วิศวะกรรมไฟฟ้า</t>
  </si>
  <si>
    <t>นั่งข้างกันเลยคุยกัน</t>
  </si>
  <si>
    <t>พี่บีม พี่ไผ่หลิว วิศวะกรรม</t>
  </si>
  <si>
    <t>ถามทางพี่เค้าเลยคุยเล่นด้วย</t>
  </si>
  <si>
    <t>ปุณ ภาคไฟ</t>
  </si>
  <si>
    <t>แตม ภาคไฟ</t>
  </si>
  <si>
    <t>ฟิล์ม ภาคไฟ</t>
  </si>
  <si>
    <t>น้ำ ภาคไฟ</t>
  </si>
  <si>
    <t>โอ๊ค ภาคไฟ</t>
  </si>
  <si>
    <t>แตม รู้จักจากการทักคุย ชวนกันไปออกกำลังกาย</t>
  </si>
  <si>
    <t>บีม ไผ่หลิว หยก</t>
  </si>
  <si>
    <t>บีม เล่นกิจกรรมตลก</t>
  </si>
  <si>
    <t>อิ่มเอิบ tme</t>
  </si>
  <si>
    <t>เอ็ม tme</t>
  </si>
  <si>
    <t>มอส tme</t>
  </si>
  <si>
    <t>ปลื้ม tme</t>
  </si>
  <si>
    <t>เอ็ม ตรวจสุขภาพ</t>
  </si>
  <si>
    <t>ฟิว โอเว่น เฟิร์ส</t>
  </si>
  <si>
    <t>ฟิว กิจกรรมปฐมนิเทศ คณะวิศวกรรมศาสตร์</t>
  </si>
  <si>
    <t>ธันวา คอม</t>
  </si>
  <si>
    <t>เปรม คอม</t>
  </si>
  <si>
    <t>เนโม คอม</t>
  </si>
  <si>
    <t>เอิร์ท คอม</t>
  </si>
  <si>
    <t>ได้รู้จักเปรมจากกิจกรรมถ่ายรูป</t>
  </si>
  <si>
    <t>พี่แชมป์ โยธา พี่ดิษ โยธา พี่หยอง แมคคา</t>
  </si>
  <si>
    <t>พี่แชมป์ จากตอนลงทะเบียน</t>
  </si>
  <si>
    <t>ว่าน เครื่องกล</t>
  </si>
  <si>
    <t>โยโย่ เครื่องกล</t>
  </si>
  <si>
    <t>ภูมิ ไฟฟ้า</t>
  </si>
  <si>
    <t xml:space="preserve">ทอง ไฟฟ้า ปฐมนิเทศเจอกันที่บ้าน design </t>
  </si>
  <si>
    <t>พี่อาย เครื่องกล พี่ปอนด์ เครื่องกล พี่หุงข้าว เครื่องกล</t>
  </si>
  <si>
    <t>พี่อาย กิจกรรมถ่ายรูปรวมของภาค</t>
  </si>
  <si>
    <t>ช้าง EE</t>
  </si>
  <si>
    <t>เฟย CPE</t>
  </si>
  <si>
    <t>สไปร์ท EE</t>
  </si>
  <si>
    <t>ชิน ENE</t>
  </si>
  <si>
    <t>เฟย กิจกรรมนาฬิกา</t>
  </si>
  <si>
    <t>พี่ขุน EE พี่บีม EE พี่เอเจ EE</t>
  </si>
  <si>
    <t>ตอนเดินเปลี่ยนฐานกิจกรรม</t>
  </si>
  <si>
    <t>โอม ภาควิชาเครื่องกล</t>
  </si>
  <si>
    <t>ตะวัน ภาควิชาเครื่องกล</t>
  </si>
  <si>
    <t>อาโป ภาควิชาเครื่องกล</t>
  </si>
  <si>
    <t>กาย ภาควิชาเครื่องกล</t>
  </si>
  <si>
    <t>อัญญ่า ภาควิชาอิเล็กทรอนิกส์เเละโทรคมนาคม</t>
  </si>
  <si>
    <t>อาโป เจอตอนเล่นกิจกรรมดึงกระดาษสีที่หลัง</t>
  </si>
  <si>
    <t>คิน ไอซ์ เฮง ENE</t>
  </si>
  <si>
    <t>โอม เจอตอนเล่นฐานโยนบอล</t>
  </si>
  <si>
    <t>Google cpe</t>
  </si>
  <si>
    <t>Fifa cpe</t>
  </si>
  <si>
    <t>Kiwi อุตสาหการ</t>
  </si>
  <si>
    <t>Tan cpe</t>
  </si>
  <si>
    <t>Jaokhun วัสดุ</t>
  </si>
  <si>
    <t>Google we shared a same experience together is so much fun!!</t>
  </si>
  <si>
    <t>Praew pe activities and her watch</t>
  </si>
  <si>
    <t>Nam cpe, Thana cpe and Praewa cpe</t>
  </si>
  <si>
    <t>ภูมิ cpe</t>
  </si>
  <si>
    <t>ปัณ cpe</t>
  </si>
  <si>
    <t>ดัง เครื่องกล</t>
  </si>
  <si>
    <t>เติ้ล โยธา</t>
  </si>
  <si>
    <t>ปอน วัสดุ</t>
  </si>
  <si>
    <t>รู้จัก ภูมิ cpe เพราะอยุ่คณะเดียวกัน, ได้รู้จักกันในกิจกรรม</t>
  </si>
  <si>
    <t>🥲🥲🥲🥲🥲🥲🥲🥲</t>
  </si>
  <si>
    <t>พี่นิท มาอธิบายเรื่องการเป็นนักศึกษาใหม่ ตึกไหนเป็นอะไร ควรทำอะไร ไม่ควรทำอะไร</t>
  </si>
  <si>
    <t>เปียโน PE</t>
  </si>
  <si>
    <t>มอส ISEE</t>
  </si>
  <si>
    <t>มังกร CE</t>
  </si>
  <si>
    <t>กิจกรรมปฐมนิเทศ</t>
  </si>
  <si>
    <t>พี่ฟิก PE พี่ขนุน CE พี่นาย ENE</t>
  </si>
  <si>
    <t>พี่ฟิค ปฐมนิเทศ</t>
  </si>
  <si>
    <t>Electronics and Telecommunication Engineering</t>
  </si>
  <si>
    <t>Kobkab eie</t>
  </si>
  <si>
    <t xml:space="preserve">bua eie </t>
  </si>
  <si>
    <t>yuta eie</t>
  </si>
  <si>
    <t>prae eie</t>
  </si>
  <si>
    <t>grace eie</t>
  </si>
  <si>
    <t>p cpe</t>
  </si>
  <si>
    <t>I meet them at ene first meet</t>
  </si>
  <si>
    <t>P my friend eieieieiei</t>
  </si>
  <si>
    <t>ผมรักทุกคนครับบบบ</t>
  </si>
  <si>
    <t>Student Service Center, 3rd Floor, Classroom Building 4</t>
  </si>
  <si>
    <t>Student Affair Office, 1st Floor, King Mongkut's 190th Anniversary Memorial Building</t>
  </si>
  <si>
    <t>Health Care Unit (HCU)</t>
  </si>
  <si>
    <t>พีท INC</t>
  </si>
  <si>
    <t>ไออุ่น ME</t>
  </si>
  <si>
    <t>นะโม INC</t>
  </si>
  <si>
    <t>เวฟ ISEE</t>
  </si>
  <si>
    <t>ฟิล์ม ISEE</t>
  </si>
  <si>
    <t>พีท รู้จักจากวันปฐมนิเทศ</t>
  </si>
  <si>
    <t>พีท inc อุ่นme แมคME</t>
  </si>
  <si>
    <t>พี่ตี๋ รู้จักจากที่พี่ขึ้นมาพูดบนเวที</t>
  </si>
  <si>
    <t>อิน (เครื่องมือและวัสดุ)</t>
  </si>
  <si>
    <t>เชลซี (เครื่องมือและวัสดุ)</t>
  </si>
  <si>
    <t>ชั่ง (เครื่องมือและวัสดุ)</t>
  </si>
  <si>
    <t>มิว(อัตโนมัติ)</t>
  </si>
  <si>
    <t>พอเพียง(อุตสาหกรรม)</t>
  </si>
  <si>
    <t>1.อิน ได้พูดคุยและทักทายกันมีความเข้ากันได้</t>
  </si>
  <si>
    <t>3.พอเพียง มีความประทับใจตั้งแต่แรก</t>
  </si>
  <si>
    <t>2.มิว มีความคิดคล้ายกันมีจุดประสงค์เหมือนกัน</t>
  </si>
  <si>
    <t>ซิว เครื่องกล</t>
  </si>
  <si>
    <t>เจม ยานยนต์</t>
  </si>
  <si>
    <t>ทิพย์ เครื่องกล</t>
  </si>
  <si>
    <t>แสตม เครื่องกล</t>
  </si>
  <si>
    <t>ซิว ได้รู้จักเพราะติดรอบ3เหมือนกัน</t>
  </si>
  <si>
    <t>1)โจนัท เครื่องกล 2)ปอน เครื่องกล 3)สายพิณ เครื่องกล</t>
  </si>
  <si>
    <t>พี่โจนัท ช่วยตอบคำถามที่สงสัย</t>
  </si>
  <si>
    <t>กาย pe</t>
  </si>
  <si>
    <t>ชาลีฟ mce</t>
  </si>
  <si>
    <t>กัน mce</t>
  </si>
  <si>
    <t>ต้นข้าว mce</t>
  </si>
  <si>
    <t>โรม mce</t>
  </si>
  <si>
    <t xml:space="preserve">ต้นข้าว กิจกรรมถ่ายรูป </t>
  </si>
  <si>
    <t>พี่เฟย pe พี่ม้าเหมี่ยว พี่บิว</t>
  </si>
  <si>
    <t>พี่บิว แนะนำเกี่ยวกับsmo</t>
  </si>
  <si>
    <t>1.ปรายMe 2.ปลื้มMe 3.อัลม่อนMe 4.อิงMe 5.โมเมMe</t>
  </si>
  <si>
    <t>ปราย เครื่องกล</t>
  </si>
  <si>
    <t>อัลม่อน เครื่อลกล</t>
  </si>
  <si>
    <t>ปลื้ม เดินมาทัก</t>
  </si>
  <si>
    <t>ปิ่นMe เปาMe ปอนMe</t>
  </si>
  <si>
    <t>ปิ่น รับน้อง เดินมาทัก</t>
  </si>
  <si>
    <t>กาก้า ภพ โฟค เฟียส แมนยู</t>
  </si>
  <si>
    <t>กาก้า ภาควิชาเครื่องกล</t>
  </si>
  <si>
    <t>ภพ ภาควิชาโยธา</t>
  </si>
  <si>
    <t>โฟค ภาควิชาเครื่องกล</t>
  </si>
  <si>
    <t>เฟียส ภาควิชาเครื่องกล</t>
  </si>
  <si>
    <t>แมนยู ภาควิชาเครื่องมือวัด</t>
  </si>
  <si>
    <t>เกด ภาควิชาเครื่องกล</t>
  </si>
  <si>
    <t>กาก้า จากกิจกรรม run man</t>
  </si>
  <si>
    <t>พี่เปา ภาควิชาเครื่องกล พี่ปอน ภาควิชาเครื่องกล พี่ต้นอ้อ ภาควิชาเครื่องกล</t>
  </si>
  <si>
    <t>พี่เปา จาก 12นาฬิกา</t>
  </si>
  <si>
    <t>ความประทับใจคือได้นู้จักเพื่อนมากขึ้นถึงแม้บางคนจะอยู่ต่างห้องแต่ก็ทำให้รู่ว่าเพื่อนๆนิสัยดีมากๆ</t>
  </si>
  <si>
    <t>ปกป้อง วิศวกรรมไฟฟ้า</t>
  </si>
  <si>
    <t>พีซ วิศวกรรมไฟฟ้า</t>
  </si>
  <si>
    <t>แบง วิศวกรรมไฟฟ้า</t>
  </si>
  <si>
    <t>ซอล วิศวกรรมไฟฟ้า</t>
  </si>
  <si>
    <t>ปุณ วิศวกรรมไฟฟ้า</t>
  </si>
  <si>
    <t>ซอล ได้รู้จักจากกิจกรรมสะพาน</t>
  </si>
  <si>
    <t>พี่ไผ่หลิว พี่เมษา พี่นนท์ จากวิศวกรรมไฟฟ้าทั้งหมด</t>
  </si>
  <si>
    <t xml:space="preserve">พี่ไอซ์ รู้จักจากกิจกรรม dodgeball </t>
  </si>
  <si>
    <t>เซฟ AME</t>
  </si>
  <si>
    <t>อิง ME</t>
  </si>
  <si>
    <t>โมเม AME</t>
  </si>
  <si>
    <t>เจ เพื่อนถูกเลือกออกมาแนะนำตัวสวัสดีเฟี้ยวๆ</t>
  </si>
  <si>
    <t>พี่เปา พี่ปอน พี่ตูน</t>
  </si>
  <si>
    <t>พี่เปา พี่เขาเสียงดังครับตะโกนสนุกดี</t>
  </si>
  <si>
    <t>โบวี่ ENE</t>
  </si>
  <si>
    <t>เตย ENE</t>
  </si>
  <si>
    <t>หนามเตย ENE</t>
  </si>
  <si>
    <t>ปิง TME</t>
  </si>
  <si>
    <t>แพรว ENE</t>
  </si>
  <si>
    <t>ปิง TME รู้จักกันตั้งแต่ค่าย ENE ตอนม6ครับ และหลังจากนั้นก็ทําความรู่จักกัน</t>
  </si>
  <si>
    <t>พี่ไอซ์ พี่มอส พี่เนย ENE</t>
  </si>
  <si>
    <t>พี่ไอซ์ ENE เป็นรุ่นที่เป็นศิษย์เก่าโนงเรียนเดียวกัน เขาช่วยผมตอนอยู่ First meet ene ทั้งการบ้าน การเูแลครับ</t>
  </si>
  <si>
    <t>นัท เว่น จ็อบ เม อิง</t>
  </si>
  <si>
    <t>เว่น เครื่องกล</t>
  </si>
  <si>
    <t>จ็อบ เครื่องมือวัด</t>
  </si>
  <si>
    <t>เม เครื่องกล</t>
  </si>
  <si>
    <t>จ็อบ ปฐมนิเทศ คุยเก่ง</t>
  </si>
  <si>
    <t>จำไม่ได้ จำไม่ด้ จำไม่ได้</t>
  </si>
  <si>
    <t>ไม่มี ไม่มี ไม่มี</t>
  </si>
  <si>
    <t>ข้าวปั้น Ame</t>
  </si>
  <si>
    <t>ใบตอง Ame</t>
  </si>
  <si>
    <t>ภู me</t>
  </si>
  <si>
    <t>ใบเตย Ame</t>
  </si>
  <si>
    <t>เกม Ame</t>
  </si>
  <si>
    <t>ฟินดี้ me</t>
  </si>
  <si>
    <t>เพื่อนน่ารัก นิสัยดี</t>
  </si>
  <si>
    <t>พี่อาย Me พี่แก้ม Ame พี่ตูน Ame</t>
  </si>
  <si>
    <t>จากกิจกรรมรับน้อง ใจดี</t>
  </si>
  <si>
    <t>มาร์ค หมิง เชลซี อิง โชกุน</t>
  </si>
  <si>
    <t>มาร์ค APE</t>
  </si>
  <si>
    <t>หมิง APE</t>
  </si>
  <si>
    <t>เชลซี APE</t>
  </si>
  <si>
    <t>อิง APE</t>
  </si>
  <si>
    <t>โชกุน APE</t>
  </si>
  <si>
    <t xml:space="preserve">เจอกันตอนเรียน hand on พากันไปกินข้าว </t>
  </si>
  <si>
    <t>พี่โอเว่น พี่ซือ พี่เฟิร์ส</t>
  </si>
  <si>
    <t xml:space="preserve">พี่โอเว่น กิจกรรมปฐมนิเทศ </t>
  </si>
  <si>
    <t>15 ชั่วโมง</t>
  </si>
  <si>
    <t>ภู ยานยนต์</t>
  </si>
  <si>
    <t>เอิ้ก เคมี</t>
  </si>
  <si>
    <t>ปลื้ม รู้จักจากตรวจสุขภาพ</t>
  </si>
  <si>
    <t>พี่โจนัส พี่ปอนด์ พี่อาย</t>
  </si>
  <si>
    <t>พี่โจนัส จากปฐมนิเทศ</t>
  </si>
  <si>
    <t>ฟาน TME</t>
  </si>
  <si>
    <t>เลอร์ TME</t>
  </si>
  <si>
    <t>ข้าวปั้น TME</t>
  </si>
  <si>
    <t>ข้าวปั้น ค่ายติวเวลคัม</t>
  </si>
  <si>
    <t>พี่โอเว่น TME พี่เฟิร์ส TME พี่เจม PE พี่ซือ TME พี่ซิน TME พี่เซน TME</t>
  </si>
  <si>
    <t>พี่เซน สอนคณิตศาสตร์ aleee</t>
  </si>
  <si>
    <t>ก้อง ภาควิชาวิศวกรรมยานยนต์</t>
  </si>
  <si>
    <t>เปา ภาควิชาวิศวกรรมยานยนต์</t>
  </si>
  <si>
    <t>โอม ภาควิชาวิศวกรรมยานยนต์</t>
  </si>
  <si>
    <t>เมธา ภาควิชาวิศวกรรมยานยนต์</t>
  </si>
  <si>
    <t>แชม ภาควิชาวิศวกรรมยานยนต์</t>
  </si>
  <si>
    <t>ก้อง กิจกรรมปฐมนิเทศ เป็นคนดี</t>
  </si>
  <si>
    <t>ไม่รู้ครับแบบบบบ</t>
  </si>
  <si>
    <t>ไม่รู้ครับบบบบบบ</t>
  </si>
  <si>
    <t>เตย วิศวกรรมสิ่งแวดล้อม</t>
  </si>
  <si>
    <t>การ์ตูน วิศวกรรมอุตสาหการ</t>
  </si>
  <si>
    <t>นิว วิศวกรรมอุตสาหการ</t>
  </si>
  <si>
    <t>ฟีฟ่า วิศวกรรมคอมพิวเตอร์</t>
  </si>
  <si>
    <t>แพท วิศวกรรมโยธา</t>
  </si>
  <si>
    <t>นิว รู้จักการกิจกรรมให้ไปรับเสื้อ</t>
  </si>
  <si>
    <t>ยังไม่รู้จักรุ่นพี่</t>
  </si>
  <si>
    <t>พี่แม็ก จากแฮนด์ออน</t>
  </si>
  <si>
    <t>ปลายปี ภาควิชาวิศวกรรมคอมพิวเตอร์</t>
  </si>
  <si>
    <t>ภูมิ ภาควิชาวิศวกรรมเคมี</t>
  </si>
  <si>
    <t>ธันย์ ภาควิชาวิศวกรรมคอมพิวเตอร์</t>
  </si>
  <si>
    <t>ภีม ภาควิชาวิศวกรรมคอมพิวเตอร์</t>
  </si>
  <si>
    <t>เพนเตอร์ ภาควิชาวิศวกรรมคอมพิวเตอร์</t>
  </si>
  <si>
    <t>โอสถ อิเล็ก</t>
  </si>
  <si>
    <t xml:space="preserve">ธันย์ เจอกันที่ค่ายpre-freshy ของวิศวะคอม เพื่อนเก่งมาก </t>
  </si>
  <si>
    <t>พี่มะเหมี่ยว ครุศาสตร์อุตสาหกรรม,พี่เกียร์ วิศวะคอมพิวเตอร์,พี่ปิ่น วิศวะเคมี</t>
  </si>
  <si>
    <t>พี่น้ำ จากวิศวะคอมอินเตอร์ พี่เขาเป็นคนมาต้อนรับพี่นิสัยดีมาก พูดเก่ง</t>
  </si>
  <si>
    <t xml:space="preserve">ลูกพีช แอ๋ม ขวัญข้าว อะตอม บิว ภาคเครื่องมือและวัสดุ </t>
  </si>
  <si>
    <t>แอ๋ม ภาคเครื่องมือและวัสดุ</t>
  </si>
  <si>
    <t>อ๋อมแอ๋ม รู้จักจากสัมภาษณ์เข้าศึกษา รอบ2</t>
  </si>
  <si>
    <t>พี่เฟิร์ส TME รู้จักจากกิจกรรมฐาน</t>
  </si>
  <si>
    <t>ภูมิ TME</t>
  </si>
  <si>
    <t>เล่อ TME</t>
  </si>
  <si>
    <t>เก็นจิ TME</t>
  </si>
  <si>
    <t>ภูมิ กินข้าวเช้าและกินข้าวไม่หมดสักทีกินไปพุดไป ทำให้สนิทกันมากๆ</t>
  </si>
  <si>
    <t>พี่เชน TME, พี่เจม PE , พี่ซือ TME , พี่ซิน TME , พี่โอเว่น TME,พี่เฟิร์ส TME</t>
  </si>
  <si>
    <t>พี่เชน TME รู้จักเพราะว่ารุ่นพี่ช่วยทำ Al-eee และให้คำปรึกษา</t>
  </si>
  <si>
    <t>ชิน ene</t>
  </si>
  <si>
    <t>กาน ene</t>
  </si>
  <si>
    <t>ปั้น ene</t>
  </si>
  <si>
    <t>ข้าว pe</t>
  </si>
  <si>
    <t xml:space="preserve">น็อตติ้ง </t>
  </si>
  <si>
    <t>น็อตติ้ง จากกิจกรรม12นาฬิกา</t>
  </si>
  <si>
    <t>พี่กานene พี่ไอซ์ene พี่โชคดีene</t>
  </si>
  <si>
    <t>พี่กาน ene จากกิจกรรมปฐมนิเทศของภาควิชา</t>
  </si>
  <si>
    <t>ภาควิชาวิศวกรรมสิ่งแวดล้อม (Environmental Engineering)</t>
  </si>
  <si>
    <t>น้อยหน่า CE</t>
  </si>
  <si>
    <t>เมย์ ENV</t>
  </si>
  <si>
    <t>เซ้นส์ TME</t>
  </si>
  <si>
    <t>มาร์ค ENV</t>
  </si>
  <si>
    <t>ได้รู้จักอะตอมผ่านฐาน running man แล้วได้เล่นด้วยกันอะตอมช่วยบังไม่ให้มีคนมาดึงกระดาษข้างหลัง</t>
  </si>
  <si>
    <t>1.พี่คีตา ENV 2.พี่สายพิณ ME 3.พี่ซือ ME</t>
  </si>
  <si>
    <t>พี่สแตมป์มาช่วยตอนฐานยิงเรือ เพราะ มีคนไม่พอแล้วพี่ก็ดูแลน้องๆ</t>
  </si>
  <si>
    <t>Mook cpe</t>
  </si>
  <si>
    <t>Disney env</t>
  </si>
  <si>
    <t>Fuji icpe</t>
  </si>
  <si>
    <t>Bell icpe</t>
  </si>
  <si>
    <t>Peem icpe</t>
  </si>
  <si>
    <t>Pun always with me</t>
  </si>
  <si>
    <t>Nam, teaching me</t>
  </si>
  <si>
    <t>Prai
Paai
Peter</t>
  </si>
  <si>
    <t>มิน สิ่งแวดล้อม</t>
  </si>
  <si>
    <t>เสือ สิ่งแวดล้อม</t>
  </si>
  <si>
    <t>เบสท สิ่งแวดล้อม</t>
  </si>
  <si>
    <t>ซิก สิ่งแวดล้อม</t>
  </si>
  <si>
    <t>เอมี สิ่งแวดล้อม</t>
  </si>
  <si>
    <t>ปฐมนิเทศ ถ่ายรูปรวม</t>
  </si>
  <si>
    <t>น้ำหวาน ตี๋ โฟล</t>
  </si>
  <si>
    <t xml:space="preserve">1.แม็ค ce </t>
  </si>
  <si>
    <t>นน ene</t>
  </si>
  <si>
    <t>จา pe</t>
  </si>
  <si>
    <t>เบส mce</t>
  </si>
  <si>
    <t>แดน ce</t>
  </si>
  <si>
    <t>แดน ce ได้รู้จักเพื่อนตอนวันปฐมนิเทศแล้วได้คุยกันทำให้สนิทกันครับ</t>
  </si>
  <si>
    <t>1.ฟูจิ MCE 2.มาร์ค PE  3.โบนัส PE</t>
  </si>
  <si>
    <t>พี่ฟูจิ MCE ได้รู้จักผ่านกิจกรรมแล้วได้คุยกับรุ่นพี่ครับ</t>
  </si>
  <si>
    <t>ริช MCE</t>
  </si>
  <si>
    <t>จา เจอกันตอนถ่ายรูป ชวนคุยสนุก</t>
  </si>
  <si>
    <t>พี่เจเจ PE ,พี่บิงโก PE ,พี่ไข่มุก PE</t>
  </si>
  <si>
    <t>พี่เจเจ เป็นพิธีกร อยู่ภาคเดียวกัน</t>
  </si>
  <si>
    <t>พอเพียง pe</t>
  </si>
  <si>
    <t>ออม pe</t>
  </si>
  <si>
    <t>ดัง pe</t>
  </si>
  <si>
    <t>มอส isee</t>
  </si>
  <si>
    <t>รู้จักจากปฐมนิเทศสาขา ได้อยู่กลุ่มเดียวกัน</t>
  </si>
  <si>
    <t>บิว mce ฟิก PE ขนุน CE</t>
  </si>
  <si>
    <t>รู้จักจากปฐมนิเทศคณะวิศวะ</t>
  </si>
  <si>
    <t>กีฟท์ CE</t>
  </si>
  <si>
    <t>สมายด์ Chem</t>
  </si>
  <si>
    <t>จักร ME</t>
  </si>
  <si>
    <t>ข้าว TEN</t>
  </si>
  <si>
    <t>ไทน์ ENV</t>
  </si>
  <si>
    <t>กิฟท์ เพื่อนเป็นคนเตือนให้ว่าต้องไปถ่ายรูปที่ไหน</t>
  </si>
  <si>
    <t>พี่เจ้ com , พี่ไอซ์ ENE , พี่บีเฟิ้ด ENE</t>
  </si>
  <si>
    <t>พี่ไอซ์ เป็นพี่จัดตำแหน่งตอนถ่ายรูป</t>
  </si>
  <si>
    <t>ภู ไฟฟ้า</t>
  </si>
  <si>
    <t>เจเปน ไฟฟ้า</t>
  </si>
  <si>
    <t>นาซิม ไฟฟ้า</t>
  </si>
  <si>
    <t>นาซิม จากเคยเหนหน้าในค่สวก่อนเลยทันกกัน</t>
  </si>
  <si>
    <t>โพี่โบนัส เคมี พี่บิว คอม พี่หลิว ไฟฟ้า</t>
  </si>
  <si>
    <t>พี่บิว จากในจอพุดดีมีราศี</t>
  </si>
  <si>
    <t>นิกกี้ me</t>
  </si>
  <si>
    <t>ปัน me</t>
  </si>
  <si>
    <t>กาย me</t>
  </si>
  <si>
    <t>เบอร์ดี้ me</t>
  </si>
  <si>
    <t>นิกกี้ จากการทำกิจกรรมของมหาลัย</t>
  </si>
  <si>
    <t>พี่โจนัต พี่ก้าน พี่สายพิณ</t>
  </si>
  <si>
    <t>พี่โจนัต จากการทำกิจกรรมเล่นฐาย</t>
  </si>
  <si>
    <t>แพท วิศวะอุตสาหการ</t>
  </si>
  <si>
    <t>กิ่งไผ่ วิศวะอุตสาหการ</t>
  </si>
  <si>
    <t>เคเค วิศวะคอมพิวเตอร์</t>
  </si>
  <si>
    <t>ปลาทู วิศวะสิ่งแวดล้อม</t>
  </si>
  <si>
    <t>เนโม วิศวะคอมพิวเตอร์</t>
  </si>
  <si>
    <t>แพท รู้จักตอนพักกินข้าวแล้วก็อยู่ด้วยกันมาตลอดช่วงบ่าย</t>
  </si>
  <si>
    <t>พี่น้าม คอม, พี่กันต์ คอม, พี่บิว คอม</t>
  </si>
  <si>
    <t>พี่น้าม เป็นคนนำไปพาถ่ายรูปรวมภาควิชา</t>
  </si>
  <si>
    <t>เฟรมTME</t>
  </si>
  <si>
    <t>ญี่ปุ่นTME</t>
  </si>
  <si>
    <t>ซีซีTME</t>
  </si>
  <si>
    <t>เจลเล่ ENV</t>
  </si>
  <si>
    <t>เจลเล่ รู้จักจากกิจกรรมปฐมนิเทศในช่วงบ่ายเพราะไม่รู้จักใครเลยทั้งคู่ก็เลยได้อยู่ด้วยกัน</t>
  </si>
  <si>
    <t>พี่เฟิ้ดTME พี่เปรมTME พี่โอเว่นTME</t>
  </si>
  <si>
    <t>พี่อาร์ตTME รู้จักเพราะเพื่อนรู้จักแล้วพี่อาร์ตก็เลี้ยงแม่น้องพั้นด้วยย</t>
  </si>
  <si>
    <t>นาย PE</t>
  </si>
  <si>
    <t>ซีน PE</t>
  </si>
  <si>
    <t>เอิร์ท PE</t>
  </si>
  <si>
    <t>เพรช PE</t>
  </si>
  <si>
    <t>นั่งขำ รั่ว หัวเราะ</t>
  </si>
  <si>
    <t>ตี๋ มะเมี่ยว บิว</t>
  </si>
  <si>
    <t xml:space="preserve">นั่งขำ หัวเราะ </t>
  </si>
  <si>
    <t>ธันวา ENE</t>
  </si>
  <si>
    <t>แนวENE</t>
  </si>
  <si>
    <t>โอสถENE</t>
  </si>
  <si>
    <t>นน ENE</t>
  </si>
  <si>
    <t>บอส ENE</t>
  </si>
  <si>
    <t>นน กิจกรรมฐานเพื่อนมาเมคเฟรน</t>
  </si>
  <si>
    <t>พี่บีเฟิส พี่ไอซ์ พี่เนย</t>
  </si>
  <si>
    <t>พี่บีเฟิส คุยเล่นตอนพัก</t>
  </si>
  <si>
    <t>เพื่อนผมจะทำธุรข้าวมันไก่หลังจบครับ</t>
  </si>
  <si>
    <t>ตี๋ มะเหมี่ยว บิว</t>
  </si>
  <si>
    <t>เพรช PE ปี3 พี่เขาสอน Hands on งานเชื่อม</t>
  </si>
  <si>
    <t>กร pe</t>
  </si>
  <si>
    <t>นาย pe</t>
  </si>
  <si>
    <t>โดม pe</t>
  </si>
  <si>
    <t>คิม pe</t>
  </si>
  <si>
    <t>เพชร pe</t>
  </si>
  <si>
    <t xml:space="preserve">ซีน </t>
  </si>
  <si>
    <t>กร pe กิจกรรมปฐมนิเทศ มันร้องเพลงโตกับเตอีกปีแล้วเราครับ</t>
  </si>
  <si>
    <t>พี่บิงโก pe พี่บิว CHE พี่มาร์ค PE</t>
  </si>
  <si>
    <t>นาย pe ตรวจสุขภาพ เหตุกาณ์สดุดบันได</t>
  </si>
  <si>
    <t>ซีน pe</t>
  </si>
  <si>
    <t>เพรช pe</t>
  </si>
  <si>
    <t>บุญ PE</t>
  </si>
  <si>
    <t>คิม เจอกันที่หอประชุม</t>
  </si>
  <si>
    <t>พี่นาย พี่ขนุน พี่ติน</t>
  </si>
  <si>
    <t>พี่ซีน เจอกันหอประชุม</t>
  </si>
  <si>
    <t>มาร์ค ยานยน</t>
  </si>
  <si>
    <t>วินเนอร์ ยานยน</t>
  </si>
  <si>
    <t>ข้าวปั้น ยานยน</t>
  </si>
  <si>
    <t>นาย ยานยน</t>
  </si>
  <si>
    <t>โต้ ยานยน</t>
  </si>
  <si>
    <t>มาร์ค รู้จักจากhand-on มันพาไปเรื่อย</t>
  </si>
  <si>
    <t>บอส หนึ่ง บาส เครื่องกล</t>
  </si>
  <si>
    <t>พี่บาส รับน้องสนุก</t>
  </si>
  <si>
    <t>ได้เลยครับ</t>
  </si>
  <si>
    <t>มินนี่(APE)</t>
  </si>
  <si>
    <t>เพชร(ยานยนต์)</t>
  </si>
  <si>
    <t>ปั้น(โยธาหวานเจี๊ยบ)</t>
  </si>
  <si>
    <t>ปริ้นซ์(INC)</t>
  </si>
  <si>
    <t>วอย(INC)</t>
  </si>
  <si>
    <t>มินนี่ ได้จากกิจกรรมเวลานี้ใจตรงกัน จากสาขาเครื่องกล</t>
  </si>
  <si>
    <t>1.พี่ไอนํ้า(ENE) 2.พี่กัน(ENE) 3.พี่ซันนี่(ENE)</t>
  </si>
  <si>
    <t>พี่ไอนํ้า เนื่องจากเป็นพี่รหัสเกือบหาไม่เจอเพราะงงคำใบ้หวานเจี๊ยบ</t>
  </si>
  <si>
    <t>ปลายปี วิศวกรรมคอมพิวเตอร์</t>
  </si>
  <si>
    <t>ธันย์ วิศวกรรมคอมพิวเตอร์</t>
  </si>
  <si>
    <t>เมย์ วิศวกรรมคอมพิวเตอร์</t>
  </si>
  <si>
    <t>เมเม วิศวกรรมคอมพิวเตอร์</t>
  </si>
  <si>
    <t>อิ๋งอิ๋ง วิศวกรรมคอมพิวเตอร์</t>
  </si>
  <si>
    <t>มุกหอม ออมสิน แพรว โอปอล์ ภีม ฟ้า วิศวกรรมคอมพิวเตอร์</t>
  </si>
  <si>
    <t>ประทับใจเพื่อนๆทุกคนที่ใส่ไปเลยเลือกไม่ถูก แต่ทุกคนน่ารักและใจดีมากๆ</t>
  </si>
  <si>
    <t>จำชื่อพี่ไม่ได้ซักคน แต่รุ่นพี่คอมพิวเตอร์น่ารักมากๆทุกคนเลย</t>
  </si>
  <si>
    <t>จำชื่อพี่ไม่ได้แต่พี่น่ารักมากก คอยพัดคอยดูแลน้องทุกคนเลย</t>
  </si>
  <si>
    <t>กร PE</t>
  </si>
  <si>
    <t>เพชร PE</t>
  </si>
  <si>
    <t>บูน PE</t>
  </si>
  <si>
    <t>คุยกันสนุกสนานไปเรื่อย</t>
  </si>
  <si>
    <t>พี่ติน พี่เฮง พี่ขนุน</t>
  </si>
  <si>
    <t>พี่กร เจอกันที่หอประชุมตัวประจำภาค</t>
  </si>
  <si>
    <t>คิม ภาคอุต</t>
  </si>
  <si>
    <t>มิว ภาคอุต</t>
  </si>
  <si>
    <t>บูน ภาคอุต</t>
  </si>
  <si>
    <t>ข้าว ภาคอุต</t>
  </si>
  <si>
    <t>เฟริ์ส ภาคอุต</t>
  </si>
  <si>
    <t>เพชร ภาคอุต</t>
  </si>
  <si>
    <t>บูน จากกิจกรรมนาฬิกาเพราะนั่งข้างๆกัน</t>
  </si>
  <si>
    <t>ติน ภาคอุต เฮง ภาคอุต ขนุน ภาคอุต</t>
  </si>
  <si>
    <t>พี่เฮง รู้จักจากกิจกรรมนาฬิกาที่พี่เขาชวนมาคุย</t>
  </si>
  <si>
    <t>ปลายปี แพรว ออมสิน โอปอล์ พรีม อิ๋งๆ ธันย์ ดา เมเม เมย์</t>
  </si>
  <si>
    <t>ปลายปี CPE</t>
  </si>
  <si>
    <t>แพรว CPE</t>
  </si>
  <si>
    <t>โอปอล์</t>
  </si>
  <si>
    <t>พรีม CPE</t>
  </si>
  <si>
    <t>อิ๋งๆ CPE</t>
  </si>
  <si>
    <t>ออมสิน ดาราใหญ่แห่งใต้หล้า ตัวตึง CPE เป็นคนดี เริ่ดๆ เก่งด้วย</t>
  </si>
  <si>
    <t>พี่น้ำ(CPE) พี่คีตา(ENV) พี่เกียร์(CPE)</t>
  </si>
  <si>
    <t>พี่น้ำ CPE ตั้งแต่ค่าย PRE FRESHY ของ CPE มาจนกิจกรรมปฐมนิเทศ เป็นรุ่นพี่ที่ดีเฟรนลี่มาก</t>
  </si>
  <si>
    <t>1.1ต้า 1.2ต้นข้าว 1.3ไกด์ 1.4น้ำเหนือ 1.5ภู</t>
  </si>
  <si>
    <t>ต้นข้าว เมคคาทอนิก</t>
  </si>
  <si>
    <t>เทคโนโลยีคอมพิวเตอร์</t>
  </si>
  <si>
    <t>ภู วิศกรรมเคมี(ราชบุรี)</t>
  </si>
  <si>
    <t>ต้า เพราะมาตากโรงเรียนเดียวกัน</t>
  </si>
  <si>
    <t>พี่ไอซ์ วิศวกรรมเคที พี่โอเว่น เมคคาทอนิก พี่มะเดี่ยว วิศวะกรรมเคมี</t>
  </si>
  <si>
    <t>ไอซ์ เป็นพิธีกร</t>
  </si>
  <si>
    <t>ปัน เครื่องกล</t>
  </si>
  <si>
    <t>ตาล AE</t>
  </si>
  <si>
    <t>พีชชี่ จากกิจกรรมนาฬิกา</t>
  </si>
  <si>
    <t>จูดี้ อิเล็กมั้ง เฟิร์สPE โจนัท ME</t>
  </si>
  <si>
    <t>จูดี้ เป็นพี่กลุ่มbulid</t>
  </si>
  <si>
    <t>พ</t>
  </si>
  <si>
    <t>พีม อิเล็ก</t>
  </si>
  <si>
    <t>บีม อิเล็ก</t>
  </si>
  <si>
    <t>ชิ การผลิต</t>
  </si>
  <si>
    <t>โฟรค การผลิต</t>
  </si>
  <si>
    <t xml:space="preserve">ชิ นาฬิกา        </t>
  </si>
  <si>
    <t xml:space="preserve">โชคดี ทิว มิว  </t>
  </si>
  <si>
    <t xml:space="preserve">บัง คุยกัน       </t>
  </si>
  <si>
    <t>1.1เบส1.2มิ้ว1.3โชคอนันต์1.4อลิน1.5เนย</t>
  </si>
  <si>
    <t>เบส ENE</t>
  </si>
  <si>
    <t>มิ้ว ENE</t>
  </si>
  <si>
    <t>โชคอนันต์ ENE</t>
  </si>
  <si>
    <t>เนย ENE</t>
  </si>
  <si>
    <t>อลิน ENE</t>
  </si>
  <si>
    <t>ปาย ได้ เจอกันฐานเวลา</t>
  </si>
  <si>
    <t>พี่แทค พี่มอส พี่ไอซ์</t>
  </si>
  <si>
    <t>พี่เบส จากกิจกรรม เวลา</t>
  </si>
  <si>
    <t>1.ปอนด์2.เเบทเเมน3.ตัง4.ตี๋ 5.โบว์วี่</t>
  </si>
  <si>
    <t>ปอนด์ ene</t>
  </si>
  <si>
    <t>เเบทเเมน eie</t>
  </si>
  <si>
    <t>ตัง ce</t>
  </si>
  <si>
    <t>ตี๋ met</t>
  </si>
  <si>
    <t>โบว์วี่ ene</t>
  </si>
  <si>
    <t>ลีโอ ee</t>
  </si>
  <si>
    <t>ตี๋ รู้จักจากกิจกรรมนาฬิกา</t>
  </si>
  <si>
    <t>พี่กานต์ พี่โบท พี่ไอซ์</t>
  </si>
  <si>
    <t>พี่กานต์เพราะได้เล่นเกมด้วยกัน</t>
  </si>
  <si>
    <t>เก้า ene</t>
  </si>
  <si>
    <t>เนียร์ ene</t>
  </si>
  <si>
    <t>พี ene</t>
  </si>
  <si>
    <t>เคน ene</t>
  </si>
  <si>
    <t>ดอน ene</t>
  </si>
  <si>
    <t>ที ene</t>
  </si>
  <si>
    <t>พี เดินไปเจอเพื่อน</t>
  </si>
  <si>
    <t>ภูมิ กานต์ เต้ene</t>
  </si>
  <si>
    <t>ภูมิ ให้ความรู้</t>
  </si>
  <si>
    <t xml:space="preserve">ฟิล์ม cpe </t>
  </si>
  <si>
    <t xml:space="preserve">Huffle cpe inter </t>
  </si>
  <si>
    <t>พิมพ์ ene</t>
  </si>
  <si>
    <t>ออมสิน cpe</t>
  </si>
  <si>
    <t xml:space="preserve">ไอซ์ ee </t>
  </si>
  <si>
    <t>Huffle รู้จักได้เพราะนั่งข้างๆตอนปฐมนิเทศแล้ว ก็ได้รู้ว่าเขาเป็นต่างชาติที่มาเรียนที่ไทย นับว่าเป็นเพื่อนต่างชาติคนแรกของผมเลยครับ</t>
  </si>
  <si>
    <t>พี่ไอซ์ cpe พี่พัตเตอร์ cpe พี่เกียร์ cpe</t>
  </si>
  <si>
    <t>พี่ไอซ์ เพราะพี่เขาปั่นมากตอนฐาน dodgeball ครับ</t>
  </si>
  <si>
    <t>อั้ม MCE</t>
  </si>
  <si>
    <t>ตริน MCE</t>
  </si>
  <si>
    <t>หมดแล้วลูกพรี่</t>
  </si>
  <si>
    <t>หมดจริงๆพรี่ชาย😭</t>
  </si>
  <si>
    <t>อั้ม เจอกันตอนเข้าแถวรอเข้ากิจกรรม</t>
  </si>
  <si>
    <t>วันนี้ผมยังไม่ได้คุยกับรุ่นพี่เลยคร้าบ</t>
  </si>
  <si>
    <t>จริงๆนะครับ😭🙏</t>
  </si>
  <si>
    <t>Mo CPE inter</t>
  </si>
  <si>
    <t>Jia CPE inter</t>
  </si>
  <si>
    <t>Bua CPE inter</t>
  </si>
  <si>
    <t>Bonus CPE</t>
  </si>
  <si>
    <t>Tata PE</t>
  </si>
  <si>
    <t>Mo eat lunch together</t>
  </si>
  <si>
    <t>The one with glasses ( can’t remember his name) he actually give us a good advice and leading us today.</t>
  </si>
  <si>
    <t>Poom ene
Korn cpe
J cpe</t>
  </si>
  <si>
    <t>1st Floor, Learning Exchange Building</t>
  </si>
  <si>
    <t>ฟลุ๊ค วิศวะเครื่องกล</t>
  </si>
  <si>
    <t>คิม เครื่องกล</t>
  </si>
  <si>
    <t>ภัทร โยธานานาชาติ</t>
  </si>
  <si>
    <t>นุฟ เครื่องมือและวัสดุ</t>
  </si>
  <si>
    <t>คริสต้า โยธานานาชาติ</t>
  </si>
  <si>
    <t>จากปฐมนิเทศคณะวิศวะ</t>
  </si>
  <si>
    <t>พี่ตั้ม เครื่องกล พี่โจนัท เครื่องกล พี่ตูน เครื่องกล</t>
  </si>
  <si>
    <t>พี่ตั้ม  เป็นคนให้คำปรึกษาตอนสัมภาษณ์</t>
  </si>
  <si>
    <t>โอม</t>
  </si>
  <si>
    <t>ยานยนต์</t>
  </si>
  <si>
    <t xml:space="preserve">ไฟฟ้า </t>
  </si>
  <si>
    <t>ระบบไฟฟ้า</t>
  </si>
  <si>
    <t>เครื่องกล</t>
  </si>
  <si>
    <t>วิศวกรรมโยธา</t>
  </si>
  <si>
    <t>บีเดล รับน้อง ปฐมนิเทศ</t>
  </si>
  <si>
    <t>ข้าว ข้าว เครื่องกล</t>
  </si>
  <si>
    <t>ข้าว รับน้องสนุกดี</t>
  </si>
  <si>
    <t>มอส โยธา</t>
  </si>
  <si>
    <t>ภัฟ สิ่งเเวดล้อม</t>
  </si>
  <si>
    <t>จั๋ง cpe</t>
  </si>
  <si>
    <t>ปอนด์ eie</t>
  </si>
  <si>
    <t>จั๋ง จากวันปฐมนิเทศ</t>
  </si>
  <si>
    <t>ไม่ได้รู้จักรุ่นพี่</t>
  </si>
  <si>
    <t>ภู semi</t>
  </si>
  <si>
    <t>ตัง ene</t>
  </si>
  <si>
    <t>พรีม ene</t>
  </si>
  <si>
    <t>ตั้ม EE</t>
  </si>
  <si>
    <t>โม ME</t>
  </si>
  <si>
    <t>ตังรู้จักกันตอนทำกิจกรรมอยู่บ้านเดียวกัน</t>
  </si>
  <si>
    <t>พี่กาน พี่เบนซ์ พี่โบท</t>
  </si>
  <si>
    <t>พี่กานไปกินตี๋น้อยด้วยกัน</t>
  </si>
  <si>
    <t>จีน INC</t>
  </si>
  <si>
    <t>เรนโบว์ รู้จักกันเพราะอยู่กลุ่มเดียวกัน</t>
  </si>
  <si>
    <t>พี่บีม พี่กรุงเทพ พี่</t>
  </si>
  <si>
    <t>พี่กรุงเทพ รู้จักจากการถ่ายรูปรวมภาค</t>
  </si>
  <si>
    <t>แอ๊น ee</t>
  </si>
  <si>
    <t>มิ้นท์ tme</t>
  </si>
  <si>
    <t>เนย tme</t>
  </si>
  <si>
    <t>ภีม isee</t>
  </si>
  <si>
    <t>เปียโน pe</t>
  </si>
  <si>
    <t>ได้คุยกันเยอะขึ้นกับแอ๊นเพราะอยู่กลุ่ม build แล้วไปทำกิจกรรมร่วมกันทั้งวัน</t>
  </si>
  <si>
    <t>พี่ไผ่หลิว ee พี่ต้นหม่อน ee พี่กรุงเทพ ee</t>
  </si>
  <si>
    <t>พี่กรุงเทพ ๆๆๆ ชื่อพี่เค้าเจ๋งดี ตอนแรกสตั้น พี่เค้าช่วยคุมแถวและพาเดินไปตึกนั่งฟังปฐมนิเทส</t>
  </si>
  <si>
    <t xml:space="preserve"> ออม อาร์ม ฟลุ้ค อิ่มเอิบ วิน</t>
  </si>
  <si>
    <t>ออม เครื่องมือ</t>
  </si>
  <si>
    <t>อาร์ม เครื่องมือ</t>
  </si>
  <si>
    <t>ฟลุ้ค เครื่องมือ</t>
  </si>
  <si>
    <t>อิ่มเอิบ เครื่องมือ</t>
  </si>
  <si>
    <t>อาร์ม รู้จักมาจากรร.เดิม</t>
  </si>
  <si>
    <t xml:space="preserve">พี่ฟิว เครื่องมือ </t>
  </si>
  <si>
    <t>พี่ฟิว เพราะเป็นพี่ในสาขา</t>
  </si>
  <si>
    <t>1.1 ป้อง EE 1.2 Oak EE 1.3 Cabil สิ่งแวดล้อม 1.4 Taiwan CPE 1.5</t>
  </si>
  <si>
    <t>ป้อง EE</t>
  </si>
  <si>
    <t>Oak EE</t>
  </si>
  <si>
    <t>Cabil สิ่งแวดล้อม</t>
  </si>
  <si>
    <t>Taiwan CPE</t>
  </si>
  <si>
    <t>Frame อุตสหกรรม</t>
  </si>
  <si>
    <t xml:space="preserve">ป้อง รู้จักจากกิจกรรม dodge ball </t>
  </si>
  <si>
    <t>แฮม บีม ต้นหม่อน</t>
  </si>
  <si>
    <t>บีม จากกิจกรรม ดึงป้าย ้ปนคนนิสัยดี</t>
  </si>
  <si>
    <t>ฟ้าใส ENE</t>
  </si>
  <si>
    <t>Enjoy EIE</t>
  </si>
  <si>
    <t>จีโน่ ENE</t>
  </si>
  <si>
    <t>เป๊ก ENE</t>
  </si>
  <si>
    <t>เรน ENE</t>
  </si>
  <si>
    <t xml:space="preserve">เอนจอย EIE รู้จักจากกิจกรรมรับน้อง </t>
  </si>
  <si>
    <t>พี่วิน พี่ต้นน้ำ พี่ไอน้ำ ทั้ง 3 คนมาจาก ENE</t>
  </si>
  <si>
    <t>พี่หมู ENE เพราะเป็นพี่รหัส รู้จักจากกิจกรรม ENE first meet</t>
  </si>
  <si>
    <t>1.1 ฟักแฟง APE 1.2 เพ้ด APE 1.3 กล้า APE 1.4 ข้าวปุ้น APE 1.5 อิน APE</t>
  </si>
  <si>
    <t>ฟักแฟง APE</t>
  </si>
  <si>
    <t>กล้า APE</t>
  </si>
  <si>
    <t>ข้าวปุ้น APE</t>
  </si>
  <si>
    <t>อิน APE</t>
  </si>
  <si>
    <t>ตอนเข้าแถวก่อนเริ่มกิจกรรม</t>
  </si>
  <si>
    <t>พี่เชน TME พี่ซือ APE พี่โอเว่น APE</t>
  </si>
  <si>
    <t>พี่เชน ตอนขึ้นลิฟต์</t>
  </si>
  <si>
    <t>อาร์ม ce</t>
  </si>
  <si>
    <t>ปราย tme</t>
  </si>
  <si>
    <t>มิ้น tme</t>
  </si>
  <si>
    <t>ลุกตาล tme</t>
  </si>
  <si>
    <t>ปราย tme เรียน hands on ด้วยกัน</t>
  </si>
  <si>
    <t>พี่เฟิร์ส พี่เปรม พี่โอเว่น -Tme</t>
  </si>
  <si>
    <t>พี่เปรม tme รู้จักตอนรวมภาค คุนสนุก</t>
  </si>
  <si>
    <t>ออม ภาค เครื่องมือ</t>
  </si>
  <si>
    <t>ก้อง ภาค เครื่องมือ</t>
  </si>
  <si>
    <t>อิ่มเอบ ภาค เครื่องมือ</t>
  </si>
  <si>
    <t>ฟลุ๊ค ภาค เครื่องมือ</t>
  </si>
  <si>
    <t>วิน ภาค inc</t>
  </si>
  <si>
    <t>วิน รู้จักจากรับน้อง เห็นเพื่อนกำลังยืนอยู่เลยไปคุยด้วย</t>
  </si>
  <si>
    <t>พี่ปิ่น ภาคเคมี พี่ฟิว ภาค เครื่องมือ พี่ก้อง ภาค inc</t>
  </si>
  <si>
    <t>พี่ฟิว เป็นพี่ภาควิชา เป็นคนช่วยคำใบ้พี่รหัส</t>
  </si>
  <si>
    <t>แทน อิเล็ก</t>
  </si>
  <si>
    <t>เปรี้ยว โยธา</t>
  </si>
  <si>
    <t>pak pme</t>
  </si>
  <si>
    <t>น้ำ PE</t>
  </si>
  <si>
    <t>น้ำ จาก12นาฬิกา</t>
  </si>
  <si>
    <t>พี่บุ๊ค ไฟฟ้า พี่บีม ไฟฟ้า พี่ปลื้ม ไฟฟ้า</t>
  </si>
  <si>
    <t>พี่บุ๊ค พี่รหัสผมเอง</t>
  </si>
  <si>
    <t>Nest from Chemical Eng</t>
  </si>
  <si>
    <t>Tyler from CPE</t>
  </si>
  <si>
    <t>Zen from Cpe</t>
  </si>
  <si>
    <t>Yuri from Cpe</t>
  </si>
  <si>
    <t>Huffle from Cpe</t>
  </si>
  <si>
    <t>Tang from Cpe</t>
  </si>
  <si>
    <t>Nest from chemical Eng.</t>
  </si>
  <si>
    <t>Ice from Computer eng</t>
  </si>
  <si>
    <t>Kaka from Chemical eng</t>
  </si>
  <si>
    <t>แน็ค โยธาอินเตอร์</t>
  </si>
  <si>
    <t>เซเว่น ME</t>
  </si>
  <si>
    <t>แน็ค โยธา อินเตอร์ ได้เล่นกิจกรรมจากบ้าน DREAM และชนะในกิจกรรมนั้น</t>
  </si>
  <si>
    <t>พี่บีเฟิ้ด ENE พี่การ์ตูน ENV พี่ไอซ์ ENE</t>
  </si>
  <si>
    <t>พี่การ์ตูน รู้จักผ่านกิจกรรมฐานยิงเรือ</t>
  </si>
  <si>
    <t>แพม เครื่องกล</t>
  </si>
  <si>
    <t>ภู เครื่องกล</t>
  </si>
  <si>
    <t>เก่ง inc</t>
  </si>
  <si>
    <t>รู้จักแพมจากใน instagram ประทับใจตอนเล่นเกมด้วยกัน</t>
  </si>
  <si>
    <t>สายพิณ ปอนด์ โจนัท</t>
  </si>
  <si>
    <t>สายพิณ จากกิจกรรมรับน้องวิศวะ ประทับใจตอนที่พี่เค้าเป็นพิธีกร</t>
  </si>
  <si>
    <t>Aom, bank, pond, boat, mick</t>
  </si>
  <si>
    <t>Aom Chemical Engineering</t>
  </si>
  <si>
    <t>Bank Chemical Engineering</t>
  </si>
  <si>
    <t>Pond chemical engineering</t>
  </si>
  <si>
    <t>Boat Chemical Engineering</t>
  </si>
  <si>
    <t>Mick Civil Engineering</t>
  </si>
  <si>
    <t>Namo playing boat games together</t>
  </si>
  <si>
    <t>P Garfield She funny</t>
  </si>
  <si>
    <t>P Garfield Chemical Engineering</t>
  </si>
  <si>
    <t>KMUTT Mega Job Fair</t>
  </si>
  <si>
    <t>Engineering Building (Wissawa Wattana Building)</t>
  </si>
  <si>
    <t>The Student Union Building, Faculty of Engineering, KMUTT</t>
  </si>
  <si>
    <t>การ์ตูน PE</t>
  </si>
  <si>
    <t>กีวี่ PE</t>
  </si>
  <si>
    <t>การ์ตูน MCE</t>
  </si>
  <si>
    <t>ภีม PE</t>
  </si>
  <si>
    <t>เปรม PE</t>
  </si>
  <si>
    <t>การ์ตูน เจอกันผ่านเพื่อนอีกทีไปกินข้าวไปทำกิจกรรมด้วยกัน</t>
  </si>
  <si>
    <t>ยังไม่รุ้จักรุ่นพี่ค่ะ</t>
  </si>
  <si>
    <t>Naming cpe</t>
  </si>
  <si>
    <t>Saipan cpe</t>
  </si>
  <si>
    <t>Gam inc</t>
  </si>
  <si>
    <t>Jia cpe</t>
  </si>
  <si>
    <t>Earth cpe</t>
  </si>
  <si>
    <t>Naming first met at prefreshy camp</t>
  </si>
  <si>
    <t>P'Poon met she at 2nd activity.</t>
  </si>
  <si>
    <t>P'poon ene
Gorn cpe
J CPE</t>
  </si>
  <si>
    <t>ต้า ไฟฟ้า</t>
  </si>
  <si>
    <t>มิว กินข้าวโต๊ะเดียวกัน</t>
  </si>
  <si>
    <t>ปอนด์ เครื่องกล อาย เครื่องกล บอส เครื่องกล</t>
  </si>
  <si>
    <t>อาย กิจกรรม 12 นาฬิกา</t>
  </si>
  <si>
    <t>ตองอู AME</t>
  </si>
  <si>
    <t>เอิร์ท ME</t>
  </si>
  <si>
    <t>ปลื้ม ME</t>
  </si>
  <si>
    <t>ฟอร์ด รู้จักจากการสอบวัดระดับแล้ววันนั้นลืมนำดินสอไปแล้วได้ไปยืมฟอร์ด ซึ่งทำให้ได้คุยกันมาถึงทุกวันนี้</t>
  </si>
  <si>
    <t>พี่ปอนด์ ME พี่โจนัท ME พี่สายพิน ME</t>
  </si>
  <si>
    <t>พี่ปอนด์ จากการเข้าร่วมกิจกรรมคณะ ที่ให้คำแนะนำต่างๆและชวนคุยสนุก</t>
  </si>
  <si>
    <t>พีช วิศวกรรมไฟฟิา</t>
  </si>
  <si>
    <t>ไทน์ วิศวกรรมไฟฟ้า</t>
  </si>
  <si>
    <t>ไนท์ วิศวกรรมไฟฟ้า</t>
  </si>
  <si>
    <t>นัท วิศวกรรมโยธา</t>
  </si>
  <si>
    <t>วิน วิศวกรรมโยธา</t>
  </si>
  <si>
    <t>รู้จักไทน์จากกิจกรรมวันที่26ตอนพักได้นั่งเล่นเกมด้วยกัน</t>
  </si>
  <si>
    <t>พี่เพชร วิศวกรรมไฟฟ้า พี่ไนน์ วิศวกรรมไฟฟ้า พี่โชกุน วิศวกรรมไฟฟ้า</t>
  </si>
  <si>
    <t>พี่เพชรรู้จักผ่านค่ายบีแคมป์ได้คุยเรื่องฟุตบอลด้วยกัน</t>
  </si>
  <si>
    <t>นาย สิ่งแวดล้อม</t>
  </si>
  <si>
    <t>เบสท์ สิ่งแวดล้อม</t>
  </si>
  <si>
    <t>ปลื้ม สิ่งแวดล้อม</t>
  </si>
  <si>
    <t>ซิก อยู่ด้วยทั้งวันเพราะในกลุ่ม build มีแค่นี้คับ555</t>
  </si>
  <si>
    <t>พี่ตี๋สิ่งแวดล้อม , พี่เพชรสิ่งแวดล้อม , พี่แก้มป่องเคมี</t>
  </si>
  <si>
    <t>พี่เพชรสิ่งแวดล้อม : รู้จักจากฐานตระข่ายลูกบอล</t>
  </si>
  <si>
    <t>คอปเตอร์ วิศวะคอม</t>
  </si>
  <si>
    <t>ปรัช วิศวะอุตสาหการ</t>
  </si>
  <si>
    <t>กบ วิศวะโยธา</t>
  </si>
  <si>
    <t>ธารณ์ วิศวะคอม</t>
  </si>
  <si>
    <t>โดนัท วิศวะคอม</t>
  </si>
  <si>
    <t>กบ รู้จักจากกิจกรรมปฐมนิเทศ เขาเดินมาทักอย่างเป็นมิตร</t>
  </si>
  <si>
    <t>พี่สายพิณ(จำได้แค่นี้ครับ)</t>
  </si>
  <si>
    <t>พี่สายพิณ รู้จักจากฐานกิจกรรม 12 นาฬิกา พี่เขาพูดน่าฟังดีครับ</t>
  </si>
  <si>
    <t>ไอซ วิศวกรรมไฟฟ้า</t>
  </si>
  <si>
    <t>ปัด วิศวกรรมอุตสาหการ</t>
  </si>
  <si>
    <t>นิว วิศวกรรมไฟฟ้า</t>
  </si>
  <si>
    <t>เฟิร์ส วิศวกรรมไฟฟ้า</t>
  </si>
  <si>
    <t>แบงค์ วิศกรรมไฟฟ้า</t>
  </si>
  <si>
    <t>ไอซ จากสะพาน เก่ง</t>
  </si>
  <si>
    <t>พี่นาย พี่ออม พี่ใจร้าว</t>
  </si>
  <si>
    <t>พี่ใจร้าว เขาหน้าคล้ายใจร้าว</t>
  </si>
  <si>
    <t>ปรัช PE</t>
  </si>
  <si>
    <t>หมู PE</t>
  </si>
  <si>
    <t>น้ำมนต์ ได้เจอจากกิจกรรมถ่ายรูปรวมถาควิชา</t>
  </si>
  <si>
    <t>พี่ไอซ์ วิศวะคอม พี่ตี๋ วิศวะสิ่งแวดล้อม พี่มะเหมี่ยว ครุอุต</t>
  </si>
  <si>
    <t>พี่ไอซ์ วิศวะคอม จากกิจกรรมดอจบอล</t>
  </si>
  <si>
    <t>อิพีทinc</t>
  </si>
  <si>
    <t xml:space="preserve">เปิ้ลee </t>
  </si>
  <si>
    <t>ไน้ee</t>
  </si>
  <si>
    <t>พีทinc</t>
  </si>
  <si>
    <t xml:space="preserve">ไนซ์pe </t>
  </si>
  <si>
    <t>ไทน์ee</t>
  </si>
  <si>
    <t>วอฟinc</t>
  </si>
  <si>
    <t>สอบบบบบยยยยยบบบ</t>
  </si>
  <si>
    <t>พี่มีนาาาาาาาาาาาา พี่โอเว่น</t>
  </si>
  <si>
    <t>ปลอบบบบบบบบบบบบบบ</t>
  </si>
  <si>
    <t>ข้าวปัณ TME</t>
  </si>
  <si>
    <t>มอส รู้จักเพราะว่านั่งปฐมนิเทศอยู่แถวเดี๋ยวกันเลยได้รู้จักกัน</t>
  </si>
  <si>
    <t>พี่มังกร TME กุนซือ TME โอเว่น TME</t>
  </si>
  <si>
    <t>พี่มังกร TME ถามคำใบ้เรื่องพี่รหัส</t>
  </si>
  <si>
    <t>ฟลุ๊ค PE</t>
  </si>
  <si>
    <t>นํ้ามน PE</t>
  </si>
  <si>
    <t>ฟลุ๊ค PE ได้คุยกันก่อนกิจกรรมถ่ายรูปรวมภาค</t>
  </si>
  <si>
    <t>พี่หมีภู CPE พี่มะเหมี่ยว ครุอุตสาหการ พี่ตี๋ วิศวะสิ่งแวดล้อม</t>
  </si>
  <si>
    <t>ตี๋ ME รู้จักจาก กิจกรรม Hand on</t>
  </si>
  <si>
    <t>ชมพู่ ภาคโยธา</t>
  </si>
  <si>
    <t>วินเนอร์ ภาคเครื่องกล</t>
  </si>
  <si>
    <t>ชมพู่ จากกิจกรรมดอชบอล</t>
  </si>
  <si>
    <t>พี่เปา ภาคเครื่องกล พี่สายพิณ ภาคเครื่องกล พี่อาย ภาคเครื่องกล</t>
  </si>
  <si>
    <t>พี่คิม รู้จักตอนถ่ายรูปภาคค้าบ</t>
  </si>
  <si>
    <t>เซ้นส์ ene</t>
  </si>
  <si>
    <t>นิว me</t>
  </si>
  <si>
    <t>โอ๊ต เด็กวัด</t>
  </si>
  <si>
    <t>แต๋ว ลูกแม่ติ๋ม</t>
  </si>
  <si>
    <t>เซ้นต์ นั่งข้างๆกัน</t>
  </si>
  <si>
    <t>พี่เตย์ พี่ต่อ พี่โอม</t>
  </si>
  <si>
    <t>พี่บี สแกนเช็คชื่อ</t>
  </si>
  <si>
    <t>ธีร์ ภาค pe</t>
  </si>
  <si>
    <t>พั้นช์ ภาค ce</t>
  </si>
  <si>
    <t>ปลื้ม ภาค me</t>
  </si>
  <si>
    <t>ไอซ์ ภาค ene</t>
  </si>
  <si>
    <t>น้ำหวาน ภาค pe</t>
  </si>
  <si>
    <t>บีม ภาค ene</t>
  </si>
  <si>
    <t>ไอซ์ ภาค ene เพื่อนน่ารัก เจอกันแล้วอยู่ภาคเดียวกันด้วย เพื่่อนน่ารักม้ากกกก</t>
  </si>
  <si>
    <t>พี่ไอซ์ ene พี่คนอื่นจำไม่ได้แล้วค่ะ</t>
  </si>
  <si>
    <t xml:space="preserve">พี่เขาชื่อยาวเกินค่ะ หนูจำไม่ได้ แต่ว่าพี่เขาน่ารักมาก ๆ  </t>
  </si>
  <si>
    <t>เอิ้ก che</t>
  </si>
  <si>
    <t>เนส me</t>
  </si>
  <si>
    <t>เนย me</t>
  </si>
  <si>
    <t>ปรัช pe</t>
  </si>
  <si>
    <t>เอิ้ก เล่นฐานด้วยกัน</t>
  </si>
  <si>
    <t>พี่กรุงเทพ ee / พี่ไผ่หลิว ee / พี่บีม ee</t>
  </si>
  <si>
    <t>พี่ขวัญ พี่ค่าย bee</t>
  </si>
  <si>
    <t>Beam ENE/Cartoon MCE/New PE/Amp CE/Nest CHE</t>
  </si>
  <si>
    <t>Plu ENE</t>
  </si>
  <si>
    <t>Nano CE</t>
  </si>
  <si>
    <t>Prod EE</t>
  </si>
  <si>
    <t>Prai ME</t>
  </si>
  <si>
    <t>Fluke INC</t>
  </si>
  <si>
    <t>Plu/From ENE FIRST MEET department activity</t>
  </si>
  <si>
    <t>P’Befirst From ENE First Meet 20th department activity</t>
  </si>
  <si>
    <t>P’Kapook/P’Ryu/P’Tonkhaw</t>
  </si>
  <si>
    <t>วัด EE</t>
  </si>
  <si>
    <t>แมนยู EE</t>
  </si>
  <si>
    <t>อิค EE</t>
  </si>
  <si>
    <t>Baifern EE</t>
  </si>
  <si>
    <t>รู้จักกันตอนนั่งฟังปฐมนิเทศ</t>
  </si>
  <si>
    <t>พี่บีม พี่ชานุ พี่แอลมอน</t>
  </si>
  <si>
    <t>พี่ชานุ เป็นคนที่รู้สึกมีความเป็นผู้นำ คอยบอกอะไรต่างๆในกลุ่ม</t>
  </si>
  <si>
    <t>โชกุน ภาคเครื่องมือและวัสดุ</t>
  </si>
  <si>
    <t>เชลซี ภาคเครื่องมือและวัสดุ</t>
  </si>
  <si>
    <t>ชั่งชั่ง ภาคเครื่องมือและวัสดุ</t>
  </si>
  <si>
    <t>มาร์ค ภาคเครื่องมือและวัสดุ</t>
  </si>
  <si>
    <t>ไมตี้ ภาคเครื่องมือและวัสดุ</t>
  </si>
  <si>
    <t>เชลซีและโชกุน กิจกรรมปฐมนิเทศวิศวกรรม เพื่อนๆเป็นเพื่อนในสาขาเดียวกัน คุยกันถูกคอเลยสนิทกัน</t>
  </si>
  <si>
    <t>พี่ซือ ภาคเครื่องมือและวัสดุ พี่พลอย ภาคเครื่องมือและวัสดุ พี่โอเว่น ภาคเครื่องมือและวัสดุ</t>
  </si>
  <si>
    <t>พี่พลอย พี่ซือ พี่โอเว่น กิจกรรมปฐมนิเทศ พี่ๆเป็นพี่ๆในสาขาที่ใจดี น่ารัก เป็นมิตร คุยด้วยง่ายค่ะ</t>
  </si>
  <si>
    <t>ดา ภาคคอมพิวเตอร์</t>
  </si>
  <si>
    <t>แทน ภาคคอมพิวเตอร์</t>
  </si>
  <si>
    <t>ฟีฟ่า ภาคคอมพิวเตอร์</t>
  </si>
  <si>
    <t>จ้ะจ่า ภาคคอมพิวเตอร์</t>
  </si>
  <si>
    <t>ลูคัส ภาคคอมพิวเตอร์</t>
  </si>
  <si>
    <t>ฟีฟ่า จากกิจกรรม On tour เป็นคนที่เข้าถึงง่ายตลกและมีเรื่องให้พูดตลอดเวลา</t>
  </si>
  <si>
    <t xml:space="preserve">พี่น้ำ cpe พี่ซี cpe </t>
  </si>
  <si>
    <t>พี่เกียร์ กิจกรรม Pre freshly เป็นคนตลกแปลกๆ</t>
  </si>
  <si>
    <t>เอ็ม บิ๊ก หมามุ้ย มิ้นท์ ปั้น เบส ภู</t>
  </si>
  <si>
    <t>เอ็ม เครื่องมือวัสดุ</t>
  </si>
  <si>
    <t>บิ๊ก เครื่องมือวัสดุ</t>
  </si>
  <si>
    <t>หมามุ้ย เครื่องมือวัสดุ</t>
  </si>
  <si>
    <t>เบส เครื่องมือวัสดุ</t>
  </si>
  <si>
    <t>ปั้น เครื่องมือวัสดุ</t>
  </si>
  <si>
    <t>ภู เครื่องมือวัสดุ</t>
  </si>
  <si>
    <t>เอ็ม ได้รู้จีกวันสัมภาษณ์มานั่งข้างๆกัน</t>
  </si>
  <si>
    <t>พี่ฟิว เครื่องมือวัสดุ โอเว่น เครื่องมือวัสดุ เฟริส เครื่องมือวัสดุ</t>
  </si>
  <si>
    <t>พี่ฟิวเป็นรุ่นพี่มาให้คำแนะนำในกลุ่มไลน์</t>
  </si>
  <si>
    <t>เเม็ก me</t>
  </si>
  <si>
    <t>ติน cpe</t>
  </si>
  <si>
    <t>กัปตัน me</t>
  </si>
  <si>
    <t>ปลาม me</t>
  </si>
  <si>
    <t>เต้ me</t>
  </si>
  <si>
    <t>กัปตัน เพื่อนผมเองทักกันมาตั่งเเต่มาสอบ</t>
  </si>
  <si>
    <t>ปอน me เปา me บาส me</t>
  </si>
  <si>
    <t>พี่เปา เสียงเเสบหู</t>
  </si>
  <si>
    <t>1.1นาย 1.2คิม 1.3หยอง 1.4ต้น 1.5หยิก</t>
  </si>
  <si>
    <t>1.1นาย  วิศวกรรมเครื่องกล</t>
  </si>
  <si>
    <t>1.2คิม วิศวกรรมเครื่องกล</t>
  </si>
  <si>
    <t>1.3หยอง วิศวกรรมเครื่องกล</t>
  </si>
  <si>
    <t>1.4ต้น วิศวกรรมเครื่องกล</t>
  </si>
  <si>
    <t>1.5หยิก วิศวกรรมเครื่องกล</t>
  </si>
  <si>
    <t>นายเจอตอนเดินไปทำกิจกรรมด้วยกันก็คุยกันเราเหงาเธอเหงาเราสองคนเลยมาเจอกัน</t>
  </si>
  <si>
    <t>ปีเตอร์ วิศวกรรมเครื่องกล ทอมมี่ วิศวกรรมเครื่องกล อัสวิศวกรรมเครื่องกล</t>
  </si>
  <si>
    <t>ทอมมี่รู้สึกว่าเป็นพี่ที่น่าเคารพคนนึงมีความรับผิดชอบมาก</t>
  </si>
  <si>
    <t>ออม วิศวะสิ่งเเวดล้อม</t>
  </si>
  <si>
    <t>เจนนี่ วิศวะอิเล็กทรอนิกส์</t>
  </si>
  <si>
    <t>ต้า วิศวะอิเล็กทรอนิกส์</t>
  </si>
  <si>
    <t>เเม็ค วิศวะอิเล็กทรอนิกส์</t>
  </si>
  <si>
    <t>ออม วิศวะอิเล็กทรอนิกส์ อินเตอร์</t>
  </si>
  <si>
    <t>ต้า เป็นวันเเรกที่ปฐมนิเทศ</t>
  </si>
  <si>
    <t>ต้าต้า ออมสิน ฟิม วิศวะอิเล็กทรอนิกส์</t>
  </si>
  <si>
    <t>ออม ได้เจอปฐมนิเทศ</t>
  </si>
  <si>
    <t>น้ำ ene</t>
  </si>
  <si>
    <t>พีม ene</t>
  </si>
  <si>
    <t>จูเนียร์ ene</t>
  </si>
  <si>
    <t>นาย ene</t>
  </si>
  <si>
    <t>กาน เดินไปเจอเพื่อน</t>
  </si>
  <si>
    <t>พี่เบรฟ ene พี่นิว ene พี่วิน ene</t>
  </si>
  <si>
    <t>พี่เบรฟ เป็นพี่รหัส</t>
  </si>
  <si>
    <t>โจ</t>
  </si>
  <si>
    <t>โจ ไฟฟ้า</t>
  </si>
  <si>
    <t>เฟริส ไฟฟ้า</t>
  </si>
  <si>
    <t xml:space="preserve">  แตม ไฟฟ้า</t>
  </si>
  <si>
    <t>ออย ไฟฟ้า</t>
  </si>
  <si>
    <t>โจ รู้จักจากเพื่อนของเพื่อน ที่ไปกินข้าวด้วยกัน</t>
  </si>
  <si>
    <t xml:space="preserve">พี่บีม พี่แบงค์ พี่ปอน </t>
  </si>
  <si>
    <t>พี่บีม จากค่าย bee camp</t>
  </si>
  <si>
    <t>พลอย ไฟฟ้า</t>
  </si>
  <si>
    <t>ฟ้า อิเล็ก</t>
  </si>
  <si>
    <t>นาโน อิเล็ก</t>
  </si>
  <si>
    <t>จ๋า อิเล็ก</t>
  </si>
  <si>
    <t>พลอย ไฟฟ้า คุยกันตอนกินข้าวแล้วพบว่าชอบเล่นกีตาร์ร้องเพลงเหมือนกัน</t>
  </si>
  <si>
    <t>พี่บีม ไฟฟ้า, พี่แฮม ไฟฟ้า, พี่ไผ่หลิว ไฟฟ้า</t>
  </si>
  <si>
    <t>พี่ไผ่หลิว พาไปเข้าห้องน้ำในขณะที่กำลังดูคลิปตลกอยู่ ประทับใจที่หยุดดูแล้วเดินมาส่งหนูก่อน</t>
  </si>
  <si>
    <t>ขวัญข้าว วัสดุ</t>
  </si>
  <si>
    <t>เพลง อุตสาหการ</t>
  </si>
  <si>
    <t>ซีซาร์ อุตสาหการ</t>
  </si>
  <si>
    <t>ซิม อุตสาหการ</t>
  </si>
  <si>
    <t>มีน อุสาหการ</t>
  </si>
  <si>
    <t>เวียร์ อุสาหการ</t>
  </si>
  <si>
    <t>1. ขวัญข้าว ดูหอ เป็นคนใจดีชอบช่วยเหลือ</t>
  </si>
  <si>
    <t>1.พี่พี 2.พี่เบส 3.พี่คิ้ม</t>
  </si>
  <si>
    <t>1 พี่พี ทักไปถามว่ากิจกรรมแว่นทำไง หลังจากนั้นพี่ก็แนะนำมาโดยตลอด</t>
  </si>
  <si>
    <t>ติน ภาควิชาวิชาวิศวะคอมพิวเตอร์ (ธรรมดา)</t>
  </si>
  <si>
    <t>ติว ภาควิชาวิชาวิศวะคอมพิวเตอร์ (ธรรมดา)</t>
  </si>
  <si>
    <t>ตูน ภาควิชาวิชาวิศวะคอมพิวเตอร์ (อินเตอร์)</t>
  </si>
  <si>
    <t>วันเสาร์ วิศวกรรมโยธา</t>
  </si>
  <si>
    <t>มั้ง วิศวกรรมเครื่องกล</t>
  </si>
  <si>
    <t>จากกิจกรรมปฐมนิเทศวันที่25 อยู่กลุ่มเกมเดียวกัน</t>
  </si>
  <si>
    <t>พี่ข้าวฟ่าง HDS พี่โอม(หุ่นยนต์) พี่จีน (HDS)</t>
  </si>
  <si>
    <t>รู้จักจากเพื่อนของเพื่อน</t>
  </si>
  <si>
    <t>โอ๊ค ไฟฟ้า</t>
  </si>
  <si>
    <t>เกม ไฟฟ้า</t>
  </si>
  <si>
    <t>แม็กซ์ ไฟฟ้า</t>
  </si>
  <si>
    <t>แม็ก BEE CAMP เป็นคนชิวๆ</t>
  </si>
  <si>
    <t>โอ๊ค-ไฟฟ้า พ็อตเตอร์-ไฟฟ้า หมี-ไฟฟ้า</t>
  </si>
  <si>
    <t>โอ๊ค พี่รหัสที่ซื้อของให้</t>
  </si>
  <si>
    <t>ทาม TME</t>
  </si>
  <si>
    <t>เหนือTME</t>
  </si>
  <si>
    <t>อินTME</t>
  </si>
  <si>
    <t>ทาม รู้จักตอนสัมภาษณ์</t>
  </si>
  <si>
    <t>พี่ฟิวภาคTME พี่ฝ้ายจำภาคไม่ได้    พี่เจมจำภาคไม่ได้</t>
  </si>
  <si>
    <t>พี่ฟิวส่งข้อมูลในกลุ่นไลน์</t>
  </si>
  <si>
    <t>กิ้ม ENE</t>
  </si>
  <si>
    <t>ไนท์ ENE</t>
  </si>
  <si>
    <t>ปอ โยธา</t>
  </si>
  <si>
    <t>เต้ โยธา</t>
  </si>
  <si>
    <t>เฟิส ไฟฟ้า</t>
  </si>
  <si>
    <t>เฟิส เจอเมื่อเช้าเข้ามาทัก</t>
  </si>
  <si>
    <t>พี่โชคดี พี่มุก พี่ตาต้า</t>
  </si>
  <si>
    <t>พี่บีเฟิส สวยมากเลยจำได้</t>
  </si>
  <si>
    <t>รุ้ง inc</t>
  </si>
  <si>
    <t>อลิน inc</t>
  </si>
  <si>
    <t>ใบเตย me</t>
  </si>
  <si>
    <t>ธันวา inc</t>
  </si>
  <si>
    <t>แอม cpe นั่งข้างกัน เพราะหาเพื่อนไม่เจอตอนทำฐาน เลยได้คุยกัน คุยไปคุยมา อยู่หอเดียวกัน เลยมีtopicคุย พอเราเดินห่าง เพื่อนก็จะหันมาหาเราตลอด</t>
  </si>
  <si>
    <t>พี่มินา,พี่น้ำหวาน,พี่เป๊ก</t>
  </si>
  <si>
    <t>พี่มินา พาเดินมายังห้องกิจกรรม ดูแลน้องดีมากๆ</t>
  </si>
  <si>
    <t>เนยcpe</t>
  </si>
  <si>
    <t>ปิ่นcpe</t>
  </si>
  <si>
    <t>ชินcpe</t>
  </si>
  <si>
    <t>เนยรู้จักเพราะเพื่อนล้ม</t>
  </si>
  <si>
    <t>พี่ไทท์ พี่จีน พี่ข้าวฟ่าง</t>
  </si>
  <si>
    <t>พี่ข้าวฟ่างเดินมาพัดให้</t>
  </si>
  <si>
    <t xml:space="preserve">ดิว me </t>
  </si>
  <si>
    <t>เบอดี้ me</t>
  </si>
  <si>
    <t>พิชชี้ me</t>
  </si>
  <si>
    <t>น็อต me</t>
  </si>
  <si>
    <t xml:space="preserve">เบอดี้ กิจกรรมปฐมนิเทศ </t>
  </si>
  <si>
    <t>ก้าน เเก้ม สายพิณ</t>
  </si>
  <si>
    <t>โจนัท พี่คอยช่วยเหลือน้องๆ</t>
  </si>
  <si>
    <t>มาร์ช CPE</t>
  </si>
  <si>
    <t>ปราย CPE</t>
  </si>
  <si>
    <t>ซอ EE</t>
  </si>
  <si>
    <t>ต็อด ENE</t>
  </si>
  <si>
    <t>มาร์ช อยู่กลุ่มเดียวกันขณะทำกิจกรรมฐาน</t>
  </si>
  <si>
    <t>พี่บีม เป็นคนพาไปถ่ายรูป</t>
  </si>
  <si>
    <t>มายด์ TME</t>
  </si>
  <si>
    <t>มินต์ TME</t>
  </si>
  <si>
    <t>ลูกตาล TME</t>
  </si>
  <si>
    <t>ผักบุ้ง TME</t>
  </si>
  <si>
    <t>ญี่ปุ่น TME</t>
  </si>
  <si>
    <t>มินต์ เจอจาก hans on เพื่อนเฟรนลี่</t>
  </si>
  <si>
    <t>1.พี่เฟิร์ส 2.พี่เปรม 3.พี่โอเว่น</t>
  </si>
  <si>
    <t>พี่ไข่มุก รู้จักเพราะว่าไข่มุกแนะนำทุกอย่างในมอ</t>
  </si>
  <si>
    <t>สไปรท ไฟฟ้า</t>
  </si>
  <si>
    <t>เฟร์น</t>
  </si>
  <si>
    <t xml:space="preserve">กิจกรรมตอนเช้า </t>
  </si>
  <si>
    <t>กรุงเทพ ไฟฟ้า เ</t>
  </si>
  <si>
    <t>พีช ENE</t>
  </si>
  <si>
    <t>ลิ้ง ENE</t>
  </si>
  <si>
    <t>แพร ENE</t>
  </si>
  <si>
    <t>แตงโม ENE</t>
  </si>
  <si>
    <t>พีช รู้จักเพราะมาสายพร้อมกัน</t>
  </si>
  <si>
    <t>พี่เบนซ์ พี่บีเฟิ้ส พี่กัน</t>
  </si>
  <si>
    <t>พี่เบนซ์ ประทับใจเพราะพี่เขาใจดี ให้ยืมเสื้อช็อปมาถ่ายแอ็คลงสตอรี่</t>
  </si>
  <si>
    <t>บิว เครื่องกล</t>
  </si>
  <si>
    <t>มั้ง ทักทำความรู้จักกับเพื่อน</t>
  </si>
  <si>
    <t>โจนัท เครื่องกล ปอนด์ เครื่องกล กัส เครื่องกล</t>
  </si>
  <si>
    <t>โจนัท จากที่พี่ๆแนะนําตัว</t>
  </si>
  <si>
    <t xml:space="preserve">จัสติน cpe </t>
  </si>
  <si>
    <t>ปิ่น cpe</t>
  </si>
  <si>
    <t>เนย cpe</t>
  </si>
  <si>
    <t>ชิน cpe</t>
  </si>
  <si>
    <t>ปิ่น เนย จัสติน ทำกิจกรรมด้วยกันบ่อยๆ</t>
  </si>
  <si>
    <t>ฟางข้าว cpe เจ้าทรัพย์ cpe จีน cpe</t>
  </si>
  <si>
    <t>พี่ฟางข้าว ช่วยคุมแถวเดินของcpe</t>
  </si>
  <si>
    <t xml:space="preserve"> เเพร ENE</t>
  </si>
  <si>
    <t>อะตอม ENE</t>
  </si>
  <si>
    <t>เเตงโม ENE</t>
  </si>
  <si>
    <t>เนย เจอกันกิจกรรมในภาค เพื่อนคนเเรก</t>
  </si>
  <si>
    <t>พี่กระปุก พี่บีเฟิร์ส พี่เบส ENE</t>
  </si>
  <si>
    <t>พี่บีเฟิร์ส พี่รหัสค้าบ</t>
  </si>
  <si>
    <t>ออมสิน Pe</t>
  </si>
  <si>
    <t>ฝ้าย pe</t>
  </si>
  <si>
    <t>จิ๊กซอ pe</t>
  </si>
  <si>
    <t>ตาต้า pe</t>
  </si>
  <si>
    <t>ฝ้าย กิจกรรมฐาน เกมปาบอลทำให้รู้จักกัน</t>
  </si>
  <si>
    <t>เฟย pe,ฟลุ๊ค pe,ฮง mce</t>
  </si>
  <si>
    <t>เฟย ชวนพูดคุย ทำให้รู้สึกสบายใจ</t>
  </si>
  <si>
    <t>Bua, Computer Engineering</t>
  </si>
  <si>
    <t>Buam (Computer Engineering)</t>
  </si>
  <si>
    <t>Aung ( Electrical Engineering)</t>
  </si>
  <si>
    <t>-(Computer Engineering)</t>
  </si>
  <si>
    <t>Met them before the orientation and they helped me around</t>
  </si>
  <si>
    <t>met at the student union</t>
  </si>
  <si>
    <t>Wat, rejoice, joy</t>
  </si>
  <si>
    <t>1.1โปรด 1.2แตม 1.3ต้น 1.4เอิบ 1.5ฟลุ๊ค</t>
  </si>
  <si>
    <t>ชิค EE</t>
  </si>
  <si>
    <t>โปรด จากสัมภาษณ์</t>
  </si>
  <si>
    <t>พี่บีม พี่ปัน พี่ไผ่หลิว</t>
  </si>
  <si>
    <t>พี่บีม เล่นบอร์ดเกม</t>
  </si>
  <si>
    <t>Pond ENE</t>
  </si>
  <si>
    <t xml:space="preserve">เซ้นส์ ENE </t>
  </si>
  <si>
    <t>Mick ENE</t>
  </si>
  <si>
    <t>Pond, สอบถามเรื่อง line กลุ่มภาควิชา</t>
  </si>
  <si>
    <t>แพรว, ไอซ์, bank</t>
  </si>
  <si>
    <t>ไอซ์, คอยดูแลนักศึกษาในกิจกรรม</t>
  </si>
  <si>
    <t>บุ๊ค เครื่องกล</t>
  </si>
  <si>
    <t>ยู เครื่องกล</t>
  </si>
  <si>
    <t>อินดี้ ยานยนต์</t>
  </si>
  <si>
    <t>ตะวัน เครื่องกล</t>
  </si>
  <si>
    <t xml:space="preserve">เชอร์แมน </t>
  </si>
  <si>
    <t>ยู เจอกันตอนเตะบอล</t>
  </si>
  <si>
    <t>พี่ปอนด์ เครื่องกล / พี่อาย เครื่องกล / พี่บอส เครื่องกล</t>
  </si>
  <si>
    <t>พี่ปอนด์ แนะนำการเรียนpre class และห้องเรียนพิเศษ</t>
  </si>
  <si>
    <t>Noodee CPE</t>
  </si>
  <si>
    <t>Diesel CE</t>
  </si>
  <si>
    <t>Earth EE</t>
  </si>
  <si>
    <t>Pepper EE</t>
  </si>
  <si>
    <t>Que ME</t>
  </si>
  <si>
    <t>Diesel at Orientation Activity he's funny guy.</t>
  </si>
  <si>
    <t>P'Turbo at Pre-freshy, He's farming aura</t>
  </si>
  <si>
    <t>P'Gear CPE , P'Kanom CPE , P'Turbo CPE</t>
  </si>
  <si>
    <t>smovidva.ac.th website</t>
  </si>
  <si>
    <t>ฟินดี้ เครื่องกล</t>
  </si>
  <si>
    <t>เจนนี่ อิเล็กทรอนิกส์</t>
  </si>
  <si>
    <t>สตางค์ คอมพิวเตอร์</t>
  </si>
  <si>
    <t>ภพ โยธา</t>
  </si>
  <si>
    <t>ฟินดี้ เพื่อนอาศัยอยู่แถวนี้และคอยแนะนำหลายๆอย่างเพราะตัวเราเองมาจากต่างจังหวัด</t>
  </si>
  <si>
    <t>พี่โจนัส พี่สายพิน พี่ปอนด์ (เครื่องกล)</t>
  </si>
  <si>
    <t>พี่โจนัส พี่เขาตลกดี กวนๆ</t>
  </si>
  <si>
    <t>คุณ TME</t>
  </si>
  <si>
    <t>นน TME</t>
  </si>
  <si>
    <t>พูน TME</t>
  </si>
  <si>
    <t>ตูน TME</t>
  </si>
  <si>
    <t>เจียๆ TME</t>
  </si>
  <si>
    <t>ฐาน 12นาฬิกา ต้องไปคุยเเละทำกิจกรรมด้วยกัส</t>
  </si>
  <si>
    <t>เบส ฟิว โอเว้น ภาคTME</t>
  </si>
  <si>
    <t>ปฐมนิเทศ วันที่26 เพราะได้เจอพี่ในสาขา</t>
  </si>
  <si>
    <t>ติวเตอร์ EE</t>
  </si>
  <si>
    <t>จำชื่อไม่ได้แต่สนุกมากครับ</t>
  </si>
  <si>
    <t>จำชื่อพี่ไม่ได้แต่พี่ๆใจดีมากครับ</t>
  </si>
  <si>
    <t>จำชื่อพี่ไม่ได้แต่พี่ฮาดีสนุกมากครับ</t>
  </si>
  <si>
    <t>ปาล์ม เครื่องกล</t>
  </si>
  <si>
    <t>เเม็กซ์ ENE</t>
  </si>
  <si>
    <t>กุน ยานยนต์</t>
  </si>
  <si>
    <t>ปาล์ม รู้จักจากกิจกรรมปฐมนิเทศ เป็นคนที่เรียนเก่ง พึ่งพาได้</t>
  </si>
  <si>
    <t>พี่ปอนด์ เล่นกิจกรรม 12 นาฬิกา พี่โจนัท ตอนรวมไปถ่ายรูป พี่วา ตอนรวมไปถ่ายรูป</t>
  </si>
  <si>
    <t>พี่สายพิณ รู้จักเพราะทักไปขอตารางไซส์เสื้อ พี่เป็นคนชิวๆ</t>
  </si>
  <si>
    <t>ออม วิศวะเคมี</t>
  </si>
  <si>
    <t>ปก วิศวะเคมี</t>
  </si>
  <si>
    <t>ป้อง วิศวะเคมี</t>
  </si>
  <si>
    <t>โบ้ท วิศวะเคมี</t>
  </si>
  <si>
    <t>จุน วิศวะเครื่องกล</t>
  </si>
  <si>
    <t>กิจกรรมเล่นฐานด้วยกัน เพราะว่าได้อยุ่กลุ่มเดียวกัน</t>
  </si>
  <si>
    <t>พี่หยก พี่มิว พี่อุนจิ</t>
  </si>
  <si>
    <t>กิจกรรมที่เบ่นฐาน พี่ตลก สนุก ทำให้เกมรู้สึกน่าเล่น</t>
  </si>
  <si>
    <t>,</t>
  </si>
  <si>
    <t>ข้าวตัง เคมี</t>
  </si>
  <si>
    <t>โบ๊ทเคมี</t>
  </si>
  <si>
    <t>ฟลอยด์ เคมี</t>
  </si>
  <si>
    <t>ผักบุ้งเคมี</t>
  </si>
  <si>
    <t>ข้าวตัง รู้จักตอนมาสัมภาษณ์ เพื่อนทักเราเป็นคนแรก</t>
  </si>
  <si>
    <t>พี่หยก พี่อุนจิ พี่มิว</t>
  </si>
  <si>
    <t>พี่อุนจิรู้จักจากตอนปฐมนิเทศวันแรก เป็นพิธีกรที่มีความเป็นผู้นำ</t>
  </si>
  <si>
    <t>ภาควิชาวิศวกรรมโยธา (Civil Engineering)</t>
  </si>
  <si>
    <t>น๊อต ce</t>
  </si>
  <si>
    <t>เเพท ce</t>
  </si>
  <si>
    <t>นํ้าซี ce</t>
  </si>
  <si>
    <t xml:space="preserve"> ไดม่อน ce</t>
  </si>
  <si>
    <t>น๊อต เข้ามา make friend เเละคุยด้วยอย่างสนิทสนม</t>
  </si>
  <si>
    <t>พี่ตะวัน พี่ดิส พี่phatraphon</t>
  </si>
  <si>
    <t>พี่ดิส สอนในค่าย tue welcome</t>
  </si>
  <si>
    <t>ได้คับ</t>
  </si>
  <si>
    <t>หยก ภาควิชาวิศวกรรมวัสดุ</t>
  </si>
  <si>
    <t>ปอนด์  ภาควิชาวิศวกรรมวัสดุ</t>
  </si>
  <si>
    <t>ปลื้ม  ภาควิชาวิศวกรรมวัสดุ</t>
  </si>
  <si>
    <t>เจ้าคุณ  ภาควิชาวิศวกรรมวัสดุ</t>
  </si>
  <si>
    <t>เดฟ  ภาควิชาวิศวกรรมวัสดุ</t>
  </si>
  <si>
    <t>ปอนด์ จากกิจกรรม ปฐมนิเทศ</t>
  </si>
  <si>
    <t>พี่เฟิส พี่ฟิว พี่โอเว่น  ภาควิชาวิศวกรรมเครื่องเเละวัสดุ</t>
  </si>
  <si>
    <t>อาร์ต กิจกรรมปฐมนิเทศวิศวะ</t>
  </si>
  <si>
    <t>อาร์ท TME</t>
  </si>
  <si>
    <t>ทีม TME</t>
  </si>
  <si>
    <t>เชียร์ เคมี</t>
  </si>
  <si>
    <t>ส้มโอ TME</t>
  </si>
  <si>
    <t>ปฐมนิเทศ จากการเดินไปทำกิจกรรม</t>
  </si>
  <si>
    <t>มังกร TME กุนซือ TME โอเว่น TME</t>
  </si>
  <si>
    <t>มังกร TME ถามสายรหัส</t>
  </si>
  <si>
    <t>แพรวา โยธา</t>
  </si>
  <si>
    <t>ติน คอมพิวเตอร์อินเตอร์</t>
  </si>
  <si>
    <t>นัท คอมพิวเตอร์ปกติ</t>
  </si>
  <si>
    <t>แพท hds</t>
  </si>
  <si>
    <t>แพรวา รู้จักเพราะงานรับน้องอยู่กลุ่มเดียวกันเพื่อนน่ารักมาก</t>
  </si>
  <si>
    <t>พี่จีน ภาควิชาวิศวะกรรมคอมพิวเตอร์สาขาhds</t>
  </si>
  <si>
    <t>ข้าวหอมรู้จักเพราะเพื่อนเข้ามาทักแล้วบอกว่าเพื่อนในคณะจองเราเคยเป็นแฟนเก่าเลยได้ทำความรู้จักกัน</t>
  </si>
  <si>
    <t>มุกหอม ภาควิชาวิศวกรรมคอมพิวเตอร์</t>
  </si>
  <si>
    <t>อิ๋งอิ๋ง ภาควิชาวิศวกรรมคอมพิวเตอร์</t>
  </si>
  <si>
    <t>ฟ้า ภาควิชาวิศวกรรมคอมพิวเตอร์</t>
  </si>
  <si>
    <t>ออมสิน ภาควิชาวิศวกรรมคอมพิวเตอร์</t>
  </si>
  <si>
    <t>แพรว ภาควิชาวิศวกรรมคอมพิวเตอร์</t>
  </si>
  <si>
    <t>แพรวและเพื่อนทุกคน จากการกินข้าวพร้อมกันที่หอพักหญิง</t>
  </si>
  <si>
    <t>พี่น้ำ จากภาควิชาวิศวกรรมคอมพิวเตอร์ พี่เป็นคนต้อนรับในภาคเช้าที่เข้าร่วมกิจกรรม</t>
  </si>
  <si>
    <t xml:space="preserve">ปลื้ม </t>
  </si>
  <si>
    <t>ซันinc</t>
  </si>
  <si>
    <t>ปรื้มinc</t>
  </si>
  <si>
    <t>พีชinc</t>
  </si>
  <si>
    <t>เจไดinc</t>
  </si>
  <si>
    <t>ปอinc</t>
  </si>
  <si>
    <t>นารูโตะinc</t>
  </si>
  <si>
    <t>ปลื้มอยู่คุยเป็นเพื่อนเล่น</t>
  </si>
  <si>
    <t>ใบหยก พี่เอย  พี่ฮง พี่น้ำหวาน พี่อาร์ท</t>
  </si>
  <si>
    <t>พี่ฮงพูดมากในลิฟต์</t>
  </si>
  <si>
    <t>การ์ตูน mce</t>
  </si>
  <si>
    <t>แตม ee</t>
  </si>
  <si>
    <t>แม็ค inc</t>
  </si>
  <si>
    <t>แจ็ค inc</t>
  </si>
  <si>
    <t>เจได inc</t>
  </si>
  <si>
    <t>การเล่นกิจกรรมระหว่างฐาน</t>
  </si>
  <si>
    <t>นํ้าหวาน อาต  ใบหยก</t>
  </si>
  <si>
    <t>เป็นstafในห้องปฐมนิเทศ</t>
  </si>
  <si>
    <t>เหนือ APE</t>
  </si>
  <si>
    <t>ภู CE</t>
  </si>
  <si>
    <t>ไกด์ INC</t>
  </si>
  <si>
    <t>วี ME</t>
  </si>
  <si>
    <t>แพท CE</t>
  </si>
  <si>
    <t>เหนือ APE รู้จักตอนมาสัมภาษณ์ APE ด้วยกันจากนั้นก็ติดต่อกันตลอดมา จนมาปฐมนิเทศด้วยกัน</t>
  </si>
  <si>
    <t>พี่เต่าTME  พี่ไอซ์ CPE พี่โอเว่น TME</t>
  </si>
  <si>
    <t>พี่ไอซ์ รู้จักกันตอนเล่นฐานดอร์ชบอล</t>
  </si>
  <si>
    <t>นิว pe</t>
  </si>
  <si>
    <t>แพนเค้ก inc</t>
  </si>
  <si>
    <t>โอปอล์ inc</t>
  </si>
  <si>
    <t>ฟ้า รู้จักตอนเจอหน้ากันและช่วยเหลือกันระหว่างทำกิจกรรม</t>
  </si>
  <si>
    <t>พี่น้ำหวาน inc พี่มินา inc พี่เป๊ก inc</t>
  </si>
  <si>
    <t>พี่น้ำหวาน ดูแลดีและพามาห้องทำกิจกรรม</t>
  </si>
  <si>
    <t>ปาล์ม ภาคเครื่องกล</t>
  </si>
  <si>
    <t>คิว ภาคเครื่องกล</t>
  </si>
  <si>
    <t>นนท์ ภาคเครื่องกล</t>
  </si>
  <si>
    <t>น้ำมนต์ ภาคเคมี</t>
  </si>
  <si>
    <t>เก้า ภาคโยธา</t>
  </si>
  <si>
    <t>หมู ภาควัสดุ</t>
  </si>
  <si>
    <t>นนท์เจอที่ตึกเครื่องกล</t>
  </si>
  <si>
    <t>พี่แบด ภาคเครื่องกล, พี่บูส ภาคเครื่องกล, พี่บิงโก ภาคอุสาหการ</t>
  </si>
  <si>
    <t>ไม่มีชื่อรุ่นพี่ในรายชื่อ</t>
  </si>
  <si>
    <t>ริว วิศวะคอม</t>
  </si>
  <si>
    <t>พีซ วิศวะคอม</t>
  </si>
  <si>
    <t>เซฟ วิศวะคอม</t>
  </si>
  <si>
    <t>ปิ่น วิศวะคอม(health data science)</t>
  </si>
  <si>
    <t>มิว วิศวะคอม(health data science)</t>
  </si>
  <si>
    <t>ไอซ์ จัสติน [วิศวะคอม(health data science)] ปั้น วิศวะคอม(อินเตอร์)</t>
  </si>
  <si>
    <t>รุ้จักเพื่อนเซฟและเพื่อนพีซจาก นั่งรอลงทะเบียนตอนบ่ายโมง ได้ยินเพื่อนเซฟบอกเพื่อนพีซร้อนมีพัดลมมั้ย นี่เลยยื่นให้</t>
  </si>
  <si>
    <t>พี่เจเจ pe พี่บิว cpe พี่นาย ene</t>
  </si>
  <si>
    <t>พี่บิว จากถ่ายรุปรวมภาคและพุดหน้าเวที พี่เก่งมากเลยค่ะ</t>
  </si>
  <si>
    <t>ต๊อด ENE</t>
  </si>
  <si>
    <t>ขนมปัง จากค่ายรับน้อง</t>
  </si>
  <si>
    <t>พี่กานต์  พี่ไอซ์ พี่มอส</t>
  </si>
  <si>
    <t>พี่กานต์ ENE ตีเเบด</t>
  </si>
  <si>
    <t>นาย ภาควิศวกรรมเครื่องกล</t>
  </si>
  <si>
    <t>บุ๊ค ภาควิศวกรรมเครื่องกล</t>
  </si>
  <si>
    <t>เขต ภาควิศวกรรมเมคคาทรอนิกส์</t>
  </si>
  <si>
    <t>ใบบุญ ภาควิศวกรรมสิ่งแวดล้อม</t>
  </si>
  <si>
    <t>มาร์ค ภาควิศวกรรมยานยนต์</t>
  </si>
  <si>
    <t>เชอแมน ภาควิศวกรรมโยธา</t>
  </si>
  <si>
    <t>เชอแมน นัดเตะบอลด้วยกัน</t>
  </si>
  <si>
    <t>1.อาย 2.ปอนด์ 3.บอส</t>
  </si>
  <si>
    <t>พี่อาย จากกิจกรรมปฐมนิเทศ และ กิจกรรมในภาควิศวกรรมเครื่องกล</t>
  </si>
  <si>
    <t>นนท์ ce</t>
  </si>
  <si>
    <t>เจได inc รู้จักเพราะทำกิจกรรมร่วมกันตอนปฐมนิเทศคณะ</t>
  </si>
  <si>
    <t>1.หงส์ inc 2.น้ำหวาน inc 3.อาร์ท inc</t>
  </si>
  <si>
    <t>หงส์ inc เพราะรู้จักตอนปฐมนิเทศคณะน่ารักครับ</t>
  </si>
  <si>
    <t>เนสท์ ChE</t>
  </si>
  <si>
    <t>ครีม ChE</t>
  </si>
  <si>
    <t>ก้อบแก้บ ENE</t>
  </si>
  <si>
    <t>หนูดี CPE</t>
  </si>
  <si>
    <t>กบ CE เป็นคนตลกติ้งต้อง บ้าบอ ชอบทำให้ขำ</t>
  </si>
  <si>
    <t>ไออุ่น ตามฝัน โบนัส ChE</t>
  </si>
  <si>
    <t>รู้จักจากการเดินเจอ และพี่ๆแจกขนมให้</t>
  </si>
  <si>
    <t>นอต เครื่องกล</t>
  </si>
  <si>
    <t>เจ็ท ยานยนต์</t>
  </si>
  <si>
    <t>เบอร์ดี้ เครื่องกล</t>
  </si>
  <si>
    <t>รู้จักผ่านค่าย ME TUNE UP แล้ววก็ได้มาเข้าคณะเดียวกัน</t>
  </si>
  <si>
    <t>พี่โจนัท พี่ภูมิ พี่จูดี้</t>
  </si>
  <si>
    <t>จูดี้ INC พี่ดูแลลตลอดวันเลยครับบ</t>
  </si>
  <si>
    <t>นํ้าหวาน</t>
  </si>
  <si>
    <t>ภู ภาควิชาระบบควบคุมและเครื่องมือวัด</t>
  </si>
  <si>
    <t>มอส ภาควิชาระบบควบคุมและเครื่องมือวัด</t>
  </si>
  <si>
    <t>ตี้ ภาควิชาระบบควบคุมและเครื่องมือวัด</t>
  </si>
  <si>
    <t>ปูน ภาควิชาระบบควบคุมและเครื่องมือวัด</t>
  </si>
  <si>
    <t>ภูมิ ภาควิชาระบบควบคุมและเครื่องมือวัด</t>
  </si>
  <si>
    <t>นน ภาควิชาระบบควบคุมและเครื่องมือวัด</t>
  </si>
  <si>
    <t>มอส ถามเพื่อนว่าชื่ออะไรในการรอทำกิจกรรมถ่ายรูปรวม</t>
  </si>
  <si>
    <t>พี่ดิษ ภาคแมคคาทรอนิกส์ พี่โฟธ์ ภาคแมคคาทรอนิกส์ พี่นำหวาน ภาคระบบควบคุมและเครื่องมือวัด</t>
  </si>
  <si>
    <t xml:space="preserve">พี่ดิษ กิจกรรม on tour </t>
  </si>
  <si>
    <t>เปปเปอร์ ไฟฟ้า</t>
  </si>
  <si>
    <t>ไน้ ไฟฟ้า</t>
  </si>
  <si>
    <t>ไนซ์ อุต</t>
  </si>
  <si>
    <t>จิ๊บ วัดคุม</t>
  </si>
  <si>
    <t>เปิ้ล ไฟฟ้า</t>
  </si>
  <si>
    <t>เปปเปอร์ นั่งข้างแล้วคุยถูกคอ</t>
  </si>
  <si>
    <t xml:space="preserve">พี่บีม ไฟฟ้า พี่ไผ่หลิว ไฟฟ้า </t>
  </si>
  <si>
    <t>พี่บีม ไฟฟ้า หล่อ</t>
  </si>
  <si>
    <t>1เปา 2ต็อด 3ชมพู 4ปอน 5บีม</t>
  </si>
  <si>
    <t>เบา อิเล็ก</t>
  </si>
  <si>
    <t>ต็อด อิเล็ก</t>
  </si>
  <si>
    <t>ชมพู อิเล็ก</t>
  </si>
  <si>
    <t>ปอน อิเล็ก</t>
  </si>
  <si>
    <t>1ปอน ตอนถ่ายรูป</t>
  </si>
  <si>
    <t>1พี่ไอซ์ 2พี่เจม 3พี่นุ่น</t>
  </si>
  <si>
    <t>2เปา ตอนปฐมนิเทศ</t>
  </si>
  <si>
    <t>มีน สิ่งแวดล้อม</t>
  </si>
  <si>
    <t>Kevin MCE</t>
  </si>
  <si>
    <t>/////</t>
  </si>
  <si>
    <t>//////</t>
  </si>
  <si>
    <t>รู้สึกว่า chorus น่าประทับใจมาก</t>
  </si>
  <si>
    <t>////////////////</t>
  </si>
  <si>
    <t>/////////////////</t>
  </si>
  <si>
    <t>ข้าวปั้น</t>
  </si>
  <si>
    <t>กีวี่ เครื่อกล</t>
  </si>
  <si>
    <t>อาม ไฟฟ้า</t>
  </si>
  <si>
    <t>ม่อน รู้จักจากเพื่อนของเพื่อนต่างมหาลัย</t>
  </si>
  <si>
    <t>พี่อาย พี่ปอน พี่คิม</t>
  </si>
  <si>
    <t>พี่ปอน ดูความเป็นหัวหน้าจากกิจกรรมรับน้อง</t>
  </si>
  <si>
    <t>มิกกี้ ene</t>
  </si>
  <si>
    <t>กาตูน แมคคา</t>
  </si>
  <si>
    <t>แอม ce</t>
  </si>
  <si>
    <t>เฟย ce</t>
  </si>
  <si>
    <t>นาโน  ce</t>
  </si>
  <si>
    <t>มิกกี้ ene ผมเดินเข้าไปทักเอง</t>
  </si>
  <si>
    <t>พี่เชน ene พี่หมีene พี่ไนท์ ene</t>
  </si>
  <si>
    <t>บีเฟิส พี่น่ารัก</t>
  </si>
  <si>
    <t>เจ เครื่องกล</t>
  </si>
  <si>
    <t>อู๋ เครื่องกล</t>
  </si>
  <si>
    <t>เพื่อนภู ทำกิจกรรม ร่วมกัน</t>
  </si>
  <si>
    <t>พี่ภู พี่ไตเติ้ล พี่โฟ</t>
  </si>
  <si>
    <t>พี่ภู ทำกิจกรรม ร่วมกัน</t>
  </si>
  <si>
    <t>1.1 New Che 1.2 Tingting Ine</t>
  </si>
  <si>
    <t>New Che</t>
  </si>
  <si>
    <t>TingTing Ine</t>
  </si>
  <si>
    <t xml:space="preserve">none </t>
  </si>
  <si>
    <t xml:space="preserve"> none</t>
  </si>
  <si>
    <t>none</t>
  </si>
  <si>
    <t>I was seated next to her</t>
  </si>
  <si>
    <t>I dont know their names</t>
  </si>
  <si>
    <t>ไอซ์CPE เมเมCPE ฟูจิCPE แทนCPE กันต์CPE</t>
  </si>
  <si>
    <t>ไอซ์CPE</t>
  </si>
  <si>
    <t>เมเมCPE</t>
  </si>
  <si>
    <t>ฟูจิCPE</t>
  </si>
  <si>
    <t>แทนCPE</t>
  </si>
  <si>
    <t>กันต์CPE</t>
  </si>
  <si>
    <t>ไอซ์CPE นั่งข้างกันในห้องประชุม</t>
  </si>
  <si>
    <t>พี่ฟลุ๊คCPE พี่น้ำCPE พี่ปายCPE</t>
  </si>
  <si>
    <t>พี่ฟลุ๊ค เป็นพี่สตาฟกิจกรรมดอดจ์บอล</t>
  </si>
  <si>
    <t>ต้อด ENE</t>
  </si>
  <si>
    <t>เจ็ท AME</t>
  </si>
  <si>
    <t>พีชชี่ ME</t>
  </si>
  <si>
    <t>ปัน ME</t>
  </si>
  <si>
    <t>ตี๋ รู้จักจากการได้อยู่กลุ่มเดียวกัน</t>
  </si>
  <si>
    <t>จูดี้-INC  โจนัท-ME  สายพิน-ME</t>
  </si>
  <si>
    <t>จูดี้ พี่คอยเดินคุมเวลาเดินไปไหนมาไหน</t>
  </si>
  <si>
    <t>ไตตั้น ME</t>
  </si>
  <si>
    <t>ต้นไม้ AE</t>
  </si>
  <si>
    <t>ภูริ EE</t>
  </si>
  <si>
    <t>เกด ME</t>
  </si>
  <si>
    <t>เมล์ Che</t>
  </si>
  <si>
    <t>เมล์ จากกิจกรรม12นาฬิกา</t>
  </si>
  <si>
    <t>พี่บีมEE พี่ขุนEE พี่ไผ่หลิวEE</t>
  </si>
  <si>
    <t>พี่บีม รู้จักในกิจกรรมถ่ายรูปของภาควิชาวิศวกรรมไฟฟ้า เพราะพี่บีมเป็นสตาฟที่ทำแทบทุกอย่างดูแลน้องๆดีมากครับ</t>
  </si>
  <si>
    <t>แบงค์ EE</t>
  </si>
  <si>
    <t>บีม CE</t>
  </si>
  <si>
    <t>ต้นรัก ENE</t>
  </si>
  <si>
    <t>เฟิร์น CE</t>
  </si>
  <si>
    <t>ต้นรักรู้จักผ่านเพื่อนของเพื่อนเจอกันตอนทำกิจกรรม</t>
  </si>
  <si>
    <t>พี่นัท EE พี่จินนี่EE พี่เบสวิศวกรรมเครื่องกล</t>
  </si>
  <si>
    <t>พี่นัท EE พี่รหัสผมเองพึ่งทักมาหาวันนี้เพราะพี่แกไม่ว่าง พี่ทักชวนไปกินอาหาร</t>
  </si>
  <si>
    <t>โอปอ ไฟฟ้า</t>
  </si>
  <si>
    <t>ยูอาย เคมี</t>
  </si>
  <si>
    <t>อัย คอมพิวเตอร์</t>
  </si>
  <si>
    <t>ปอนนี่ เครื่องกล</t>
  </si>
  <si>
    <t>เทส เคมี</t>
  </si>
  <si>
    <t>ยูอาย (เคมี) กิจกรรมยิงคลื่น</t>
  </si>
  <si>
    <t>ไผ่หลิว ชานุ บอส</t>
  </si>
  <si>
    <t xml:space="preserve">พี่แฮม รู้จักจากกิจกรรม Honors Program </t>
  </si>
  <si>
    <t>อิน</t>
  </si>
  <si>
    <t>เล่อTME</t>
  </si>
  <si>
    <t>เกนจิTME</t>
  </si>
  <si>
    <t>ปลื้ม TME</t>
  </si>
  <si>
    <t>ภูมิ เจอตอนกินข้าวกินข้าวช้ามาก กินข้าวไม่หมดซักที กินไปพูดไป เสียงดังจ๊อบเเจ๊บ</t>
  </si>
  <si>
    <t>พี่ซือ TME เชน TME ซิน TME</t>
  </si>
  <si>
    <t>พี่เชน ช่วยทำเเบบทดสอบคณิตศาสตร์</t>
  </si>
  <si>
    <t>นาย วิศวกรรมเครื่องกล</t>
  </si>
  <si>
    <t>ยู วิศวกรรมเครื่องกล</t>
  </si>
  <si>
    <t>ปลื้ม วิศวกรรมเครื่องกล</t>
  </si>
  <si>
    <t>มาร์ค AME</t>
  </si>
  <si>
    <t>นัด AME</t>
  </si>
  <si>
    <t>ยู เจอกันตอนเข้าแถว เพื่อนเล่นpesแพ้ผม</t>
  </si>
  <si>
    <t>ปอนด์ อาย ตะวัน วิศวกรรมเครื่องกล</t>
  </si>
  <si>
    <t>พี่ ปอนด์ ตอนเข้ากิจกรรมพี่เขาตะโกนเสียงดังมากกกกกกกก แต่Nเตอเทนดีมากครับ</t>
  </si>
  <si>
    <t>Xl ไฟฟ้า</t>
  </si>
  <si>
    <t>เล่นเกมปาลูกบอลเลยได้รู้จัก เกจิ</t>
  </si>
  <si>
    <t>พี่แฮม พี่บีม พี่เจเจ</t>
  </si>
  <si>
    <t>พี่เเฮมให้กระเป๋ากับขนมเป็นรางวัล</t>
  </si>
  <si>
    <t>เป้ย ติม เวียร์ ตอง ตองแก้ว</t>
  </si>
  <si>
    <t>เป้ย สิ่งแวดล้อม</t>
  </si>
  <si>
    <t>ติม สิ่งแวดล้อม</t>
  </si>
  <si>
    <t>เวียร์ สิ่งแวดล้อม</t>
  </si>
  <si>
    <t>ตอง สิ่งแวดล้อม</t>
  </si>
  <si>
    <t>ตองแก้ว ไฟฟ้า</t>
  </si>
  <si>
    <t>N รู้จักจากฐาน10นาฬิกา เพื่อนน่ารักดีพูดเก่ง</t>
  </si>
  <si>
    <t>หนูจำไม่ได้เลยค่าาา</t>
  </si>
  <si>
    <t>หนูจำชื่อรุ่นพี่ไม่ได้😭</t>
  </si>
  <si>
    <t>โอม เครื่องกล ตลก</t>
  </si>
  <si>
    <t>อาโป วัสดุ ชวนคุยเก่ง</t>
  </si>
  <si>
    <t>พี เคมี อัธยาศัยดี</t>
  </si>
  <si>
    <t>ยู อิเล็ก ใจดี</t>
  </si>
  <si>
    <t>เบศ อิเล็ก คุยเก่ง</t>
  </si>
  <si>
    <t>โอม ได้นั่งกินข้าวด้วยกัน แล้วขำตลอดตอนกินข้าว</t>
  </si>
  <si>
    <t>พี่โชคดี พี่คิน พี่ไอซ์</t>
  </si>
  <si>
    <t>พี่ไอซ์ พิธีกรดอจบอลไม่ทำให้กิจกรรมอ่อม เล่นมุขเก่ง กิจกรรมสนุกขึ้น</t>
  </si>
  <si>
    <t>นนท์ TME</t>
  </si>
  <si>
    <t>ฟรอยด์ CHM</t>
  </si>
  <si>
    <t>เอก TME</t>
  </si>
  <si>
    <t>ฟรอยด์ เจอกันที่ KFC ตอนต่อแถวเลยได้คุยกัน</t>
  </si>
  <si>
    <t>ฟิว TME ซี INC เชน TME</t>
  </si>
  <si>
    <t>พี่ฟิว TME พี่ฟิวเป็นคนคอยดูแลสาขา คอยให้ข้อมูลต่างๆตั้งแต่ติดที่นี่</t>
  </si>
  <si>
    <t>วิน เครื่องมือวัสดุ</t>
  </si>
  <si>
    <t>จูเนียร์ ไฟฟ้าสื่อสารและอิเล็ก</t>
  </si>
  <si>
    <t>โอ้ต เครื่องมือวัสดุ</t>
  </si>
  <si>
    <t>เป้ เครื่องมือวัสดุ</t>
  </si>
  <si>
    <t>ฟักแฟง เครื่องมือวัสดุ</t>
  </si>
  <si>
    <t>โอ้ต เพราะเล่นกิจกรรมรวมภาคช่วงเช้า ประทับใจที่นิสัยดี</t>
  </si>
  <si>
    <t xml:space="preserve">พี่โอเว่น พี่ซือ พี่เชน เครื่องมือวัสดุ </t>
  </si>
  <si>
    <t>ฟักแฟง กิจกรรมถ่ายรูป ประทับใจที่นิสัยดี</t>
  </si>
  <si>
    <t>แม็ค ME</t>
  </si>
  <si>
    <t>พัตเตอ ME</t>
  </si>
  <si>
    <t>อชิ ME</t>
  </si>
  <si>
    <t>นน ME</t>
  </si>
  <si>
    <t>เฟรม ME</t>
  </si>
  <si>
    <t>กาย Che</t>
  </si>
  <si>
    <t>เฟรม ได้ถามชื่อกันและได้แลกช่องทางการติดต่อ</t>
  </si>
  <si>
    <t>พี่ปอนด์ME พี่สาวพิณME พี่ต้นหอมME</t>
  </si>
  <si>
    <t>พี่ปอนด์ กิจกรรมที่มีการพูดคัยกับน้องน้อง</t>
  </si>
  <si>
    <t>ปั๋น EE</t>
  </si>
  <si>
    <t>วัช EE</t>
  </si>
  <si>
    <t>โบกี้ ChE</t>
  </si>
  <si>
    <t>ตองข้าว EE</t>
  </si>
  <si>
    <t xml:space="preserve">พอใจ </t>
  </si>
  <si>
    <t>รู้จักปั๋น EE วันนี้จากกิจกรรมปฐมนิเทศเพราะนั่งข้างๆกัน</t>
  </si>
  <si>
    <t>พี่ชานุ EE พี่อัลมอนด์ EE พี่ไผ่หลิว EE</t>
  </si>
  <si>
    <t>พี่ชานุ EE จากช่วงที่เดินไปถ่ายรูปรวมที่ตึก LX ประทับใจเพราะเดินผ่านไปผ่านมาให้เห็นเป็นช่วงๆทำให้รู้สึกตื่นเต้นเพราะเห็นแค่ตอนพิมพ์ในไลน์กลุ่มไม่คิดว่าจะเจอตัวจริง</t>
  </si>
  <si>
    <t>เฟร้ดดี้ วิน ภู ปุ้น เป้ ฟักแฟง</t>
  </si>
  <si>
    <t>เฟร้ดดี้ ภาควิศวกรรมเครื่องมือและวัสดุ</t>
  </si>
  <si>
    <t>วิน ภาควิศวกรรมเครื่องมือและวัสดุ</t>
  </si>
  <si>
    <t>ภู ภาควิศวกรรมเครื่องมือและวัสดุ</t>
  </si>
  <si>
    <t>ปุ้น ภาควิศวกรรมเครื่องมือและวัสดุ</t>
  </si>
  <si>
    <t>เป้ ภาควิศวกรรมเครื่องมือและวัสดุ</t>
  </si>
  <si>
    <t>ฟักแฟง ภาควิศวกรรมเครื่องมือและวัสดุ</t>
  </si>
  <si>
    <t>ฟักแฟง รู้จักจากแฮนออน</t>
  </si>
  <si>
    <t>พี่โอเว่น พี่ซือ พี่เชน พี่พลอย</t>
  </si>
  <si>
    <t>พี่โอเว่น กิจกรรม ต้อนรับรุ่นน้อง</t>
  </si>
  <si>
    <t>ปลายปี (CPE)</t>
  </si>
  <si>
    <t>ไอซ์ (CPE)</t>
  </si>
  <si>
    <t>พี (CPE)</t>
  </si>
  <si>
    <t>เมย์ (ENV)</t>
  </si>
  <si>
    <t>โนเกีย (CPE)</t>
  </si>
  <si>
    <t>ออมสิน (CPE)</t>
  </si>
  <si>
    <t>เมย์ (ENV) ทำกิจกรรมปฐมนิเทศด้วยกัน ได้อยู่กลุ่มเดียวกันบ่อยๆ</t>
  </si>
  <si>
    <t>I didn't know there name but they help me with the activity and get along with a lot of my new friends.</t>
  </si>
  <si>
    <t>พี่ปาย CPE พี่ฟลุ๊ค CPE  พี่กันต์ CPE</t>
  </si>
  <si>
    <t>ลลิล inc</t>
  </si>
  <si>
    <t>ฟ้า inc จากกิจกรรมฐานลูกบอล</t>
  </si>
  <si>
    <t>พี่มีมี่ inc พี่หงส์ inc พี่เอยinc</t>
  </si>
  <si>
    <t>พี่มีมี่ รู้จักจากฐานกระดาษ พี่ดูใจดีพูดดี</t>
  </si>
  <si>
    <t>แจ๊ส INC</t>
  </si>
  <si>
    <t>ถิงถิง INC</t>
  </si>
  <si>
    <t>ภูมิ ene</t>
  </si>
  <si>
    <t>สาม เพื่อนคุยกับคนรอบๆแบบกวนๆแล้วเพื่อนอยู่อิเล็กเหมือนกัน แล้วก็ไปต่อข้าวเที่ยงร้านเตี๋ยวที่kfcด้วยกัน</t>
  </si>
  <si>
    <t>พี่กานต์ ene พี่เบนซ์ene พี่สายพิณ me</t>
  </si>
  <si>
    <t>พี่กานต์ ตอนฝนตกเดินมาถามว่าให้ไปส่งหอในไหม😏🫰🏻</t>
  </si>
  <si>
    <t>นน tme</t>
  </si>
  <si>
    <t>เอก tme</t>
  </si>
  <si>
    <t>แบม tme</t>
  </si>
  <si>
    <t>พูน tme</t>
  </si>
  <si>
    <t>อานัส inc</t>
  </si>
  <si>
    <t>นน จากโรงเรียนเดียวกัน กินข้าวด้วยกัน</t>
  </si>
  <si>
    <t>พี่ฟิว พี่เชน พี่โอเว่น tme</t>
  </si>
  <si>
    <t>ฟิว คอยดูแลน้องในภาค</t>
  </si>
  <si>
    <t>แบม TME</t>
  </si>
  <si>
    <t>อานัท INC</t>
  </si>
  <si>
    <t>คุณ มาจากโรงเรียนเดียว ไปกินข้าวด้วยกัน</t>
  </si>
  <si>
    <t>พี่ฟิว พี่เชน พี่โอเวน TME</t>
  </si>
  <si>
    <t>พี่ฟิว เป็นคนคอยดูแลลน้องๆในสาขา</t>
  </si>
  <si>
    <t>เพชร ซีน เฟริส กาย นอต</t>
  </si>
  <si>
    <t>เฟริส pe</t>
  </si>
  <si>
    <t>นอต me</t>
  </si>
  <si>
    <t>เพชร รู้จักจากฟอลไอจีในโอเพนเเชท</t>
  </si>
  <si>
    <t>จอย cpe โต๋ ee บอย cpe</t>
  </si>
  <si>
    <t>โต๋ ee  มาช่วยในกิจกรรม</t>
  </si>
  <si>
    <t>ตี๋ env</t>
  </si>
  <si>
    <t xml:space="preserve">ภูมิ ce </t>
  </si>
  <si>
    <t>เซเว่น me</t>
  </si>
  <si>
    <t>ฟลุ้ค inc</t>
  </si>
  <si>
    <t>ตี๋ จากกิจกรรมฐาน</t>
  </si>
  <si>
    <t>พี่จิน พี่ไลอ้อน พี่แชมป์ ภาคโยธา</t>
  </si>
  <si>
    <t>พี่จิน เดินคุยตอนถ่ายรูปรวมภาค</t>
  </si>
  <si>
    <t>อาตี้ me</t>
  </si>
  <si>
    <t>ปราย me</t>
  </si>
  <si>
    <t>โฟล์ค me</t>
  </si>
  <si>
    <t>เมศ me</t>
  </si>
  <si>
    <t>อาตี้ me tune up เรียนเก่ง</t>
  </si>
  <si>
    <t>ปิ่น me เปา me ปอนด์ me</t>
  </si>
  <si>
    <t>พี่เปาตะโกนดังครับ</t>
  </si>
  <si>
    <t>ปาล์ม วิศวะเครื่องกล</t>
  </si>
  <si>
    <t>คอปเตอร์ วิศวะเครื่องกล</t>
  </si>
  <si>
    <t>เจ วิศวะเครื่องกล</t>
  </si>
  <si>
    <t>เจ็ท วิศวะยานยนต์</t>
  </si>
  <si>
    <t>ภู วิศวะเครื่องกล</t>
  </si>
  <si>
    <t>คอปเตอร์ รู้จักเพราะนิสัยคล้ายๆกัน ชอบอะไรเหมือนๆกัน</t>
  </si>
  <si>
    <t>พี่ไตเติ้ล พี่สายพิณ พี่ถุงชา วิศวะเครื่องกลทั้งหมด</t>
  </si>
  <si>
    <t>พี่ถุงชา เพราะมีเอกลักษณ์เฉพาะตัว มีพลัง</t>
  </si>
  <si>
    <t>โฟค เครื่องกล</t>
  </si>
  <si>
    <t>โฟค รุ่นพี่เรียกออกมาแนะนำตัว</t>
  </si>
  <si>
    <t>พี่สายปาน พี่ปอน  เครื่องกล</t>
  </si>
  <si>
    <t>พี่สายปาน เครื่องกล</t>
  </si>
  <si>
    <t>จ๋า CPE</t>
  </si>
  <si>
    <t>สกาย CPE</t>
  </si>
  <si>
    <t>นิ้ง CPE</t>
  </si>
  <si>
    <t>ใบเตย TME จากกลุ่ม BLOOM เจอกันหน้าลิฟท์</t>
  </si>
  <si>
    <t>พี่เจ CPE พี่กร CPE พี่ข้าวฟ่าง CPE</t>
  </si>
  <si>
    <t>พี่มะเหมี่ยว MCของกิจกรรมปฐมนิเทศ</t>
  </si>
  <si>
    <t xml:space="preserve">ปันปัน สิ่งแวดล้อม </t>
  </si>
  <si>
    <t>ดิสนีย์ สิ่งแวดล้อม</t>
  </si>
  <si>
    <t>คอปเตอร์ สิ่งแวดล้อม</t>
  </si>
  <si>
    <t>มีน่า สิ่งแวดล้อม</t>
  </si>
  <si>
    <t>เวียร์ กับปันปัน เจอกันกิจกรรมเมื่อวาน</t>
  </si>
  <si>
    <t>พี่นาย สิ่งแวดล้อม</t>
  </si>
  <si>
    <t>พี่ถือป้ายกับพูดหน้าแถว</t>
  </si>
  <si>
    <t>ปูเป้ เครื่องกล</t>
  </si>
  <si>
    <t>ใบเตย วัสดุ</t>
  </si>
  <si>
    <t>กิ่งไผ่ อุตสาหการ</t>
  </si>
  <si>
    <t>แอม วัดคุม</t>
  </si>
  <si>
    <t>แอม วัดคุม รู้จักเพราะว่าอยู่กลุ่ม 2 Design และนั่งอยู่ข้างหน้า แล้วคอยชวนคุย เดินไปด้วยกันทุกกิจกรรม และนั่งกินข้าวด้วยกัน</t>
  </si>
  <si>
    <t>พี่หุงข้าว พี่คิว พี่บาส</t>
  </si>
  <si>
    <t>พี่มมกม จากกิจกรรมเรือ ใต้ตึก LX พี่เอนเตอร์เทนเก่งมากค่ะ</t>
  </si>
  <si>
    <t>นาย ภาคเครื่องกล ปกติ</t>
  </si>
  <si>
    <t>กีตาร์ ภาคโยธา อินเตอร์</t>
  </si>
  <si>
    <t>เอิร์ธ ภาค คอม ปกติ</t>
  </si>
  <si>
    <t>ไจไจ ภาค คอม อินเตอร์</t>
  </si>
  <si>
    <t>ธาน คอม อินเตอร์</t>
  </si>
  <si>
    <t>นูป inc อินเตอร์</t>
  </si>
  <si>
    <t>เอิร์ธ เจอกันหลังจากถ่ายรูป แล้วรู้ว่า มีเพื่อนที่รู้จักกัน</t>
  </si>
  <si>
    <t>เฟม CPE เทอร์โบ CPE  วิทย์ CPE</t>
  </si>
  <si>
    <t>เฟม จากกิจกรรม CPE</t>
  </si>
  <si>
    <t>Jin Ene</t>
  </si>
  <si>
    <t>Fog Cpe</t>
  </si>
  <si>
    <t>Tree eie</t>
  </si>
  <si>
    <t>Jock me</t>
  </si>
  <si>
    <t>August Ene</t>
  </si>
  <si>
    <t xml:space="preserve">Fog at dodge ball </t>
  </si>
  <si>
    <t>อาย at paper clock</t>
  </si>
  <si>
    <t>Foam at the boat one</t>
  </si>
  <si>
    <t>มอส จูน เติ้ล พี่บ่าว กวิน</t>
  </si>
  <si>
    <t>มอส INC</t>
  </si>
  <si>
    <t>จูน INC</t>
  </si>
  <si>
    <t>เติ้ล</t>
  </si>
  <si>
    <t>พีเมี่ย INC</t>
  </si>
  <si>
    <t>พี่บ่าว INC</t>
  </si>
  <si>
    <t>กวิน INC</t>
  </si>
  <si>
    <t>หลายๆคนในกลุ่มนี้ไม่มีคนใดคนนึง แต่ทุกคน รู้จักกันในที่เดียวกัน</t>
  </si>
  <si>
    <t>รู้จากแค่ พี่เนสในกิจกรรม นาฬิกา</t>
  </si>
  <si>
    <t>พี่สายพิณเครื่องกล ปลื้มไฟฟ้า ฮายโยธา</t>
  </si>
  <si>
    <t>สายป่านภาคคอม</t>
  </si>
  <si>
    <t>โมภาคคอม</t>
  </si>
  <si>
    <t>เปียโน inc</t>
  </si>
  <si>
    <t>คิว inc</t>
  </si>
  <si>
    <t>ภูมิ inc</t>
  </si>
  <si>
    <t>เจอเพื่อนภาคคอมจากกิจกรรมกระดาษ เดินๆทั้งวัน นัดกันไปเล่นบอร์ดเกม ปรากฎฝนตก</t>
  </si>
  <si>
    <t>1.พี่เอย 2.พี่ปิ๊ก 3.พี่หยก</t>
  </si>
  <si>
    <t>1.พี่เอยจากกืจกรรมปฐมนิเทศ</t>
  </si>
  <si>
    <t>ไนท์ ภาคอุต</t>
  </si>
  <si>
    <t>มินนี่ ภาคเครื่องมือและวัสดุ</t>
  </si>
  <si>
    <t>ฟาง ภาคTME</t>
  </si>
  <si>
    <t>ข้าวปุ้น TME</t>
  </si>
  <si>
    <t>ได๋ ภาคเครื่องมือและวัสดุ</t>
  </si>
  <si>
    <t>ญี่ปุ่น ภาควัสดุ</t>
  </si>
  <si>
    <t>ไนท์ ภาคอุต รู้จักจากกิจกรรมวันที่25อยู่กลุ่มเดียวกันได้เห็นเพื่อนอยู่คนเดียวเลยไปเมคแล้วก็มาเล่นเกมสะพานสามัคคีด้วยกัน</t>
  </si>
  <si>
    <t>พี่โอเว่น พี่พลอย พี่ฟิว ภาคเครื่องมือและวัสดุ</t>
  </si>
  <si>
    <t>พี่โอเว่น รู้จักเพราะอยู่สาขาเดียวกันพี่เขามาเล่าประสบการณ์ในมอให้ฟัง</t>
  </si>
  <si>
    <t>เทอร์โบ ene</t>
  </si>
  <si>
    <t>โชกุน ape</t>
  </si>
  <si>
    <t>ปาล์ม ME</t>
  </si>
  <si>
    <t>ตอง Ame</t>
  </si>
  <si>
    <t>คิว me</t>
  </si>
  <si>
    <t>ได้เจอเทอร์โบตอนปฐมนิเทศเล่นกิจกรรมฐาน</t>
  </si>
  <si>
    <t>พี่ฮีโร่ pe พี่มอมอ chemeng พี่แตงโม pe</t>
  </si>
  <si>
    <t>รู้จักพี่มอมอจาก ค่ายติว</t>
  </si>
  <si>
    <t xml:space="preserve">เเครอท ฟา ไม้ ตี้ ภู </t>
  </si>
  <si>
    <t>เเครอท tme</t>
  </si>
  <si>
    <t>ฟา tme</t>
  </si>
  <si>
    <t>ไม้ tme</t>
  </si>
  <si>
    <t>ตี้ tme</t>
  </si>
  <si>
    <t>ภู tme</t>
  </si>
  <si>
    <t>เเครอท ตอนรอภาคถ่ายรูป</t>
  </si>
  <si>
    <t>P cpe fiw tme owen tme</t>
  </si>
  <si>
    <t>พี่ฟิว สวัสดีในห้องน้ำ</t>
  </si>
  <si>
    <t>วอฟ INC</t>
  </si>
  <si>
    <t>Shawn AE</t>
  </si>
  <si>
    <t>เนม ENE</t>
  </si>
  <si>
    <t>จิ๊บ INC</t>
  </si>
  <si>
    <t>เจอไกด์ตอนเล่นกิจกรรมรับน้องวันแรก</t>
  </si>
  <si>
    <t>1.พี่ปิ๊ก 2.พี่เอย 3.พี่หยก</t>
  </si>
  <si>
    <t>พี่เอยช่วยจัดการระบบ</t>
  </si>
  <si>
    <t xml:space="preserve">ยูริ วิศวกรรมเครื่องมือและวัสดุ </t>
  </si>
  <si>
    <t xml:space="preserve">เนค วิศวกรรมเครื่องมือและวัสดุ </t>
  </si>
  <si>
    <t xml:space="preserve">โอ้ต วิศวกรรมเครื่องมือและวัสดุ </t>
  </si>
  <si>
    <t xml:space="preserve">เป้ วิศวกรรมเครื่องมือและวัสดุ </t>
  </si>
  <si>
    <t xml:space="preserve">ตัง วิศวกรรมเครื่องมือและวัสดุ </t>
  </si>
  <si>
    <t>เนค จากปฐมนิเทศ เล่นกิจกรรมด้วยกัน</t>
  </si>
  <si>
    <t>พี่โอเว่น ช่วยน้องๆส่งข้อมูลให้มหาลัย</t>
  </si>
  <si>
    <t>1.1 เจแปนวิศวะไฟฟ้า 1.2.เฟียวิศวะไฟฟ้ส 1.3. ครีม วิศวะเคมี 1.4.ปลื้ม วิศวะ อัตโนมัติ 1.5.คิววิศวะอัตโนมัติ</t>
  </si>
  <si>
    <t>เจแปน วิศวะไฟฟ้า</t>
  </si>
  <si>
    <t>นนท์วิศวะไฟฟ้า</t>
  </si>
  <si>
    <t>ครีมวิศวะเคมี</t>
  </si>
  <si>
    <t>ปลื้มวิศวะ อัตโนมัติ</t>
  </si>
  <si>
    <t>คิววิศวะ อัตโนมัติ</t>
  </si>
  <si>
    <t>เฟีย มาจากกลุ่มเดียวกัน แล้วก็ได้ช่วยกันขนของ</t>
  </si>
  <si>
    <t>พี่ก็อฟ พี่ดีเค พี่ไอซ์</t>
  </si>
  <si>
    <t>พี่ก็อฟเป๋นพี่รหัสครับ คอยถามกิจกรรมต่างๆ</t>
  </si>
  <si>
    <t>เจ๊ม อุตสาหกรรม</t>
  </si>
  <si>
    <t>สกาย  คอมพิวเตอร์</t>
  </si>
  <si>
    <t>ครีม คอมพิวเตอร์</t>
  </si>
  <si>
    <t>เจ๊ม อยู่กลุ่มเดียวกันตอนทำกิจกรรม</t>
  </si>
  <si>
    <t>กร คอมพิวเตอร์, เจ คอมพิวเตอร์, ปาย คอมพิวเตอร์</t>
  </si>
  <si>
    <t>ไทม์ เป็นพี่ฐาน</t>
  </si>
  <si>
    <t>แพนเค้ก CHE</t>
  </si>
  <si>
    <t>ทรี CHE</t>
  </si>
  <si>
    <t>แก้มใส CHE</t>
  </si>
  <si>
    <t>ลดา CHE</t>
  </si>
  <si>
    <t>แพนเค้ก เจอกันในฐาน อยู่ข้างกันทำความรู้จักกันแล้วก็เล่นกิจกรรมด้วยกัน</t>
  </si>
  <si>
    <t>พี่ตาขวัญ พี่ไออุ่น พี่โบนัส CHE</t>
  </si>
  <si>
    <t>พี่ตาขวัญแจกขนมให้ตอนปฐมนิเทศ</t>
  </si>
  <si>
    <t>เเตม EE</t>
  </si>
  <si>
    <t>ระมิง Che</t>
  </si>
  <si>
    <t>กร,อาร์ม,โจ EE</t>
  </si>
  <si>
    <t>โปรด เเลก contact ตึก lx</t>
  </si>
  <si>
    <t>พี่บีม , พี่ปัน ,พี่</t>
  </si>
  <si>
    <t>พี่บีม จากค่าย Bee Camp</t>
  </si>
  <si>
    <t>สทน.04 (ใบมอบฉันทะ)</t>
  </si>
  <si>
    <t>สปาย ภาควิชาวิศวกรรมไฟฟ้า</t>
  </si>
  <si>
    <t>ออม ภาควิชาวิศวกรรมไฟฟ้า</t>
  </si>
  <si>
    <t>พลอย ภาควิชาวิศวกรรมไฟฟ้า</t>
  </si>
  <si>
    <t>แอม ภาควิชาวิศวกรรมโยธา</t>
  </si>
  <si>
    <t>นาโน ภาควิชาวิศวกรรมโยธา</t>
  </si>
  <si>
    <t>ออม เรียนรู้การสร้างความกล้าในการทำความรู้จักเพื่อนใหม่</t>
  </si>
  <si>
    <t>พี่ไผ่หลิว ภาควิชาวิศวกรรมไฟฟ้าปี 2 , พี่ต้นหม่อน ภาควิชาวิศวกรรมไฟฟ้า ปี 3 , พี่กรุงเทพ ภาควิชาวิศวกรรมไฟฟ้า ปี 3</t>
  </si>
  <si>
    <t>พี่จอน ภาควิชาวิศวกรรมไฟฟ้าปี 3 เป็นรุ่นพี่จากภาควิชาคนแรกที่รู้จักจากค่ายติวเวลคัม</t>
  </si>
  <si>
    <t>ปราย ( เครื่องกล )</t>
  </si>
  <si>
    <t>จิน ( โยธา )</t>
  </si>
  <si>
    <t>ติน ( เครื่องมือและวัสดุ )</t>
  </si>
  <si>
    <t>ญี่ปุ่น ( เครื่องมือและวัสดุ )</t>
  </si>
  <si>
    <t>บีเจ ( คอมพิวเตอร์ )</t>
  </si>
  <si>
    <t>ติน ( เครื่องมือและวัสดุ )จากภาควิชา</t>
  </si>
  <si>
    <t>พี่ฟิวส์ พี่โอเว่น พี่พลอย</t>
  </si>
  <si>
    <t>พี่ฟิวส์ จากกิจกรรมรวมภาควิชา พี่ฟิวส์ให้คำแนะนำเรื่องการเรียน</t>
  </si>
  <si>
    <t>Mek (CPE)</t>
  </si>
  <si>
    <t>Sun (CPE)</t>
  </si>
  <si>
    <t>Jun (CPE)</t>
  </si>
  <si>
    <t>Name (CPE)</t>
  </si>
  <si>
    <t>Pun (CPE)</t>
  </si>
  <si>
    <t>Mek known eachother for 12 years 😱</t>
  </si>
  <si>
    <t>P'Nam manage during a photoshoot</t>
  </si>
  <si>
    <t>P'nam P'Gun P'Bill</t>
  </si>
  <si>
    <t>จิ๋ว จำภาคไม่ได่</t>
  </si>
  <si>
    <t>บี ภาคENE</t>
  </si>
  <si>
    <t>ซิว ภาคME</t>
  </si>
  <si>
    <t>เพิ่ม ไม่ทราบภาค</t>
  </si>
  <si>
    <t>บี จากการเข้าทำกิจกรรมในงานปฐมนิเทศวันแรกเพื่อนค่อนข้างใจดี เพื่อนเป็นคนเริ่มทักและได้พูดคุยกันทั้งวัน จิ๋วเจอในกิจกรรมปฐมนิเทศของมหาลัย เพื่อนค่อนข้างน่ารัก และได้พูดคุยกะนทั้งวัน เพิ่ม ได้เจอในกิจกรรมในงานปฐมนิเทศวันแรกในกิจกรรมช่วงบ่าย แม้รู้จักสั้นๆแต่เพื่อนก็ค่อนข้างอัธยาศัยดี คุยง่าย</t>
  </si>
  <si>
    <t>ไม่มีและไม่ทราบ</t>
  </si>
  <si>
    <t>ไม่มี และไม่ทราบ</t>
  </si>
  <si>
    <t>Mick CPE</t>
  </si>
  <si>
    <t>Ice CPE</t>
  </si>
  <si>
    <t>Jennis Envi</t>
  </si>
  <si>
    <t>Time ENE</t>
  </si>
  <si>
    <t>Nick CPE</t>
  </si>
  <si>
    <t>I know mick from the dodgeball booth</t>
  </si>
  <si>
    <t>Pun ICPE the moment that I remember is when I met him at runningline booth</t>
  </si>
  <si>
    <t>Gun from CPE
Nam from CPE
Kong from CPE</t>
  </si>
  <si>
    <t>แพท ภาคระบบควบคุมและเครื่องมือวัด</t>
  </si>
  <si>
    <t>กาย ภาควิศวกรรมเคมี</t>
  </si>
  <si>
    <t>เป ภาควิศวกรรมเคมี</t>
  </si>
  <si>
    <t>โอปอ ภาควิชา</t>
  </si>
  <si>
    <t>เจน ภาควิชาวิศวกรรม</t>
  </si>
  <si>
    <t>เอิร์ธ ภาควิศวกรรมอิเล็กทรอนิกส์และโทรคมนาคม</t>
  </si>
  <si>
    <t>แพท กิจกรรมสะพานลูกบอล</t>
  </si>
  <si>
    <t xml:space="preserve">พี่กานต์ พี่ลักกี้ พี่อิเล็กทรอนิกส์และโทรคมนาคม </t>
  </si>
  <si>
    <t>พี่ไอซ์ ประชาสัมพันธ์</t>
  </si>
  <si>
    <t>ฟ้า อุตสาหการ</t>
  </si>
  <si>
    <t>จิ๊กซอ อุตสาหการ</t>
  </si>
  <si>
    <t>ฝ้าย  อุตสาหการ</t>
  </si>
  <si>
    <t>ตาต้า อุตสาหการ</t>
  </si>
  <si>
    <t>ไนท์ อุตสาหการ</t>
  </si>
  <si>
    <t>ฟ้า ถ่ายรูป จดจำเพราะคุยสนุก</t>
  </si>
  <si>
    <t xml:space="preserve">พี่เฟย พี่ฟลุ๊ค พี่ฮง pe </t>
  </si>
  <si>
    <t>พี่ฮง ประจับเพราะบอกชื่อ</t>
  </si>
  <si>
    <t>คอปเปอร์ เครื่องกล</t>
  </si>
  <si>
    <t>นัท เจอตอนเล่นกิจกรรม จำได้เพราะนิศัยคล้ายกัน</t>
  </si>
  <si>
    <t>พี่ปอน พี่ลีโอ พี่นัท ภาคเครื่องกล</t>
  </si>
  <si>
    <t>พี่ปอน เจอตอนรวมของภาค</t>
  </si>
  <si>
    <t xml:space="preserve">แน้ค civil engineering </t>
  </si>
  <si>
    <t xml:space="preserve">แดน civil engineering </t>
  </si>
  <si>
    <t xml:space="preserve">ดีเซล civil engineering </t>
  </si>
  <si>
    <t xml:space="preserve">นัท civil engineering </t>
  </si>
  <si>
    <t xml:space="preserve">วิน civil engineering </t>
  </si>
  <si>
    <t>แดน รู้จักจากการนั่งฟังพร้อมแบ่งขนม</t>
  </si>
  <si>
    <t>พี่จ้ะจ๋า โยธา พี่จิน โยธา พี่ฟิมล์ โยธา</t>
  </si>
  <si>
    <t>พี่จิน หน้าโหดมากครับ</t>
  </si>
  <si>
    <t>นัส ภาคเครื่องกล</t>
  </si>
  <si>
    <t>เทปัญ ภาคยานยนต์</t>
  </si>
  <si>
    <t>ลีโอ ภาคเครื่องกล</t>
  </si>
  <si>
    <t>นัท ภาคไฟฟ้าสื่อสาร</t>
  </si>
  <si>
    <t>ตี๋ ภาคเครื่องกล</t>
  </si>
  <si>
    <t>นัส รู้จักจากกิจกรรมนาฬิกา เฟี้ยว</t>
  </si>
  <si>
    <t>อัส ภาคเครื่องกล</t>
  </si>
  <si>
    <t>อัสกิจกรรมในภาค</t>
  </si>
  <si>
    <t>เทปัน ยานยนต์</t>
  </si>
  <si>
    <t>โม เครื่องกล</t>
  </si>
  <si>
    <t>โอม การผลิต</t>
  </si>
  <si>
    <t>เทปัน รู้จักได้จากการเล่นดึงป้าย</t>
  </si>
  <si>
    <t>พี่ปอน พี่ลีโอ พี่โจนัท</t>
  </si>
  <si>
    <t>พี่ปอน แนะนำได้ดี</t>
  </si>
  <si>
    <t>จ้ะจ๋า cpe</t>
  </si>
  <si>
    <t>พี cpe</t>
  </si>
  <si>
    <t>บอส ene</t>
  </si>
  <si>
    <t>นะโม ce</t>
  </si>
  <si>
    <t>ฟิว ee</t>
  </si>
  <si>
    <t>แพรว ee</t>
  </si>
  <si>
    <t>จ้ะจ๋า จาก jst อยู่กลุ่มเดียวกัน</t>
  </si>
  <si>
    <t>พี่น้ำ cpe แพรว pe กิต fibo</t>
  </si>
  <si>
    <t>แพรว pe กิจกรรม นาฬิกา</t>
  </si>
  <si>
    <t>ไม่มีคับ</t>
  </si>
  <si>
    <t>เวนิส ภาควัดคุม</t>
  </si>
  <si>
    <t>ปัน เคมี</t>
  </si>
  <si>
    <t>ตะวัน วัดคุม</t>
  </si>
  <si>
    <t>แก้มบุ๋ม เคมี</t>
  </si>
  <si>
    <t>เวนิส วัดคุม จากการที่ได้อยุ่กลุ่มเดียวกัน เพื่อนเฟรนลี่มาก ๆๆ</t>
  </si>
  <si>
    <t>พี่ไอซ์ภาคคอม พี่บุ๊คภาคคอม พี่กาฟิวภาคเคมี</t>
  </si>
  <si>
    <t>พี่ไอซ์ จากกิจกรรมดอจบอล สนุกมาก พี่ไอซ์เอนเตอเทนดีมทกมาก</t>
  </si>
  <si>
    <t>namo INC</t>
  </si>
  <si>
    <t>Fluck INC</t>
  </si>
  <si>
    <t>Sky INC</t>
  </si>
  <si>
    <t>Joe INC</t>
  </si>
  <si>
    <t>Tol INC</t>
  </si>
  <si>
    <t xml:space="preserve">I've been talking to Namo since my first day at college, and we've been together a lot. </t>
  </si>
  <si>
    <t xml:space="preserve">I met To at the 12 o'clock event, and we exchanged contacts. </t>
  </si>
  <si>
    <t>To EE Aom  Angoon</t>
  </si>
  <si>
    <t>โจ EE</t>
  </si>
  <si>
    <t>เฟิร์ส EE</t>
  </si>
  <si>
    <t>ว่าน ME</t>
  </si>
  <si>
    <t>โปรตอน PE</t>
  </si>
  <si>
    <t>ไบร์ TMR</t>
  </si>
  <si>
    <t xml:space="preserve">บิว </t>
  </si>
  <si>
    <t>โปรตอน รู้จักจากกิจกรรม 12 นาฬิกาตอนกำลังหาเพื่อนที่มีเวลาว่างตรงกันตอนช่วงใกล้หมดเวลากิจกรรม</t>
  </si>
  <si>
    <t>พี่เปา ME พี่มุก PE พี่บีม EE</t>
  </si>
  <si>
    <t>พี่มุก จากกิจกรรม 12 นาฬิกา</t>
  </si>
  <si>
    <t>พี INC</t>
  </si>
  <si>
    <t>เบล INC</t>
  </si>
  <si>
    <t>แม็ค โยธาอินเตอร์</t>
  </si>
  <si>
    <t>นนท์ อิเล็ก</t>
  </si>
  <si>
    <t>พี เคยรู้จักกันที่โรงเรียนเก่าละมาเจอกันที่นี่</t>
  </si>
  <si>
    <t>พี่เอ พี่บี พี่</t>
  </si>
  <si>
    <t>พี่สาขา มีกิจกรรมพาไปถ่ายรูป</t>
  </si>
  <si>
    <t>โน็ต เครื่องกล</t>
  </si>
  <si>
    <t>หนูดี อุตสหการ</t>
  </si>
  <si>
    <t>ตะวัน อุตสหการและประกอบการธุรกิจ</t>
  </si>
  <si>
    <t>ดีดี อุตสหการ</t>
  </si>
  <si>
    <t>โน็ต นั่งรถเมล์</t>
  </si>
  <si>
    <t>เเพรว เเพรว แพรว</t>
  </si>
  <si>
    <t>พี่แพรว ทำกิจกกรม</t>
  </si>
  <si>
    <t>Pleum CE</t>
  </si>
  <si>
    <t>Tin CPE</t>
  </si>
  <si>
    <t>Punn ICT</t>
  </si>
  <si>
    <t>Boat CPE</t>
  </si>
  <si>
    <t>ICE CPE</t>
  </si>
  <si>
    <t>Pleum runner manเป็นผู้นำ มีhumorตลกดี</t>
  </si>
  <si>
    <t>Time jin ice CPE</t>
  </si>
  <si>
    <t xml:space="preserve">Justin runnerman </t>
  </si>
  <si>
    <t>ปัน ภาคอิเล็กทรอนิกส์เเละโทรคมนาคม</t>
  </si>
  <si>
    <t>ต้นข้าว ภาคอิเล็กทรอนิกส์เเละโทรคมนาคม</t>
  </si>
  <si>
    <t>ซูกัส ภาคอิเล็กทรอนิกส์เเละโทรคมนาคม</t>
  </si>
  <si>
    <t>ออม ภาคอิเล็กทรอนิกส์เเละโทรคมนาคม</t>
  </si>
  <si>
    <t>มะเหมี่ยว ภาคอิเล็กทรอนิกส์เเละโทรคมนาคม</t>
  </si>
  <si>
    <t>ต้นข้าว รู้จักเพื่อนจากการเข้าฐาน</t>
  </si>
  <si>
    <t>พี่กานต์ พี่ลัคกี้ พี่ไอซ์  ภาคอิเล็กทรอนิกส์เเละโทรคมนาคม</t>
  </si>
  <si>
    <t>พี่ไอซ์ คนประชาสัมพันธ์</t>
  </si>
  <si>
    <t>1.อ๋าอู๋ ภาควัสดุ 2.ปลื้ม ภาควัสดุ 3.ยู ภาคเครื่องกล 4.บุ๊ค ภาคเครื่องกล 5.ปอนด์ ภาคอิเล็กทรอนิกส์ อินเตอร์ 6.ปลื้ม ภาคไฟฟ้า 7.กานต์ ภาคไฟฟ้า</t>
  </si>
  <si>
    <t>อ๋าอู๋ ภาควัสดุ</t>
  </si>
  <si>
    <t>ปลื้ม ภาควัสดุ</t>
  </si>
  <si>
    <t>ยู ภาคเครื่องกล</t>
  </si>
  <si>
    <t>บุ๊ก ภาคเครื่องกล</t>
  </si>
  <si>
    <t>ปอนด์ ภาคอิเล็กทรอนิกส์ อินเตอร์</t>
  </si>
  <si>
    <t>ปลื้ม ภาคไฟฟ้า กานต์ ภาคไฟฟ้า</t>
  </si>
  <si>
    <t>ปอนด์ เหตุการณ์ที่จดจำได้ คือ ชอบเล่นเกมเหมือนกัน คุยกันถูกคอ</t>
  </si>
  <si>
    <t>พี่บีม ภาคไฟฟ้า พี่ปิง ภาคไฟฟ้า พี่โชกุน ภาคไฟฟ้า</t>
  </si>
  <si>
    <t>พี่บีม เหตุการณ์ที่ทำให้จดจำได้คือ เต้นโหด กระโดดกอด</t>
  </si>
  <si>
    <t>อาร์ม โยธา</t>
  </si>
  <si>
    <t>ปราย เจอกันตอนเรียนhand on น่ารักๆ</t>
  </si>
  <si>
    <t>พี่เฟิร์ส พี่เปรม พี่โอเว่น</t>
  </si>
  <si>
    <t>พี่เปรม คุยสนุก น่ารักๆ</t>
  </si>
  <si>
    <t>ค๊อปเตอร์ ภาคเครื่องกล</t>
  </si>
  <si>
    <t>พี ภาคเครื่องกล</t>
  </si>
  <si>
    <t>เเชมป์ จุลชีววิทยา</t>
  </si>
  <si>
    <t>พะเเพง จุลชีววิทยา</t>
  </si>
  <si>
    <t>ค๊อปเตอร์ รู้จักตอนปฐมนิเทศ ชอบเล่นเกมเหมือนกัน</t>
  </si>
  <si>
    <t>โฟ น้ำค้าง พรีม</t>
  </si>
  <si>
    <t>โฟ ติวเวล ครั้งที่20</t>
  </si>
  <si>
    <t>ซีซี TME</t>
  </si>
  <si>
    <t>เฟรม TME</t>
  </si>
  <si>
    <t xml:space="preserve">รู้จักซีซีจากการสอบสัมภาษณ์รอบadmission </t>
  </si>
  <si>
    <t>พี่รุจ พี่เฟิร์ส พี่เปรม</t>
  </si>
  <si>
    <t>พี่รุจ รู้จักจากค่ายติวเวล20</t>
  </si>
  <si>
    <t>ต้นกล้า ME</t>
  </si>
  <si>
    <t>คอปเตอร์ ME</t>
  </si>
  <si>
    <t>Floke AME</t>
  </si>
  <si>
    <t>บุ๊ก ME</t>
  </si>
  <si>
    <t>ลีโอ AME</t>
  </si>
  <si>
    <t>คอปเตอร์ จากปฐมนิเทศ เป็นคนเฟรนลี่ เข้าใจคนอื่น</t>
  </si>
  <si>
    <t>พี่ pond ME พี่เปา ME พี่ต้นอ่อ ME</t>
  </si>
  <si>
    <t>พี่เปา เสียงดังดี</t>
  </si>
  <si>
    <t>ต้า che</t>
  </si>
  <si>
    <t>ไก่ต๊อก cpe</t>
  </si>
  <si>
    <t>พลอย me</t>
  </si>
  <si>
    <t>ปั้น tme</t>
  </si>
  <si>
    <t>Not ene</t>
  </si>
  <si>
    <t>สุบิน ee ฐาน12นาฬิกา เป็นครแรกที่dmมาทำควาทรู้จักหลังกิจกรรมแล้วแลกเปลี่ยหลายๆอย่างกัน</t>
  </si>
  <si>
    <t>พี่ตาต้า พี่เฟส พี่ไอซ์</t>
  </si>
  <si>
    <t>พี่ไอซ์คอยแนะนำหลายๆอย่างให้จากในช่วงเช้าก่อนเริ่มกิจกรรม</t>
  </si>
  <si>
    <t>Pun CPE</t>
  </si>
  <si>
    <t>Prem CPE</t>
  </si>
  <si>
    <t>Jay CPE</t>
  </si>
  <si>
    <t>Beam ENE</t>
  </si>
  <si>
    <t>Pepe EE</t>
  </si>
  <si>
    <t>Take pictures group CPE</t>
  </si>
  <si>
    <t xml:space="preserve">Champ Civil .him is staff who take care me in KMUTT ON TOUR </t>
  </si>
  <si>
    <t>Nam CPE
Gun CPE
Gong CPE</t>
  </si>
  <si>
    <t>ออโต้ inc</t>
  </si>
  <si>
    <t>สแตมป์ เครื่องกล</t>
  </si>
  <si>
    <t>เฟิร์น inc</t>
  </si>
  <si>
    <t>แพนเค้ก inc รู้จักจากฐานกิจกรรม ได้เล่นกิจกรรมด้วยกัน</t>
  </si>
  <si>
    <t>พี่เอย inc พี่มีมี่ inc พี่หงส์ inc</t>
  </si>
  <si>
    <t>พี่มีมี่ รู้จักจากฐานกิจกรรม</t>
  </si>
  <si>
    <t>ติว ภาควิชาคอมพิวเตอร์</t>
  </si>
  <si>
    <t>ตุล ภาควิชาคอมพิวเตอร์</t>
  </si>
  <si>
    <t>ปาล์ม ภาควิชาคอมพิวเตอร์</t>
  </si>
  <si>
    <t>ซัน ภาควิชาคอมพิวเตอร์</t>
  </si>
  <si>
    <t>ออมสิน ภาควิชาคอมพิวเตอร์</t>
  </si>
  <si>
    <t>ติว กิจกรรม pre freshy นิ่งเกินจนจำได้</t>
  </si>
  <si>
    <t xml:space="preserve">พี่น้ำ วิศวะคอม พี่ปาย วิศวะคอม พี่มะเมียว </t>
  </si>
  <si>
    <t>พี่จีน pre freshy พี่พาไปตึกLX</t>
  </si>
  <si>
    <t xml:space="preserve">กิม ไฟฟ้า เวีย ไฟฟ้า โอ้ค ไฟฟ้า บิว วิศวะสิ่งแวดล้อม ตะวัน cpe </t>
  </si>
  <si>
    <t>เวีย ภาคไฟฟ้า</t>
  </si>
  <si>
    <t>บิว ภาควิศวะสิ่งแวดล้อม</t>
  </si>
  <si>
    <t>โอ้ค ภาคไฟฟ้า</t>
  </si>
  <si>
    <t xml:space="preserve">บิว รู้จักจากกิจกรรมฐานที่ 1 ฐานด๊อดบอล </t>
  </si>
  <si>
    <t>พี่แอม บี ต้นหม่อน</t>
  </si>
  <si>
    <t>บีม เป็นพี่ที่ใจดีไม่กดดันน้องน้อง</t>
  </si>
  <si>
    <t>ลิ้ง อิเล็กทรอนิกส์ มิ้ว อิเล็ก โชคอิเล็ก หมิงอิเล็ก ตั้นอิเล็ก</t>
  </si>
  <si>
    <t>มิ้ว อิเล็กทรอนิกส์</t>
  </si>
  <si>
    <t>ลิ้ง อิเล็กทรอนิกส์</t>
  </si>
  <si>
    <t>หมิง อิเล็กทรอนิกส์</t>
  </si>
  <si>
    <t>โชคอิเล็กทรอนิกส์</t>
  </si>
  <si>
    <t>ตั้น อิเล็กทรอนิกส์</t>
  </si>
  <si>
    <t>มิ้ว รับน้องแล้วเล่นกิจกรรม</t>
  </si>
  <si>
    <t>พี่ไอซ์ พี่กาน พี่บีเฟิร์ส</t>
  </si>
  <si>
    <t>พี่ไอซ์ อิเล็กทรอนิกส์ ใจดี</t>
  </si>
  <si>
    <t>มิ้น ผลิต</t>
  </si>
  <si>
    <t>น้ำมนต์ เคมี</t>
  </si>
  <si>
    <t>ปลื้ม รู้จักเพราะติวเวลด้วยกัน อยู่ๆก็รู้จักอยู่ๆก็สนิท เหมือนเห็นตัวเองในเวอร์ชั่นผู้ชาย</t>
  </si>
  <si>
    <t>พี่เปรม พี่โอเว่น พี่เฟิร์ส</t>
  </si>
  <si>
    <t>พี่เปรม วัสดุ คุยสนุกชอบทักมาถามว่าเจอพี่รหัสรึยัง</t>
  </si>
  <si>
    <t>เก้าene</t>
  </si>
  <si>
    <t>กาน semi</t>
  </si>
  <si>
    <t>น้ำ ได้ทำกิจกรรมกลุ่มร่วมกัน</t>
  </si>
  <si>
    <t>1.พี่นิว ene 2.พี่ไอซ์ene 3.พี่บีเฟิ้ด ene</t>
  </si>
  <si>
    <t>พี่ไอซ์ เป็นรุ่นพี่ที่พาไปถ่ายรูป แล้วก็เอาธงมาให้ถ่าย</t>
  </si>
  <si>
    <t>Kup</t>
  </si>
  <si>
    <t>เนียร์new</t>
  </si>
  <si>
    <t>เอิร์ท ce</t>
  </si>
  <si>
    <t>เตเต้ce</t>
  </si>
  <si>
    <t>ต้นหอมnew</t>
  </si>
  <si>
    <t>ไอซ์ce</t>
  </si>
  <si>
    <t>เตเต้ น่ารักดีสวยด้วย</t>
  </si>
  <si>
    <t>วินene จำชื่อไม่ได้ภาคโยธา กับเครื่องกล</t>
  </si>
  <si>
    <t>วิน เป็นพี่รหัส เท่ดี</t>
  </si>
  <si>
    <t>โอ TME</t>
  </si>
  <si>
    <t>มิ้น  TME</t>
  </si>
  <si>
    <t>เนย  TME</t>
  </si>
  <si>
    <t>น้ำขิง  TME</t>
  </si>
  <si>
    <t>มุ่ย  TME</t>
  </si>
  <si>
    <t>มุ่ย ได้รู้จักกับเพื่อนในสาขาต่อกันตอนเล่นบอร์ดเกมที่หอสมุด</t>
  </si>
  <si>
    <t>พี่เข้าปฐมนิเทศศ</t>
  </si>
  <si>
    <t>เจียเจีย ENV</t>
  </si>
  <si>
    <t>จีน่า ENV</t>
  </si>
  <si>
    <t>เบล ENV</t>
  </si>
  <si>
    <t>กันตา ครุ</t>
  </si>
  <si>
    <t>เมย์ ได้นั่งกินข้าวด้วยกันแล้วมีงานอดิเรกคล้ายๆกัน</t>
  </si>
  <si>
    <t>พี่เพรช,พี่ฟลุ๊ค,พี่นิว ENV</t>
  </si>
  <si>
    <t>พี่เพรช พาดำเนินกิจกรรมวันนี้</t>
  </si>
  <si>
    <t>น้อต เครื่องกล</t>
  </si>
  <si>
    <t>ดิวเครื่องกล</t>
  </si>
  <si>
    <t>กาย เป็นเพื่อนที่ดีให้คำปรึ</t>
  </si>
  <si>
    <t xml:space="preserve">ปอน me จูดี้ inc ต้นกล้า tme </t>
  </si>
  <si>
    <t>ปอน เอ็นเตอร์เทนดี</t>
  </si>
  <si>
    <t>เดฟ ภาค tme</t>
  </si>
  <si>
    <t>จา ภาค pe</t>
  </si>
  <si>
    <t>เบสท์ ภาค mce</t>
  </si>
  <si>
    <t xml:space="preserve">โฟกัส ภาค pe </t>
  </si>
  <si>
    <t>จา เป็นเพื่อนโรงเรียนเก่าเจอจากการแข่งเกมตอนช่วงมัธยม</t>
  </si>
  <si>
    <t>พี่บิงโก ภาค pe พี่ไข่มุก ภาค pe พี่ผ้าแพร</t>
  </si>
  <si>
    <t>พี่ริว ภาค mce เป็นรุ่นพี่ของโรงเรียนและคอบให้คำปรึกษาขอฃภาค pe บ่อยๆ</t>
  </si>
  <si>
    <t>เปรม วัสดุ</t>
  </si>
  <si>
    <t>อิง วัสดุ</t>
  </si>
  <si>
    <t>จ๊ะจ๋า คอม</t>
  </si>
  <si>
    <t>จ๊ะจ๋า รู้จุกกันเพราะนั่งข้างกันในกิจกรรมดอดจ์บอล</t>
  </si>
  <si>
    <t>พี่ตูน me พี่สายพิณ me พี่ปอนด์ me</t>
  </si>
  <si>
    <t>พี่วาโย เจอที่ฐานเรือ</t>
  </si>
  <si>
    <t>ภู TME</t>
  </si>
  <si>
    <t>มิ้นTME</t>
  </si>
  <si>
    <t>เปิดงาน เพื่อนชวนคุยและแลกข้อมูลกัน</t>
  </si>
  <si>
    <t>พี่เฟิร์สTME พี่เปรมTME พี่โอเว่นTME</t>
  </si>
  <si>
    <t>ได้รู้จักจากกิจกรรมนาฬิกา พี่เขาชวนคุยถามภาค ถามชื่อ และได้แลกข้อมูลวิชาการกัน</t>
  </si>
  <si>
    <t>ปอภาควิชาระบบควบคุมเเละเครื่่องมือวัด</t>
  </si>
  <si>
    <t>ฟิวinc</t>
  </si>
  <si>
    <t>ปลื้มinc</t>
  </si>
  <si>
    <t>ปุนinc</t>
  </si>
  <si>
    <t>เยน ทำท่านารูโตะ</t>
  </si>
  <si>
    <t>หงส์ น้้ำหวาน อาร์ท</t>
  </si>
  <si>
    <t>หงส์ พูดเยอะครับในลิฟท์</t>
  </si>
  <si>
    <t>Ok</t>
  </si>
  <si>
    <t>อันดา โยธา</t>
  </si>
  <si>
    <t>โอม โยธา</t>
  </si>
  <si>
    <t>เฟิรน โยธา</t>
  </si>
  <si>
    <t>อารม โยธา</t>
  </si>
  <si>
    <t>จีน โยธา</t>
  </si>
  <si>
    <t>_</t>
  </si>
  <si>
    <t>รู้จักจากbeyond เลยสนิทตัวติดตลอด</t>
  </si>
  <si>
    <t>พี่ตะวัน เกม สุข</t>
  </si>
  <si>
    <t>พี่พาเล่นสนุกดีครับ</t>
  </si>
  <si>
    <t>ปอ INC</t>
  </si>
  <si>
    <t>เจได INC</t>
  </si>
  <si>
    <t>ปลื้ม INC</t>
  </si>
  <si>
    <t>ปุน INC</t>
  </si>
  <si>
    <t>ฟิว INC</t>
  </si>
  <si>
    <t>ปอ เจอกันหลังจากถ่ายรูปเสร็จแล้ว ไปที่โรงอาหารได้กินข้าวกัน</t>
  </si>
  <si>
    <t>พี่ขนึ้ง พี่ทาม พี่มะเมี่ยว</t>
  </si>
  <si>
    <t>พี่มะเมี่ยว พี่เป็นพิธีกรหลักที่ดำเนินการกิจกรรมวันนี้</t>
  </si>
  <si>
    <t xml:space="preserve">หมิง ภาควิศวกรรมคอมพิวเตอร์ </t>
  </si>
  <si>
    <t>1.2 พอใจ ภาควิศวกรรมอุตสาหการ</t>
  </si>
  <si>
    <t xml:space="preserve">1.3 หอม ภาควิชาวิศวกรรมอุตสาหการ </t>
  </si>
  <si>
    <t>1.4 เปียนโน ภาควิชาวิศวกรรมอุตสาหการ</t>
  </si>
  <si>
    <t>1.5 โฟกัส ภาควิชาวิศวกรรมอุตสาหการ</t>
  </si>
  <si>
    <t>1.6 แป้ง สาขาวิศวกรรมอุตสาหการ</t>
  </si>
  <si>
    <t>พอใจ เจอกันตอนนั่งรอและคุยกันทำให้รู้จักกันและไปกินข้าวด้วยกัน</t>
  </si>
  <si>
    <t>ปิ่น เคมี ,หนุน โยธา, โบนัส อุตสาหการ</t>
  </si>
  <si>
    <t>พี่โบนัส เพราะพี่เขาพาเดินไปถ่ายภาพรวมรุ่น ช่วยคิดท่าเท่ๆให้</t>
  </si>
  <si>
    <t>ครับ</t>
  </si>
  <si>
    <t>โก้ วิศวะกรรมอิเล็กทรอนิกส์เเละโทรคมนาคม</t>
  </si>
  <si>
    <t>ธันวา วิศวะกรรมอิเล็กทรอนิกส์เเละโทรคมนาคม</t>
  </si>
  <si>
    <t>วันพุธ วิศวะกรรมอิเล็กทรอนิกส์เเละโทรคมนาคม</t>
  </si>
  <si>
    <t>มาร์ท วิศวะกรรมอิเล็กทรอนิกส์เเละโทรคมนาคม</t>
  </si>
  <si>
    <t>นนท์ วิศวะกรรมอิเล็กทรอนิกส์เเละโทรคมนาคม</t>
  </si>
  <si>
    <t>บีม วิศวะกรรมอิเล็กทรอนิกส์เเละโทรคมนาคม</t>
  </si>
  <si>
    <t>โก้ จากการไปเล่นกีฬาด้วยกันตอนเย็น</t>
  </si>
  <si>
    <t>เฟริส ไอซ์ เบส ซอกเกอร์</t>
  </si>
  <si>
    <t>ไอซ์ พูดคุยเล่น</t>
  </si>
  <si>
    <t>เอมเจ TME</t>
  </si>
  <si>
    <t>ไมตี TME</t>
  </si>
  <si>
    <t>หมู TME</t>
  </si>
  <si>
    <t>ปลื้ม เดินเข้าไปทักเเล้วสนิทกันเลย</t>
  </si>
  <si>
    <t>โอเว่น ฟิวส์ เชน</t>
  </si>
  <si>
    <t>โอเว่น เพราะพี่เค้าเป็นคนบอกกำหนดการ</t>
  </si>
  <si>
    <t>ใบเตย ภาควัสดุ</t>
  </si>
  <si>
    <t>ข้าวปั้น ภาคเครื่องกล</t>
  </si>
  <si>
    <t>แฮม ภาคเครื่องกล</t>
  </si>
  <si>
    <t>กีวี่ รู้จักผ่านกิจกรรมปฐมนิเทศ ประทับใจที่เพื่อนช่วยคิดเวลาคิดไรไม่ออก</t>
  </si>
  <si>
    <t>พี่เปา พี่ถุงข้าว พี่คิว พี่บาส</t>
  </si>
  <si>
    <t>พี่เปา จากกิจกรรมปฐมนิเทศ ประทับใจที่พี่เอเนอจี้ล้นไม่เบื่อ</t>
  </si>
  <si>
    <t>แทน เครื่องกล</t>
  </si>
  <si>
    <t>ทาม เครื่องกล</t>
  </si>
  <si>
    <t>บีม เครื่องกล</t>
  </si>
  <si>
    <t xml:space="preserve"> วิน เครื่องกล</t>
  </si>
  <si>
    <t>บีม เหตุการณ์ ผมใส่หมวกเหมือนบังโตแล้วบีมเข้ามาทัก</t>
  </si>
  <si>
    <t>พี่อาย พี่บอส ไม่รู</t>
  </si>
  <si>
    <t>อาย พี่เค้าแนะนำตัวด้านหน้าน้องๆ</t>
  </si>
  <si>
    <t>หอม pe</t>
  </si>
  <si>
    <t>หมู pe</t>
  </si>
  <si>
    <t>ทาม me</t>
  </si>
  <si>
    <t>ยูมาย kme</t>
  </si>
  <si>
    <t>รู้จักจากฐานกิจกรรม เพื่อนทำท่าทางตลกดี</t>
  </si>
  <si>
    <t>พี่บิงโก pe พี่เจเจ pe พี่น้ำ cpe</t>
  </si>
  <si>
    <t>พี่เจเจ พี่เค้ามาอธิบาย ว่า สโมสรทำอะไรบ้าง</t>
  </si>
  <si>
    <t>อ้อม ภาค อุตฯ</t>
  </si>
  <si>
    <t>ตูน ภาค เครื่องกล</t>
  </si>
  <si>
    <t>ซี ภาค เคมี</t>
  </si>
  <si>
    <t>เปม ภาค วัสดุฯ</t>
  </si>
  <si>
    <t>ไอช์ ภาค คอมฯ</t>
  </si>
  <si>
    <t>ตูน รู้จักกันในกิจกรรมฐาน</t>
  </si>
  <si>
    <t xml:space="preserve"> พี่ปอนด์ me พี่ตูน me. พี่สายพิณ me</t>
  </si>
  <si>
    <t>พี่โจนัท จากคณะเครื่องกล</t>
  </si>
  <si>
    <t>เกื้อ ภาควิชาวิศวกรรมอุตสาหการ</t>
  </si>
  <si>
    <t>ภูมิ ภาควิชาวิศวกรรมอุตสาหการ</t>
  </si>
  <si>
    <t>ดีดี ภาควิชาวิศวกรรมอุตสาหการ</t>
  </si>
  <si>
    <t>เวฟ ภาควิชาวิศวกรรมอุตสาหการ</t>
  </si>
  <si>
    <t>ซีเกมส์ ภาควิชาวิศวกรรมอุตสาหการ</t>
  </si>
  <si>
    <t>จัสติน ภาควิชาวิศวกรรมอุตสาหการ</t>
  </si>
  <si>
    <t>เวฟ คอยปาบอลช่วยกัน จากกิจกรรมฐาน</t>
  </si>
  <si>
    <t xml:space="preserve">พี่นัท พี่ฟิค พี่ดาว ภาควิชาวิศวกรรมอุตสาหการ </t>
  </si>
  <si>
    <t>พี่พั้น คอยดูแลและจัดแถวให้พวกผม จากกิจกรรมฐานยิงเรือ</t>
  </si>
  <si>
    <t>Namo INC</t>
  </si>
  <si>
    <t>Jean INC</t>
  </si>
  <si>
    <t>Bright CHE</t>
  </si>
  <si>
    <t>Arsia CHE</t>
  </si>
  <si>
    <t>I go to play basketball with bright and play badminton with Namo and Jean</t>
  </si>
  <si>
    <t xml:space="preserve">Bilk He is my Ex-senior code </t>
  </si>
  <si>
    <t>Pick and Bilk INC</t>
  </si>
  <si>
    <t>นะโม ภาควิศวกรรมคอมพิวเตอร์</t>
  </si>
  <si>
    <t>แทน ภาควิศวกรรมคอมพิวเตอร์</t>
  </si>
  <si>
    <t>ลูคัช ภาควิศวกรรมคอมพิวเตอร์</t>
  </si>
  <si>
    <t>จ๊ะจ๋า ภาควิศวกรรมคอมพิวเตอร์</t>
  </si>
  <si>
    <t>ไอ ภาควิศวกรรมคอมพิวเตอร์</t>
  </si>
  <si>
    <t>บีเจ ภาควิศวกรรมคอมพิวเตอร์</t>
  </si>
  <si>
    <t>นะโม รู้จักจากกิจกรรมของภาควิชา นะโมเป็นคนง่ายๆสบายๆชิวๆ แต่เขียนโค้ดเก่ง เรียนเก่ง</t>
  </si>
  <si>
    <t xml:space="preserve">พี่น้ำCPE พี่ธีCPE </t>
  </si>
  <si>
    <t>พี่บัตเตอร์ รู้จักจากกิจกรรมของภาค พี่เขาเป็นMCที่ตลกมากๆครับ</t>
  </si>
  <si>
    <t>เนม TME</t>
  </si>
  <si>
    <t>ธาน CPE</t>
  </si>
  <si>
    <t>โทนี่ TME</t>
  </si>
  <si>
    <t>มุ่ย TME</t>
  </si>
  <si>
    <t>ผักบุ้ง เจอกันวันสัมภาษณ์</t>
  </si>
  <si>
    <t>พี่ฟิว TME พี่โอเว่นTME  พี่เฟิร์สTME</t>
  </si>
  <si>
    <t>พี่ฟิว แนะนำแนวทาง</t>
  </si>
  <si>
    <t>มิก</t>
  </si>
  <si>
    <t>ปอนด์ ENE</t>
  </si>
  <si>
    <t>💀💀💀💀</t>
  </si>
  <si>
    <t>บีม CHE</t>
  </si>
  <si>
    <t>บีมจากCHE คนนี้คุยสนุก</t>
  </si>
  <si>
    <t>พี่ต่อรู้จักคนเดียวครับ</t>
  </si>
  <si>
    <t>ซีซาร์ MCE</t>
  </si>
  <si>
    <t>ออมสิน ME</t>
  </si>
  <si>
    <t>มิกกี้ ENE</t>
  </si>
  <si>
    <t>แพท INC</t>
  </si>
  <si>
    <t>ภู, We did activity named 12 AM together.</t>
  </si>
  <si>
    <t>แพรว, She gave me answer at the activity named 12 AM.</t>
  </si>
  <si>
    <t>แพรว PE,ICE,BANK</t>
  </si>
  <si>
    <t>1.1ยู 1.2ภู 1.3แซ็ค 1.4มิว 1.4เอิร์ธ</t>
  </si>
  <si>
    <t>ยู ไฟฟ้า</t>
  </si>
  <si>
    <t>แซ็ค อุตสาหการ</t>
  </si>
  <si>
    <t>มิว เคมี</t>
  </si>
  <si>
    <t>เอิร์ธ อุตสาหการ</t>
  </si>
  <si>
    <t>ยู กิจกรรม12นาฬิกา</t>
  </si>
  <si>
    <t>หมี,มะเหมี่ยว,กอฟ</t>
  </si>
  <si>
    <t>หมี พี่คุมน้องๆ</t>
  </si>
  <si>
    <t>Jia icpe</t>
  </si>
  <si>
    <t>Mo icpe</t>
  </si>
  <si>
    <t>Bonus cpe</t>
  </si>
  <si>
    <t>Naming icpe</t>
  </si>
  <si>
    <t>Ploy ME</t>
  </si>
  <si>
    <t>Ziw ME</t>
  </si>
  <si>
    <t>เจีย เจอกันตอนถ่ายภาพรวม</t>
  </si>
  <si>
    <t>จำชื่อพี่ๆไม่ได้ แต่พี่ๆสตาฟใจดีทุกคน</t>
  </si>
  <si>
    <t>จำชื่อพี่ๆไม่ได้</t>
  </si>
  <si>
    <t>นนท์ ME</t>
  </si>
  <si>
    <t>ภู ME</t>
  </si>
  <si>
    <t>โยโย่ ME</t>
  </si>
  <si>
    <t xml:space="preserve">พลอย ปฐมนิเทศวิศวะวันแรก </t>
  </si>
  <si>
    <t>อาย ปอนด์ ลีโอ ME</t>
  </si>
  <si>
    <t>อาย รับน้อง พี่ชายตลก</t>
  </si>
  <si>
    <t>Joule INC</t>
  </si>
  <si>
    <t>Smart INC</t>
  </si>
  <si>
    <t>Grace INC</t>
  </si>
  <si>
    <t>We did activities together.</t>
  </si>
  <si>
    <t>P' Baiyok share me how to life in KMUTT.</t>
  </si>
  <si>
    <t>ติน โต้  ปลื้ม ช้าง เหนือ มิก isee</t>
  </si>
  <si>
    <t>ออโต้ isee</t>
  </si>
  <si>
    <t>ช้าง isee</t>
  </si>
  <si>
    <t>ปลื้ม isee</t>
  </si>
  <si>
    <t>มิก isee</t>
  </si>
  <si>
    <t>เหนือ isee</t>
  </si>
  <si>
    <t>ติน กิจกรรมรับน้อง</t>
  </si>
  <si>
    <t>พี่มะเมี่ยว พี่นาย พี่เเชมป์</t>
  </si>
  <si>
    <t>มะเมี่ยว เป็นพิธีกร</t>
  </si>
  <si>
    <t>Fluke- INC</t>
  </si>
  <si>
    <t>Ice INC</t>
  </si>
  <si>
    <t>Putter- INC</t>
  </si>
  <si>
    <t>Auto- INC</t>
  </si>
  <si>
    <t>Nut INC</t>
  </si>
  <si>
    <t>Keng INC</t>
  </si>
  <si>
    <t>Fluke - ชวนให้นั่งด้วย</t>
  </si>
  <si>
    <t>พี่ที่จัดกิจกรรมจำชื่อไม่ได้ -ช่วยไม่ให้ผมหลงทางในมหาลัย</t>
  </si>
  <si>
    <t>พี่ที่เจอด้านหลังห้องประชุมตึกS12- แก้ปัญหาดารลงทะเบียนของผมให้</t>
  </si>
  <si>
    <t>อะตอม Ene</t>
  </si>
  <si>
    <t>สตางค์ mte</t>
  </si>
  <si>
    <t>นน fibo</t>
  </si>
  <si>
    <t>ไอรีน mte</t>
  </si>
  <si>
    <t>ผ้าแพร Eie</t>
  </si>
  <si>
    <t>รุ้จักสตางค์ จากกิจกรรมรับน้อง</t>
  </si>
  <si>
    <t>พี่เก็ต Eie พี่ภูผาEne พี่เฟรช ene</t>
  </si>
  <si>
    <t>รับน้อง พี่ๆน่ารักมาก</t>
  </si>
  <si>
    <t>ติณCPE</t>
  </si>
  <si>
    <t>ตุลย์CPE INTER</t>
  </si>
  <si>
    <t>ปาล์มCPE</t>
  </si>
  <si>
    <t>แพทCPE</t>
  </si>
  <si>
    <t>ฟางข้าวCPE</t>
  </si>
  <si>
    <t>รู้จักติณ เพราะติณชวนคุย</t>
  </si>
  <si>
    <t>พี่น้ามCPE พี่ปายCPE พี่ข้าวฟ่างCPE</t>
  </si>
  <si>
    <t>พี่เกียร์CPE รู้จักจากPRE FRESHY ประทับใจที่เสียงพี่เกียร์เหมือนแพะ</t>
  </si>
  <si>
    <t>เจเจ ไฟฟ้า</t>
  </si>
  <si>
    <t>ปั้น คอมพิวเตอร์</t>
  </si>
  <si>
    <t>แอ๊น ไฟฟ้า</t>
  </si>
  <si>
    <t>ฟาง ENE</t>
  </si>
  <si>
    <t>เพื่อนแอ๊น รู้จักจากกิจกรรมเกมยิงเรือ เพื่อนเป็นคนเฟรนลี่เป็นคนตลก เลยชอบที่ได้คุยกับเพื่อน</t>
  </si>
  <si>
    <t>บิว CPE นาย ENE น้าม CPE</t>
  </si>
  <si>
    <t>บิว CPE เพราะพี่บิวน่ารัก รู้จักพี่บิวตั้งแต่กิจกรรมcomcamp แล้วประทับใจในความเก่งในการเป็นMc</t>
  </si>
  <si>
    <t>ซีน ภาคอุตสาหการ</t>
  </si>
  <si>
    <t>Shawn ภาค AE</t>
  </si>
  <si>
    <t>เหงี่ยน CPE</t>
  </si>
  <si>
    <t>เป้ CPE</t>
  </si>
  <si>
    <t>Kaka ภาคเคมี</t>
  </si>
  <si>
    <t>Shawn เจอกันฐาน pm am ชอบสไตล์เขา เท่มากๆๆ</t>
  </si>
  <si>
    <t>ตูน ME. , น้ำ CPE , เกียร์ CPE</t>
  </si>
  <si>
    <t>พี่ตูน เพราะเขารุปหล่อซาหย่อซูดเด๋</t>
  </si>
  <si>
    <t>เกรซ เคมี</t>
  </si>
  <si>
    <t>ออม เคมี</t>
  </si>
  <si>
    <t>เดียว เคมี</t>
  </si>
  <si>
    <t>เนสท์ เคมี</t>
  </si>
  <si>
    <t>แพนเค้ก เคมี</t>
  </si>
  <si>
    <t>เกรซ กิจกรรมฐาน</t>
  </si>
  <si>
    <t>โบนัส เคมี ไออุ่น เคมี กาฟิว เคมี</t>
  </si>
  <si>
    <t>โบนัส กิจกรรมฐาน</t>
  </si>
  <si>
    <t>1.1.โอปอ 1.2.อู้ด.3.ธันวา 1.4.นาย 1.5.ใบหยก</t>
  </si>
  <si>
    <t>โอปอ INC</t>
  </si>
  <si>
    <t>อู้ด CE</t>
  </si>
  <si>
    <t>นาย ENE</t>
  </si>
  <si>
    <t>ใบหยก ME</t>
  </si>
  <si>
    <t>โอปอ เรียนภาคเดียวกัน</t>
  </si>
  <si>
    <t>พี่คิตตี้INC พี่เอยINC พี่เปรมTME</t>
  </si>
  <si>
    <t>พี่คิตตี้ ทักไปสอบถามการเรียน</t>
  </si>
  <si>
    <t>ไอซ์ ME</t>
  </si>
  <si>
    <t>ออม ME</t>
  </si>
  <si>
    <t>บอล ME</t>
  </si>
  <si>
    <t>ไอซ์ ME เดินไปไหนด้วยกัน</t>
  </si>
  <si>
    <t>พี่ภูมิ ME พี่บุ๋น ME พี่หมิง ME</t>
  </si>
  <si>
    <t>พี่เอม ช่วนสอนเล่นกิจกรรม</t>
  </si>
  <si>
    <t>โน๊ต ไฟฟ้า</t>
  </si>
  <si>
    <t>เพชร เครื่องมือวัด</t>
  </si>
  <si>
    <t>โฟกัส เซมื</t>
  </si>
  <si>
    <t>ภูริช ไฟฟ้า</t>
  </si>
  <si>
    <t>เพชร กิจกรรมที่ปาบอล เขาเตะบอลเเล้วโดนผ่าเขา</t>
  </si>
  <si>
    <t>พี่พี ไฟฟ้า พี่บีม ไฟฟ้า พี่ปิง ไฟฟ้า</t>
  </si>
  <si>
    <t>พี่พี ปาบอล พี่เเกได้เกรด3.6</t>
  </si>
  <si>
    <t>ราเชล Semi</t>
  </si>
  <si>
    <t>มี่ ENE</t>
  </si>
  <si>
    <t>เบล ENE</t>
  </si>
  <si>
    <t>หยง ENE</t>
  </si>
  <si>
    <t>พีค ENE</t>
  </si>
  <si>
    <t>เนย ene</t>
  </si>
  <si>
    <t>มี่ เจอกันวันแรกที่ปฐมนิเทศ</t>
  </si>
  <si>
    <t>พี่โบ้ท ENE พี่ตะวัน ENE พี่โบนัส ENE</t>
  </si>
  <si>
    <t>พี่โบ้ท เป็นพี่รหัส ให้คำใบ้โคตรยาก</t>
  </si>
  <si>
    <t>1. Mai 2. Nammon 3. Sense 4.Bank 5.Sophia</t>
  </si>
  <si>
    <t>Mai Che</t>
  </si>
  <si>
    <t>Sense che</t>
  </si>
  <si>
    <t>Bank che</t>
  </si>
  <si>
    <t>Sophia che</t>
  </si>
  <si>
    <t>Mai che Namon che</t>
  </si>
  <si>
    <t>Mai che Nammon che</t>
  </si>
  <si>
    <t xml:space="preserve">Mai Nammon che </t>
  </si>
  <si>
    <t>Dhammaraksa Residence Hall 1</t>
  </si>
  <si>
    <t>ปอนด์ tme</t>
  </si>
  <si>
    <t>หยก นั่งอยู่ใกล้ๆเลยทักจากนั้นก็ได้คุยยาวๆเพราะอยู่ภาคเดียวกัน</t>
  </si>
  <si>
    <t>พี่โอเว่น tme พี่เฟิส tme พี่ฟิว tme</t>
  </si>
  <si>
    <t>พี่ต้นข้าว ผมสายพี่เขาเลยโทรตามให้มาเข้าค่ายจากนั้นก็โดนโทรตามบ่อยจนพี่เขาจำได</t>
  </si>
  <si>
    <t>1 ชอน ae 2 บาส ae 3 ฟลุ๊ค inc 4 อาร์ม inc 5 ออโต้ inc 6. เมธา ame</t>
  </si>
  <si>
    <t xml:space="preserve"> ชอน ภาค ae</t>
  </si>
  <si>
    <t>บาส ภาค ae</t>
  </si>
  <si>
    <t>ฟลุ๊ค inc</t>
  </si>
  <si>
    <t xml:space="preserve"> ออโต้ inc</t>
  </si>
  <si>
    <t>จากกิจกรรม ที่ไปฐานทั้ง 5 ฐาน</t>
  </si>
  <si>
    <t>พี่นัท ene  พี่ อาร์ท inc พี่ปิ๊ก inc</t>
  </si>
  <si>
    <t>พี่นัท จากภาค ไฟฟ้าที่ได้รู้จักใน hang on</t>
  </si>
  <si>
    <t>ออย CPE(อินเตอร์)</t>
  </si>
  <si>
    <t>เชน CPE</t>
  </si>
  <si>
    <t>นะโม CPE</t>
  </si>
  <si>
    <t>ภูมิ CPE</t>
  </si>
  <si>
    <t>นะโม เจอกันจากกิจกรรมในวันปฐมนิเทศเมื่อวันที่25 กรกฎาคม ประทับใจที่นะโมเป็นคนเฟรนลี่ คุยเก่ง อัธยาศัยดี ช่วยเหลือเพื่อนได้ในกอจกรรมต่างๆ</t>
  </si>
  <si>
    <t>พี่ทาม CPE พี่ข้าวฟ่าง CPE พี่ไอซ์ CPE</t>
  </si>
  <si>
    <t>พี่ทาม เจอกันในงานปฐมนิเทศพอดีผมหลงทางพี่เขาเลยช่วยพาไปในที่ๆเพื่อนทำกิจกรรมกันอยู่ จนผมได้เข้าร่วมกิจกรรมจนสำเร็จ</t>
  </si>
  <si>
    <t>Chok ene</t>
  </si>
  <si>
    <t>Milk ene</t>
  </si>
  <si>
    <t>Moji ene</t>
  </si>
  <si>
    <t>Best ene</t>
  </si>
  <si>
    <t>Ming ene</t>
  </si>
  <si>
    <t>Milk : eating together</t>
  </si>
  <si>
    <t>P’Benz? : helping everything about this activity</t>
  </si>
  <si>
    <t>I don’t know anyone btw</t>
  </si>
  <si>
    <t>KMUTT Library Building</t>
  </si>
  <si>
    <t>น้ำเหนือ อุตสาหการ</t>
  </si>
  <si>
    <t>นาย ยานยนต์</t>
  </si>
  <si>
    <t>ตอง ยานยนต์</t>
  </si>
  <si>
    <t>โน้ต รู้จักจากกิจกรรมดอดบอล</t>
  </si>
  <si>
    <t>สายพิน เครื่อง บอส เครื่องกล ติ๊ก inc</t>
  </si>
  <si>
    <t>บอส me รับน้องสนุก</t>
  </si>
  <si>
    <t xml:space="preserve">อตอม </t>
  </si>
  <si>
    <t>ฟูจิ CHE</t>
  </si>
  <si>
    <t>วี CPE</t>
  </si>
  <si>
    <t>เซน ME</t>
  </si>
  <si>
    <t>บูม ISEE</t>
  </si>
  <si>
    <t>ดิสนีย์ ENV</t>
  </si>
  <si>
    <t>เดินเจอกันตอนกินข้าว</t>
  </si>
  <si>
    <t>ขอโทดสังคมครับผมไม่รู้จัก</t>
  </si>
  <si>
    <t>ตูน เจอกันใน discord</t>
  </si>
  <si>
    <t>more than 5</t>
  </si>
  <si>
    <t>Namo CPE</t>
  </si>
  <si>
    <t>Putt CPE</t>
  </si>
  <si>
    <t>Chan CPE</t>
  </si>
  <si>
    <t>Painter</t>
  </si>
  <si>
    <t>คุ้ม CPE</t>
  </si>
  <si>
    <t xml:space="preserve">ดินเผา ภูภา แคท มีน่า </t>
  </si>
  <si>
    <t>คุ้ม/นะโม เจอกันวันปฐมนิเทศ</t>
  </si>
  <si>
    <t>พี่มะเหมี่ยว รับจบทุกงาน</t>
  </si>
  <si>
    <t>พี่นาย ENE, บิว CPE, มะเหมี่ยว CE</t>
  </si>
  <si>
    <t>RO.04 Authorization Form</t>
  </si>
  <si>
    <t>1.ปลื้ม ภาคไฟฟ้า 2.หยง อิเล็ก 3.มี่ อิเล็ก4.ติ๊ดต่าง อิเล็ก 5.เบล อิเล็ก</t>
  </si>
  <si>
    <t>หยง อิเล็ก</t>
  </si>
  <si>
    <t>มี่ อิเล็ก</t>
  </si>
  <si>
    <t>ติ๊ดต่าง อิเล็ก</t>
  </si>
  <si>
    <t>เบล อิเล็ก</t>
  </si>
  <si>
    <t>กีตาร์ อิเล็ก</t>
  </si>
  <si>
    <t>หยง ร่าเริง เบี้ยว ตลก เป็นกันเอง น่ารัก กิจกรรมที่ทำให้ประทับใจคือตอนที่ได้รับรู้ว่าเพื่อนก็มองว่าเราเป็นเพื่อนสนิทเช่นเดียวกัน</t>
  </si>
  <si>
    <t>หนุน(MC) , เฟอร์ริน, มะเหมี่ยว (MC)</t>
  </si>
  <si>
    <t>เนย จากกิจกรรมตามหาสายรหัส</t>
  </si>
  <si>
    <t>ปิ่นมุก CPE</t>
  </si>
  <si>
    <t>ครีม CPE</t>
  </si>
  <si>
    <t>นิ้ง CPE รู้จักกันในกิจกรรมของภาคคอม ประทับใจที่นิ่งเป็นคนใจเย็น</t>
  </si>
  <si>
    <t>พี่ไอซ์ พี่ทาม พี่จีน</t>
  </si>
  <si>
    <t>พี่ไอซ์ CPE รู้จักเพราะพี่เขาเป็นพิธีกร</t>
  </si>
  <si>
    <t>เดฟ TME</t>
  </si>
  <si>
    <t>อันเต TME</t>
  </si>
  <si>
    <t xml:space="preserve">ปาริ TME เอ็มTME เปรมTME อิงTME อิ่มเอิ่มTME </t>
  </si>
  <si>
    <t>ปลื้ม รู้จักปลื้มจากสัมภาษณ์ภาค</t>
  </si>
  <si>
    <t>พี่โอเว่นTME พี่ฟิวTME พี่เฟิสTME</t>
  </si>
  <si>
    <t>พี่ฟางฟางรู้จักจากค่ายTUE WELCOME เหตุการณ์ประทับใจคือเขามาช่วยเหลือในเรื่องต่างๆภายในค่าย</t>
  </si>
  <si>
    <t>เพ้นเตอร์ CPE</t>
  </si>
  <si>
    <t>แคร์ CPE</t>
  </si>
  <si>
    <t>เพ้น รู้จักมาจากตอนสัมภาษณ์และได้เป็นรูมเมทหอในด้วยกัน</t>
  </si>
  <si>
    <t>บิว CPE, นาย ENE, มะเหมี่ยว CE</t>
  </si>
  <si>
    <t>ภูผา รู้จักจาก Dodgeball</t>
  </si>
  <si>
    <t>แพท inc</t>
  </si>
  <si>
    <t>หยง ene</t>
  </si>
  <si>
    <t>พีค ene</t>
  </si>
  <si>
    <t>เบล ene</t>
  </si>
  <si>
    <t>แฟงค์ semi</t>
  </si>
  <si>
    <t>เป่า ene ป๋อ ene ติ๊ดต่าง ene เนย ene</t>
  </si>
  <si>
    <t>เป่า รู้จักจากตอนไปสัมภาษณ์</t>
  </si>
  <si>
    <t>พี่ปรางค์ พี่โชคดี พี่ปุณณ์ ene</t>
  </si>
  <si>
    <t>รู้จากค่าย frist meet ene ชอบช่วงบูมกับเฉลยพี่รหัส</t>
  </si>
  <si>
    <t>ธารณ์ CPE</t>
  </si>
  <si>
    <t>บาส CE</t>
  </si>
  <si>
    <t>มาวิน CPE</t>
  </si>
  <si>
    <t>เอิร์ท CPE</t>
  </si>
  <si>
    <t>บาส รู้จักเพราะเพื่อนเข้ามาทัก ในฐานดอชบอล</t>
  </si>
  <si>
    <t>วิทย์ CPE เทอร์โบ CPE บัตเตอร์ CPE</t>
  </si>
  <si>
    <t>พี่ลัคกี้ จากการเล่นยิงเรือ</t>
  </si>
  <si>
    <t>เป๋าเป่า ene</t>
  </si>
  <si>
    <t>มี่ ene</t>
  </si>
  <si>
    <t>ราเชล semi</t>
  </si>
  <si>
    <t>ติ๊ดต่าง ene</t>
  </si>
  <si>
    <t>ราเชล จากการเมคเฟรนด์ในไลน์ เพื่อนเฟรนด์ลี่มากๆ</t>
  </si>
  <si>
    <t>พี่ไอซ์ พี่กานต์ พี่ปั๊ก</t>
  </si>
  <si>
    <t>พี่โชคดี คอยสอนการลงทะเบียนต่างๆและแนะนำการเรียน</t>
  </si>
  <si>
    <t>เร่อ tme</t>
  </si>
  <si>
    <t>ตี๋ tme</t>
  </si>
  <si>
    <t>ภูมิ tme</t>
  </si>
  <si>
    <t>ไมตี้ tme</t>
  </si>
  <si>
    <t>เกมจิ tme</t>
  </si>
  <si>
    <t>เร่อ นั่งข้างๆ ดูกล้ามใหญ่ดี</t>
  </si>
  <si>
    <t>มังกรtme ซือtme เชนtme</t>
  </si>
  <si>
    <t>มังกร ช่วยให้คำใบ้</t>
  </si>
  <si>
    <t>กฤต EE</t>
  </si>
  <si>
    <t>โน้ต EE</t>
  </si>
  <si>
    <t>คอปเปอร์ ENV</t>
  </si>
  <si>
    <t>คิม  inc</t>
  </si>
  <si>
    <t>คิม รู้จักจากกิจกรรม12นาฬิกา</t>
  </si>
  <si>
    <t>พี่บีม EE พี่แฮม EE พี่มะเหมี่ยว</t>
  </si>
  <si>
    <t>พี่บีม คอยดูแลเพื่อนๆ</t>
  </si>
  <si>
    <t>เจส ยานยนต์</t>
  </si>
  <si>
    <t>เจสรู้จักจากกิจกรรมเวลา ให้แลกไอจี</t>
  </si>
  <si>
    <t>จูดี้ inc ต้นกล้า tme ปอนนี่me</t>
  </si>
  <si>
    <t>จูดี้ รู้จักจากการที่พี่นำทางไปห้องต่างๆๆ</t>
  </si>
  <si>
    <t>โทนี่  TME</t>
  </si>
  <si>
    <t>สตังค์ CPE</t>
  </si>
  <si>
    <t>มาร์วิน CPE</t>
  </si>
  <si>
    <t>โทนี่ ได้อยู่กลุ่มเดียวกัน ได้เดินเล่นด้วยกัน</t>
  </si>
  <si>
    <t>เฟม จากกิจกรรมค่ายคอม พี่สอนเขียนโค้ด</t>
  </si>
  <si>
    <t>เจนจิ ภาควิชาวิศวกรรมเครื่องมือเเละวัสดุ</t>
  </si>
  <si>
    <t>ตี๋ ภาควิชาเครื่องมือเเละวัสดุ</t>
  </si>
  <si>
    <t>แทน ภาควิชาวิศวกรรมคอมพิวเตอร์</t>
  </si>
  <si>
    <t>ไมค์ตี้ ภาควิชาเครื่องมือเเละวัสดุ</t>
  </si>
  <si>
    <t>ภูมิ ภาควิชาเครื่องมือเเละวัสดุ</t>
  </si>
  <si>
    <t>เจนจิ รู้จักจากกิจกรรมปฐมนิเทศคณะวิศวกรรม โดยเพื่อนนั่งอยู่ด้านหลังเเล้วหิวข้าวเลยชวนไปกินข้าว</t>
  </si>
  <si>
    <t>ฟิวส์ โอเว่น เเพร</t>
  </si>
  <si>
    <t>พี่โอเว่น รู้จักจากกิจกรรมปฐมนิเทศรุ่นพี่เป็นผู้เเนะนำรายวิชาต่างๆให้</t>
  </si>
  <si>
    <t xml:space="preserve">ภู ฟักแฟง เป้ เน็ก ยูริ </t>
  </si>
  <si>
    <t>ภู ผลิตชิ้นส่วนยานยนต์และอากาศยาน</t>
  </si>
  <si>
    <t>ยูริ ผลิตชิ้นส่วนยานยนต์และอากาศยาน</t>
  </si>
  <si>
    <t>เป้ ผลิตชิ้นส่วนยานยนต์และอากาศยาน</t>
  </si>
  <si>
    <t>เน็ก ผลิตชิ้นส่วนยานยนต์และอากาศยาน</t>
  </si>
  <si>
    <t>ฟักแฟง ผลิตชิ้นส่วนยานยนต์และอากาศยาน</t>
  </si>
  <si>
    <t>พี่โอเว่น วิศวกรราผลิตชิ้นส่วนยานยนต์และอากาศยาน</t>
  </si>
  <si>
    <t>รู้จักจากสาขาเดียวกัน</t>
  </si>
  <si>
    <t>พี่โอเว่น ภาควิชาเดียวกัน</t>
  </si>
  <si>
    <t>พี่โอเว่น สนิทเฟรนลี่ เป็นกันเอง</t>
  </si>
  <si>
    <t>แอม ENV</t>
  </si>
  <si>
    <t>ปลาทู ENV</t>
  </si>
  <si>
    <t>หนูแหวน ENV</t>
  </si>
  <si>
    <t>เบรฟ CE</t>
  </si>
  <si>
    <t>ได้รู้จักกับปลาทูตอนขึ้นลิฟท์ บังเอิญเจอภาควิชาเดียวกันที่ค่ายเลยตัวติดกันมาตั้งแต่ตอนนั้น</t>
  </si>
  <si>
    <t>พี่นิว ENV, พี่ฟลุ๊ค ENV ,พี่เพชร ENV</t>
  </si>
  <si>
    <t>พี่เพชร เจอที่ลงทะเบียนวันถ่ายรูปของภาค</t>
  </si>
  <si>
    <t>ข้าวสวย mce</t>
  </si>
  <si>
    <t>มะเหมี่ยว mce</t>
  </si>
  <si>
    <t>ฟาน pe</t>
  </si>
  <si>
    <t>นั่งแถวเดียวกับฟานตอนกิจกรรมปฐมนิเทส</t>
  </si>
  <si>
    <t>พี่บิงโก พี่แม็ก พี่มะเหมี่ยว</t>
  </si>
  <si>
    <t>พี่มะเหมี่ยว เป็นmc ประทับใจวิธีการพูดค่ะ</t>
  </si>
  <si>
    <t>1.1มี่ ENE 1.2 หยงENE 1.3 เบลENE 1.4เนยENE 1.5 ติ๊ดต่างENE</t>
  </si>
  <si>
    <t>หยงene</t>
  </si>
  <si>
    <t>เบลene</t>
  </si>
  <si>
    <t>เนยene</t>
  </si>
  <si>
    <t>ติ๊ดต่างene</t>
  </si>
  <si>
    <t>เป๋าเป่าene</t>
  </si>
  <si>
    <t>ติ๊ดต่างene รู้จักเพราะอยุ่คณะเดียวกันเพื่อนเฟรนลี่มาก</t>
  </si>
  <si>
    <t>1.พี่เฟอรีน ene 2.เบ้นene3.ใบเฟิร์นene</t>
  </si>
  <si>
    <t>เฟอรีน ene เป็นรุ่นพี่คณะเดียวกันเค้าคอยมาดูแลเวลาทำฐานกิจกรรม</t>
  </si>
  <si>
    <t>มิ้ลค์ pe</t>
  </si>
  <si>
    <t>นิชา pe</t>
  </si>
  <si>
    <t>นิว กิจกรรมปฐมนิเทศ</t>
  </si>
  <si>
    <t>ยังไม่มีค่ะ เสียใจมาก</t>
  </si>
  <si>
    <t>พี่แตงโม จากค่ายติวเวล</t>
  </si>
  <si>
    <t>1.1 มิ้ว อิเล็ก</t>
  </si>
  <si>
    <t>1.2 โมจิ อิเล็ก</t>
  </si>
  <si>
    <t>1.3 หมิง อิเล็ก</t>
  </si>
  <si>
    <t>1.4 อลิน อิเล็ก</t>
  </si>
  <si>
    <t>1.5 เบส อิเล็ก</t>
  </si>
  <si>
    <t>เจอกันจากการทำกิจกรรม</t>
  </si>
  <si>
    <t>เฟส ต้นน้ำ  ตาต้า</t>
  </si>
  <si>
    <t>เจอพี่ตอนทำค่ายene</t>
  </si>
  <si>
    <t>ผักกาด TME</t>
  </si>
  <si>
    <t>ปาริ TME ค่าย tue welcome ทำฐานด้วยกัน</t>
  </si>
  <si>
    <t>พี่โอเว่น TME พี่เอนเดอร์ TME พี่เปรม  TME</t>
  </si>
  <si>
    <t>พี่โอเว่น TME รับน้อง</t>
  </si>
  <si>
    <t>โกโก้ อิเล็กทรอนิกส์และโทรคมนาคม</t>
  </si>
  <si>
    <t>วันพุธ อิเล็กทรอนิกส์และโทรคมนาคม</t>
  </si>
  <si>
    <t>แนว อิเล็กทรอนิกส์และโทรคมนาคม</t>
  </si>
  <si>
    <t>โอสด อิเล็กทรอนิกส์และโทรคมนาคม</t>
  </si>
  <si>
    <t>ธันวา อิเล็กทรอนิกส์และโทรคมนาคม</t>
  </si>
  <si>
    <t>ธันวา รู้จักจากกิจกรรม 9นาฬิกา</t>
  </si>
  <si>
    <t>ติ๊ต่าง ene</t>
  </si>
  <si>
    <t>ราเชล ene</t>
  </si>
  <si>
    <t>พีค เลานเกมเ้วยกันสนุกมาก</t>
  </si>
  <si>
    <t>มะเหมี่ยว เฟอรีน เตย์</t>
  </si>
  <si>
    <t>เตย์ รู้จักเนื่องจากเป็นตากล้อง</t>
  </si>
  <si>
    <t>ตะวัน ME</t>
  </si>
  <si>
    <t>อินดี้ ME</t>
  </si>
  <si>
    <t>กิจกรรมปฐมนิเทศเมื่อวาน กิจกรรม เข็มนาฬิกา ได้ทำความรู้จักและพูดคุยกัน</t>
  </si>
  <si>
    <t>พี่คิว พี่ปอนด์ พี่อาย All ME</t>
  </si>
  <si>
    <t>รุ่นพี่ได้ทำการแนะนำตัวแบบสุดโต่ง เสียงดังมากมาก แต่ดูขึมยิ่งใหญ่ แบบดูน่าเชื่อถือได้ ทำให้รู้ว่ารุ่นพี่สามารถเชื่อถือได้</t>
  </si>
  <si>
    <t>นาเดียร์ tme</t>
  </si>
  <si>
    <t>แจน ce</t>
  </si>
  <si>
    <t>ไอซ์ we</t>
  </si>
  <si>
    <t>อู๋ me</t>
  </si>
  <si>
    <t>นาเดียร์ เจอเพราะอยู่ในกลุ่มเดียวกัน เจอกันตอนเกมนาฬิกา</t>
  </si>
  <si>
    <t>พี่ฟิว tme พี่อาย me พี่สายพิณ me</t>
  </si>
  <si>
    <t>พี่ฟิว กิจกรรมปฐมนิเทศ</t>
  </si>
  <si>
    <t>พน pe</t>
  </si>
  <si>
    <t>เเบงค์ pe</t>
  </si>
  <si>
    <t>น้ำมนต์ pe</t>
  </si>
  <si>
    <t>ชมพู่ pe</t>
  </si>
  <si>
    <t>ต้นบุญ pe พลอย pe</t>
  </si>
  <si>
    <t>พน เเละ เเบงค์เเละ น้ำมนต์ นั่งฟังเพลงด้วยกันครับ</t>
  </si>
  <si>
    <t>จำชื่อไม่ได้พี่เเต่ประทับใจเลยครับประสานเสียง ดรัมเเล้วก้เชียลีดเด้อ</t>
  </si>
  <si>
    <t>พี่ไอซ์ครับ มาจากรรเดียวกันฮาจัด</t>
  </si>
  <si>
    <t>เจ้มpe</t>
  </si>
  <si>
    <t>ฝ้ายpe</t>
  </si>
  <si>
    <t>ฟ้าpe</t>
  </si>
  <si>
    <t>ออมสินpe</t>
  </si>
  <si>
    <t>ไนท์pe</t>
  </si>
  <si>
    <t>โทนี่p</t>
  </si>
  <si>
    <t>รู้จักฟ้าจากกิจกรรมแดชบอล</t>
  </si>
  <si>
    <t>เจเจpe เฟยpe ฮงpe</t>
  </si>
  <si>
    <t>ให้คำแนะนำในฐานกิตกรรม</t>
  </si>
  <si>
    <t>เปียโน อุต</t>
  </si>
  <si>
    <t>โฟกัส อุต</t>
  </si>
  <si>
    <t>มิว เครื่องมือ</t>
  </si>
  <si>
    <t>แพนด้า เคมี</t>
  </si>
  <si>
    <t>หมู อุต</t>
  </si>
  <si>
    <t>เปียโน รู้จักจากกิจกรรมปฐมนิเวศ</t>
  </si>
  <si>
    <t>น้ำเคมี  เตยอุต  แบงค์เครื่องมือ</t>
  </si>
  <si>
    <t>ครีม เป็นสตาฟให้คำปรึษา</t>
  </si>
  <si>
    <t>จ๋าcpe</t>
  </si>
  <si>
    <t>ไอซ์cpe</t>
  </si>
  <si>
    <t>จัสตินcpe</t>
  </si>
  <si>
    <t>นิ้งcpe</t>
  </si>
  <si>
    <t>เนย ไอซ์ จัสติน รู้จักกันเพราะนั่งmrt กลับบ้านด้วยกัน</t>
  </si>
  <si>
    <t>cpe พี่กอบัว พี่ไอซ์ พี่ข้าวฟ่าง</t>
  </si>
  <si>
    <t>พี่กอบัวกับพี่ไอซ์ คอยปรึกษาเรื่องเรียนและเรื่องกิจกรรมต่างๆ</t>
  </si>
  <si>
    <t>โช ยานยนต์</t>
  </si>
  <si>
    <t>โช ปฐมนิเทศ ตลก</t>
  </si>
  <si>
    <t>เปา ถุงข้าว ไวท์ เครื่องกล</t>
  </si>
  <si>
    <t>ถุงข้าว ปฐมนิเทศ หัวทอง</t>
  </si>
  <si>
    <t>จิ๊กซอว์ PE</t>
  </si>
  <si>
    <t>ชมพู่ PE</t>
  </si>
  <si>
    <t>ฟ้า PE</t>
  </si>
  <si>
    <t>ออมสิน PE</t>
  </si>
  <si>
    <t>ไนท์ PE</t>
  </si>
  <si>
    <t>จิ๊กซอว์ รู้จักผ่านกิจกรรมปฐมนิเทศ</t>
  </si>
  <si>
    <t xml:space="preserve">พี่เจเจ PE  เฟยPE  ฮงPE </t>
  </si>
  <si>
    <t>พี่เจเจ PE รู้จักจากกิจกรรมปฐมนิเทศ สโมสรวิศวะ</t>
  </si>
  <si>
    <t>จิ ene</t>
  </si>
  <si>
    <t>หมิง cpe เจอจากกิจกรรมวันที่ 25 ที่ให้กระดาษนาฬิกามาค่า ได้ไปกินข้าวกลางวันกับเพื่อนคนนั้นต่อ</t>
  </si>
  <si>
    <t>พี่ไอซ์ พี่โชคดี พี่โฟร์</t>
  </si>
  <si>
    <t>พี่ไอซ์เป็นพี่ที่พาไปถ่ายรูปค่ะ</t>
  </si>
  <si>
    <t>เจน อิเล็ก</t>
  </si>
  <si>
    <t>นานะ อิเล็ก</t>
  </si>
  <si>
    <t>ก็อบแก็บ อิเล็ก</t>
  </si>
  <si>
    <t>คอปเตอร์ เซมิ</t>
  </si>
  <si>
    <t>อิ่ม เซมิ</t>
  </si>
  <si>
    <t>ก็อบแก็บ จากene first meet เพื่อนอยู่กลุ่มเดียวกัน active มากก</t>
  </si>
  <si>
    <t>ฟ้าใส ene ทิน ene ทุม ene</t>
  </si>
  <si>
    <t>พี่ฟ้าใส รู้จักเพราะเป็นพี่รหัส</t>
  </si>
  <si>
    <t xml:space="preserve"> ก้าว TME</t>
  </si>
  <si>
    <t>วิน TME</t>
  </si>
  <si>
    <t>เฟรช TME</t>
  </si>
  <si>
    <t>ตัง TME</t>
  </si>
  <si>
    <t>หนึ่ง TME</t>
  </si>
  <si>
    <t>ชิดรีม ครุศาสตร์</t>
  </si>
  <si>
    <t>ตอนกินข้าวพักเที่ยง</t>
  </si>
  <si>
    <t>โอเว่น ฟิว เชน TME</t>
  </si>
  <si>
    <t>รวมตัวใต้อาคารกิจกรรมรับน้อง</t>
  </si>
  <si>
    <t xml:space="preserve">เป้ย เป้ย chemical engineering </t>
  </si>
  <si>
    <t xml:space="preserve">เชียร์ chemical engineering </t>
  </si>
  <si>
    <t xml:space="preserve">กาย chemical engineering </t>
  </si>
  <si>
    <t xml:space="preserve">ไอส์ chemical engineering </t>
  </si>
  <si>
    <t xml:space="preserve">เกรส chemical engineering </t>
  </si>
  <si>
    <t>เชียร์ ได้ไปกินข้าวด้วยกัน เป็นคนนิสัยดี</t>
  </si>
  <si>
    <t xml:space="preserve">Eating with friends </t>
  </si>
  <si>
    <t xml:space="preserve">เชียร์ chemical engineering 
เป้ยๆ chemical engineering </t>
  </si>
  <si>
    <t>RO.01 General Request Form</t>
  </si>
  <si>
    <t>Not joining activities</t>
  </si>
  <si>
    <t>ซีเกม อุตสาหการ</t>
  </si>
  <si>
    <t>ธันวา อุตสาหการ</t>
  </si>
  <si>
    <t>เกื้อ อุตสาหการ</t>
  </si>
  <si>
    <t>จัสติน อุตสาหการ</t>
  </si>
  <si>
    <t>มิก ไฟฟ้า</t>
  </si>
  <si>
    <t xml:space="preserve">ซีเกม จากการเข้าร่วมกิจกรรมปฐมนิเทศ มจธ </t>
  </si>
  <si>
    <t>ภูมิ พลอย กิต อุตสาหการ</t>
  </si>
  <si>
    <t>ภูมิ จากการพูดคุยกับน้องในงานปฐมนิเทศ วิศวะ</t>
  </si>
  <si>
    <t>1.1ซุง 1.2 เอ็ม 1.3คิว 1.4นิว 1.5 กาย</t>
  </si>
  <si>
    <t>ซุง SEM</t>
  </si>
  <si>
    <t>เอ็ม SEM</t>
  </si>
  <si>
    <t>คิว ENE</t>
  </si>
  <si>
    <t>นิว ENE</t>
  </si>
  <si>
    <t>กาย ENE</t>
  </si>
  <si>
    <t>นั่งข้างกัน ไม่มี</t>
  </si>
  <si>
    <t>พี่ ลัคกี้ ene พี่ เบียร์ ene พี่ ชมพู่ ene</t>
  </si>
  <si>
    <t>รู้จัเพราะเค้าเป็นพี่รหัส</t>
  </si>
  <si>
    <t>Bat eie</t>
  </si>
  <si>
    <t>Tan ene</t>
  </si>
  <si>
    <t>Tang ene</t>
  </si>
  <si>
    <t>เจน sem</t>
  </si>
  <si>
    <t xml:space="preserve">ปอนด์ eie First meet </t>
  </si>
  <si>
    <t>P'J(ene) P'แอม(eie) P'กานต์(ene)</t>
  </si>
  <si>
    <t xml:space="preserve">P'J First meet </t>
  </si>
  <si>
    <t>หมู CPE</t>
  </si>
  <si>
    <t>ปลื้ม inc</t>
  </si>
  <si>
    <t xml:space="preserve">เจได inc </t>
  </si>
  <si>
    <t xml:space="preserve">ปูน inc </t>
  </si>
  <si>
    <t xml:space="preserve">ปอ inc </t>
  </si>
  <si>
    <t>ปอ จากกิจกรรมปาบอล</t>
  </si>
  <si>
    <t>ปีใหม่inc หงส์inc  น้ำหวานinc</t>
  </si>
  <si>
    <t>พี่หงส์ เพื่อนโดนสัมภาษณ์บนลิฟท์</t>
  </si>
  <si>
    <t>นิว ie</t>
  </si>
  <si>
    <t>โนอา inc</t>
  </si>
  <si>
    <t>ได้รู้จักเพื่อนชื่อฟ้า ได้เจอกันจากกิจกรรมปฐมนิเทศแล้ววหลังจากนั้นก็ได้พูดคุยกัน</t>
  </si>
  <si>
    <t>พี่มินาinc ,น้ำหวานinc ,เป๊ก inc</t>
  </si>
  <si>
    <t>พี่น้ำหวาน เป็นพี่คุมพาเดินกิจกรรมวันนี้ พี่ๆดูแลลน้องๆได้ดี ทำให้ได้ร่วมกิจกรรมอย่างเต็มที่</t>
  </si>
  <si>
    <t>pond eie</t>
  </si>
  <si>
    <t>peem ene</t>
  </si>
  <si>
    <t>taan ene</t>
  </si>
  <si>
    <t>tang ene</t>
  </si>
  <si>
    <t>taan ene first meet</t>
  </si>
  <si>
    <t>P'gan ene first meet</t>
  </si>
  <si>
    <t>P'ice ene
P'befirst ene
P'gan ene</t>
  </si>
  <si>
    <t>Both national ID and mobile phone</t>
  </si>
  <si>
    <t>ข้าว ene</t>
  </si>
  <si>
    <t>จิ ได้นั่งใกล้กันตอนนั่งดูปฐมนิเทศผ่านไลฟ์สดแล้วจิคือนั่งคุยกับพี่ๆในภาคทั้งชั่วโมงเลยเสียงเหมือนยุงค่ะ</t>
  </si>
  <si>
    <t>พี่ไอซ์ ene, พี่โฟร์ ene, พี่โชคดี ene</t>
  </si>
  <si>
    <t>พี่ไอซ์ ขึ้นมาเมื่อเช้าเช็คชื่อก็เจอหน้าก่อนเลยค่ะ ตัวจี๊ดคนนำวิ่งเกียร์ บ่นทั้งวันค่ะ</t>
  </si>
  <si>
    <t>แพรวา pe</t>
  </si>
  <si>
    <t>น้ำซี โยธา</t>
  </si>
  <si>
    <t xml:space="preserve">แพรวา pe ได้รู้จักการตอนถ่ายรูป แล้วได้คุยกัน </t>
  </si>
  <si>
    <t xml:space="preserve">ปิ่น chemeng กอล์ฟ ce </t>
  </si>
  <si>
    <t>พี่ปิ่น รู้จักจากgeo</t>
  </si>
  <si>
    <t>มิ้น ภาคอุตสา</t>
  </si>
  <si>
    <t>มีน ภาคอุตสา</t>
  </si>
  <si>
    <t>สตาร์ ภาคอุตสา</t>
  </si>
  <si>
    <t>เฟม ภาคอุตสา</t>
  </si>
  <si>
    <t>ซิม ภาคอุตสา</t>
  </si>
  <si>
    <t>มิ้น รู้จักจากการไปสอบวัดระดับเคมี</t>
  </si>
  <si>
    <t>พี่บิว พี่เจเจ พี่บิว</t>
  </si>
  <si>
    <t>พี่เบส รู้จักจากการเข้าร่วมกลุ่มไอจี</t>
  </si>
  <si>
    <t>ตูน INC</t>
  </si>
  <si>
    <t>ฟลุค INC</t>
  </si>
  <si>
    <t>ปูน INC</t>
  </si>
  <si>
    <t>ตูน รู้จักกันตอนเข้าแถวแล้วได้คุยกัน</t>
  </si>
  <si>
    <t xml:space="preserve">ใบหยก อาร์ต น้ำหวาน </t>
  </si>
  <si>
    <t>น้ำหวาน สตาฟคอยดูแลนำแถว</t>
  </si>
  <si>
    <t>ฟ่ง ยานยน</t>
  </si>
  <si>
    <t>จุล เครื่องกล</t>
  </si>
  <si>
    <t>คอตตอน ยานยน</t>
  </si>
  <si>
    <t>ซี เคมี</t>
  </si>
  <si>
    <t>ไอซ์ เคมี</t>
  </si>
  <si>
    <t>ฟ่ง กิจกรรมเข้าฐาน</t>
  </si>
  <si>
    <t>พี่ต้นอ้อ เครื่องกล โจนัท เครื่องกล คิม เครื่องกล</t>
  </si>
  <si>
    <t>พี่คิม รับน้องเครื่องกล</t>
  </si>
  <si>
    <t>สตาร์ MCE</t>
  </si>
  <si>
    <t>มิ้น MCE</t>
  </si>
  <si>
    <t>โอม MCE</t>
  </si>
  <si>
    <t>โรม MCE</t>
  </si>
  <si>
    <t>ธี INC</t>
  </si>
  <si>
    <t>มิ้น MCE ได้รุ้จักกับเพื่อนจาก เรียน hand on เพื่อนตลกเเละกวนตีนดี</t>
  </si>
  <si>
    <t xml:space="preserve">พี่มะเมี่ยว พี่พิธีกรครับ </t>
  </si>
  <si>
    <t xml:space="preserve">พี่ชิน จาก CPE รุ้จักจาก การเรียน hand on </t>
  </si>
  <si>
    <t>โบว์ ENE</t>
  </si>
  <si>
    <t>บี ene</t>
  </si>
  <si>
    <t>โบว์ ene</t>
  </si>
  <si>
    <t>ต้า ene</t>
  </si>
  <si>
    <t>ป๋อ ene</t>
  </si>
  <si>
    <t>กิ้ม ene</t>
  </si>
  <si>
    <t>บี ได้รู้จักตอนรับน้อง</t>
  </si>
  <si>
    <t>พี่โชคดี พี่เเบงค์ พี่กานต์ พี่เเพม พี่เบ้น</t>
  </si>
  <si>
    <t>พี่กานต์ รู้จักเพราะว่าทักคนผิด</t>
  </si>
  <si>
    <t>ธีร์ or</t>
  </si>
  <si>
    <t xml:space="preserve">เวียร์ คุยมัน  </t>
  </si>
  <si>
    <t>มะเหมี่ยว ไข่มุก บิงโก</t>
  </si>
  <si>
    <t xml:space="preserve">สตาร์ คุยมัน     </t>
  </si>
  <si>
    <t>ถิงถิง inc</t>
  </si>
  <si>
    <t>รู้จักฟ้าก่อนไปทานข้าวกลางวัน ฟ้าเป็นคนที่เฟลนลี่มากๆมีเพื่อนเยอะมากเข้ากับคนง่ายด้วย</t>
  </si>
  <si>
    <t>พี่เอย เป็นคนคุมตรงหน้าโต๊ะคอยเปิดคริปให้ดู</t>
  </si>
  <si>
    <t>ปัณ ภาคคอม</t>
  </si>
  <si>
    <t xml:space="preserve">ธันวา ภาคคอม </t>
  </si>
  <si>
    <t>เจ ภาคคอม</t>
  </si>
  <si>
    <t>เนปจูน ภาคคอม</t>
  </si>
  <si>
    <t>ปัณและธันวา รู้จักตอนถ่ายรูปภาคคอมตอนเช้า</t>
  </si>
  <si>
    <t>พี่บิว ภาคคอม  พี่ปาย ภาคคอม พี่ฟลุ๊ค ภาคคอม</t>
  </si>
  <si>
    <t>พี่บิวและพี่เจเจ สโมวิศวะ จากกิจกรรมแนะนำสโมวิศวะ</t>
  </si>
  <si>
    <t xml:space="preserve">Boss CPE </t>
  </si>
  <si>
    <t>Plu CPE</t>
  </si>
  <si>
    <t>Nokia CPE</t>
  </si>
  <si>
    <t>Plai CPE</t>
  </si>
  <si>
    <t>Plu CPE, met this guy since comcamp 36. Made a promise to get into KMUTT CPE together and we made it.</t>
  </si>
  <si>
    <t>Ming, she was my junior mentor at a hackathon and ai camp hosted by CPALL. Very inspiring and a very good mentor</t>
  </si>
  <si>
    <t xml:space="preserve">Num CPE
Gun CPE
P CPE </t>
  </si>
  <si>
    <t>Focus CHE ( inter )</t>
  </si>
  <si>
    <t>Cheer CHE ( inter )</t>
  </si>
  <si>
    <t xml:space="preserve">พัช CPE </t>
  </si>
  <si>
    <t>เชียร์ รู้จักเพราะได้เล่นกิจกกรม แล้วได้นั่งใกล้ๆกัน เลยได้คุยกัน</t>
  </si>
  <si>
    <t>ไออุ่น Che ตามฝัน Che  โบนัส Che</t>
  </si>
  <si>
    <t>พี่โบนัส รู้จักจากที่พี่โบนัสเป็นพี่ประจำกลุ่มดรีม จึงได้คุยกัน</t>
  </si>
  <si>
    <t>ใบหยก เครื่องกล</t>
  </si>
  <si>
    <t>ปัณ คอมพิวเตอร์</t>
  </si>
  <si>
    <t>ครอส เครื่องกล</t>
  </si>
  <si>
    <t>ปิ่นมุก เครื่องกล</t>
  </si>
  <si>
    <t>รู้จักจากกิจกรรมตรวจร่างกาย</t>
  </si>
  <si>
    <t xml:space="preserve">ไอซ์ คอมพิวเตอร์ อาย เครื่องกล </t>
  </si>
  <si>
    <t>พี่ไอซ์ คอมพิวเตอร์ เป็นพี่ที่ฐานเกม</t>
  </si>
  <si>
    <t>1.หอมpe 2.เปียโนpe 3.หนูดีpe 4.โฟกัสpe5.ผักกาดpe</t>
  </si>
  <si>
    <t>หอม อุต</t>
  </si>
  <si>
    <t>หนูดี อุต</t>
  </si>
  <si>
    <t>ผักกาด อุต</t>
  </si>
  <si>
    <t xml:space="preserve">ปัต pe </t>
  </si>
  <si>
    <t>เจอกันตอนรวมภาค ประทับใจที่เขาคุยด้วยแล้วสนุก</t>
  </si>
  <si>
    <t>ดรีม คอม น้ำ คอม ฮง อุต</t>
  </si>
  <si>
    <t>ดรีม จากกิจกรรมประถมนิเทศ แล้วพี่เขาคุยสนุก</t>
  </si>
  <si>
    <t>ซีเกมส์ ภาควิศวกรรมอุตสาหการ</t>
  </si>
  <si>
    <t>เวฟ ภาควิศวกรรมอุตสาหการ</t>
  </si>
  <si>
    <t>ติณ ภาควิศวกรรมอุตสาหการ</t>
  </si>
  <si>
    <t>เกื้อ ภาควิศวกรรมอุตสาหการ</t>
  </si>
  <si>
    <t>ภูมิ ภาควิศวกรรมอุตสาหการ</t>
  </si>
  <si>
    <t>ซีเกมส์ รู้จักผ่านกิจกรรมปฐมนิเทศแล้วนั่งใกล้ๆกัน</t>
  </si>
  <si>
    <t>พี่ข้าวหอม พี่เบียง พี่ปลื้ม</t>
  </si>
  <si>
    <t xml:space="preserve">พี่ข้าวหอมจากเข้ามหาลัย รอบ quota </t>
  </si>
  <si>
    <t>ฟิว อุตสาห</t>
  </si>
  <si>
    <t>ต้นโอค ai</t>
  </si>
  <si>
    <t>แพร โยธา</t>
  </si>
  <si>
    <t>หวา เคมี</t>
  </si>
  <si>
    <t>วิน คอนพิสเตอร์</t>
  </si>
  <si>
    <t>วิน กิจกรรม วันที่25</t>
  </si>
  <si>
    <t>ไอซ์ ene เคน ene โด้ ene</t>
  </si>
  <si>
    <t>ฟิว จากกิจกรรมวีนที่25</t>
  </si>
  <si>
    <t>โอม คอส บีม ไกด์ น่ารักนิสัยดี เข้าหาง่าย น่ารักตลก</t>
  </si>
  <si>
    <t>เฟิม ครุไฟฟ้า</t>
  </si>
  <si>
    <t>มิคกกี้ ยานยนต์</t>
  </si>
  <si>
    <t>คอนตัน ยานยนต์</t>
  </si>
  <si>
    <t>ไกด ยานยนต์</t>
  </si>
  <si>
    <t>นัท ยานยตน์</t>
  </si>
  <si>
    <t>คอส เตะบอลด้วยกัน</t>
  </si>
  <si>
    <t>อาย ปอน ลีโอ ยานยนต์</t>
  </si>
  <si>
    <t>ปอนยานยนต์ เสียงดังดี</t>
  </si>
  <si>
    <t>ฟ้าPE</t>
  </si>
  <si>
    <t>ออมสินPE</t>
  </si>
  <si>
    <t>ฝ้ายPE</t>
  </si>
  <si>
    <t>จิ๊กซอว์PE</t>
  </si>
  <si>
    <t>ไนซ์PE</t>
  </si>
  <si>
    <t>ตาต้าPE</t>
  </si>
  <si>
    <t xml:space="preserve">ไนซ์จากตอนถ่ายรูปรวม คุยกันเยอะและมาจากจังหวัดเดียวกันเลย  </t>
  </si>
  <si>
    <t>เฟย ฟลุ๊ค ฮง PE</t>
  </si>
  <si>
    <t>พี่ฮง จากกิจกรรมฐมนิเทศคณะวิศวกรรมศาสตร์</t>
  </si>
  <si>
    <t>นินิว ME</t>
  </si>
  <si>
    <t>เฟย์ CE</t>
  </si>
  <si>
    <t>คิว CHE</t>
  </si>
  <si>
    <t>ว่าน รู้จักจากกิจกรรมนาฬิกาของปฐมนิเทศวันแรก</t>
  </si>
  <si>
    <t>พี่บอส ME พี่บอส ME พี่บอส ME</t>
  </si>
  <si>
    <t>รู้จักจากวันที่ 2 ของปฐมนิเทศ จำได้คนเดียวคับ ไม่รู้จำถูกมั้ยด้วยคับ</t>
  </si>
  <si>
    <t>ฟอร์ด เครื่องกล</t>
  </si>
  <si>
    <t>เจอนัทที่กิจกรรมลูกบอล</t>
  </si>
  <si>
    <t>พี่บอส พี่ข้าว พี่ปอนด์</t>
  </si>
  <si>
    <t>พี่ถุงข้าว จากระหว่างลงทะเบียนกิจกรรม</t>
  </si>
  <si>
    <t>เบส​ Inc</t>
  </si>
  <si>
    <t>ปลื้ม​ Inc​ AE</t>
  </si>
  <si>
    <t>กัณ วิศวคอมพิวเตอร์​</t>
  </si>
  <si>
    <t xml:space="preserve">job inc </t>
  </si>
  <si>
    <t>ข้าวฝ่าง​ Che</t>
  </si>
  <si>
    <t>กัณ​ได้รู้จักเพราะอยุ่ข้างกันตอนเล่นกิจกรรม​</t>
  </si>
  <si>
    <t>นํ้าหวาน​ หง​ อาร์ท</t>
  </si>
  <si>
    <t>พี่นํ้าหวานเพราะเป็นพี่นําทางและชวนคุย</t>
  </si>
  <si>
    <t>เอฟ วิศวกรรมเคมี</t>
  </si>
  <si>
    <t>เพชร วิศวกรรมไฟฟ้า</t>
  </si>
  <si>
    <t>โฟกัส วิศวกรรมเซมิคอนดักเตอร์</t>
  </si>
  <si>
    <t>เนม วิศวกรรมคอมพิวเตอร์</t>
  </si>
  <si>
    <t>โนเกีย วิศวกรรมคอมพิวเตอร์</t>
  </si>
  <si>
    <t>โฟกัส วิศวกรรมเซมิคอนดักเตอร์ รู้จักจากฐานกิจกรรม โดยได้คุยกันขณะพัก</t>
  </si>
  <si>
    <t>พี่น้ำ วิศวกรรมคอมพิวเตอร์ พี่แทนไท วิศวกรรมคอมพิวเตอร์ พี่กันต์ วิศวกรรมคอมพิวเตอร์</t>
  </si>
  <si>
    <t>พี่น้ำ ได้รู้จักจากการเป็นผู้ดูแลในขณะการถ่ายรูปภาพหมู่ภาควิชา</t>
  </si>
  <si>
    <t>เกลียว ภาคเซมิคอนดักเตอร์</t>
  </si>
  <si>
    <t>ออกัส ภาคอิเล็ก</t>
  </si>
  <si>
    <t>กร ภาคเซมิคอนดักเตอร์</t>
  </si>
  <si>
    <t>โคจัง ภาคอิเล็ก</t>
  </si>
  <si>
    <t>เกลียว ได้รู้จักจากการเข้าร่วมกิจกรรมวันแรก ผ่านฐานต่างๆและได้กินข้าวด้วยกัน เพื่อนเป็นคนตลกดี</t>
  </si>
  <si>
    <t>พี่น้ำหวาน พี่หงส์ พี่รัท ภาค INC</t>
  </si>
  <si>
    <t>พี่น้ำหวาน ได้รู้จักจารการถามรายชื่อรุ่นพี่ครับ ประทับใจตรงที่พี่เค้าช่วยผม</t>
  </si>
  <si>
    <t>ภูมิ mce</t>
  </si>
  <si>
    <t>โอม mce</t>
  </si>
  <si>
    <t>ริท mce</t>
  </si>
  <si>
    <t>โงกุน ect</t>
  </si>
  <si>
    <t>ภูมิ me เจอกันตอนรวมตัว</t>
  </si>
  <si>
    <t xml:space="preserve">มะเหมี่ยว         </t>
  </si>
  <si>
    <t>โงกุน ect เจอที่ฟิตเนส พี่เขาสอนเล่น</t>
  </si>
  <si>
    <t>โอ้ต APE</t>
  </si>
  <si>
    <t>ฟักแฟงAPE</t>
  </si>
  <si>
    <t>ภู APE</t>
  </si>
  <si>
    <t>เฟส APE</t>
  </si>
  <si>
    <t>ตั้น APE</t>
  </si>
  <si>
    <t>เพชร APE</t>
  </si>
  <si>
    <t>เพชร คนแรกที่เราเข้าไปทัก</t>
  </si>
  <si>
    <t>พี่ซือ พี่ในสาขาที่ไม่ทราบชื่อ</t>
  </si>
  <si>
    <t>ภู เดินมาชวนไปเข้ากลุ่มเพื่อน</t>
  </si>
  <si>
    <t>ซิวME</t>
  </si>
  <si>
    <t>พลอยME</t>
  </si>
  <si>
    <t>ทิพย์ME</t>
  </si>
  <si>
    <t>ใบว่านME</t>
  </si>
  <si>
    <t>ฟ้าINC</t>
  </si>
  <si>
    <t>เจมส์AME</t>
  </si>
  <si>
    <t>ซิว เจอเพื่อนจากการเล่นกิจกรรมเกมเรือ เพื่อนเขามาทักแล้วอยู่ภาคเดียวกัน</t>
  </si>
  <si>
    <t>พี่สายพิณME, พี่ปอนME ,พี่อายME</t>
  </si>
  <si>
    <t>พี่สายพิณ เจอจากกิจกรรมนาฬิกาพี่สายพิณเข้ามาช่วยให้ได้รางวัล</t>
  </si>
  <si>
    <t>ออกัส PE</t>
  </si>
  <si>
    <t>บิว PE</t>
  </si>
  <si>
    <t>กาย PE</t>
  </si>
  <si>
    <t>เทอด ME</t>
  </si>
  <si>
    <t>ยู MCE เจอตอนปฐมนิเทศวันแรก</t>
  </si>
  <si>
    <t>พี่เจเจ PE, พี่แพรว PE, พี่แก้ม ME</t>
  </si>
  <si>
    <t>พี่แก้ม ME เจอตอนกิจกรรมนาฬิกา</t>
  </si>
  <si>
    <t>ไอคิว วิศวกรรมโยธา</t>
  </si>
  <si>
    <t>สแตมป์ วิศวกรรมเครื่องกล</t>
  </si>
  <si>
    <t>ใบหยก วิศวกรรมเครื่องกล</t>
  </si>
  <si>
    <t>ปีใหม่ วิศวกรรมสิ่งแวดล้อม</t>
  </si>
  <si>
    <t>ใบหยก รู้จักจากกิจกรรมดอดบอลเพราะเพื่อนเล่นเก่งมากก</t>
  </si>
  <si>
    <t>พี่สายพิณ วิศวกรรมเครื่องกล พี่ปอนด์ วิศวกรรมเครื่องกล พี่ครีม จำภาควิชาไม่ได้</t>
  </si>
  <si>
    <t>พี่ปอนด์ รู้จักจากกิจกรรม12นาฬิกาเพราะพี่เขาชอบตบมุก</t>
  </si>
  <si>
    <t>จิ๊บ inc</t>
  </si>
  <si>
    <t>วอร์ฟกัง inc</t>
  </si>
  <si>
    <t>เปิ้ล ee</t>
  </si>
  <si>
    <t>นาคิน ene</t>
  </si>
  <si>
    <t>ไอซ์ inc</t>
  </si>
  <si>
    <t>ไอซ์ จากช่วงกิจกรรม dogde ball คือเป็นแทงค์ลูกบอลให้เพื่อน</t>
  </si>
  <si>
    <t>พี่ปิ๊ก inc พี่นัท ene พี่โอเว่น me</t>
  </si>
  <si>
    <t>พี่นัท ene guideดี มีอารมณ์ขำขั้น</t>
  </si>
  <si>
    <t>ไก่ต๊อก CPE</t>
  </si>
  <si>
    <t>โดนัท CPE</t>
  </si>
  <si>
    <t>นนท์ วิศวะควบคุม</t>
  </si>
  <si>
    <t>ธาม วิศวะคอม</t>
  </si>
  <si>
    <t>ไก่ต๊อก ไลโท่ง ไลโท่ง</t>
  </si>
  <si>
    <t>บอม  cpe เปา cu อาร์ม ez</t>
  </si>
  <si>
    <t>พี่บอม ต่อยมวยเเรงเยอะมาก</t>
  </si>
  <si>
    <t>อิซากิ ENE</t>
  </si>
  <si>
    <t>ซุง ENE</t>
  </si>
  <si>
    <t>เอ็ม EnE</t>
  </si>
  <si>
    <t>สกาย ENE</t>
  </si>
  <si>
    <t>พีเอ ENE</t>
  </si>
  <si>
    <t>เจแปน ENE</t>
  </si>
  <si>
    <t>ซุง รู้จักจากปฐมนิเทศ นั่งข้างกัน</t>
  </si>
  <si>
    <t>พี่กระปุก ENE พี่ขนุน PE พี่เจเจ้ ไม่รู้ภาค</t>
  </si>
  <si>
    <t xml:space="preserve">พี่เจเจ้ เจอเมื่อวันที่25 </t>
  </si>
  <si>
    <t>โคจัง ENE</t>
  </si>
  <si>
    <t>บอส รู้จักจาก ปฐมนิเทศ นั่งข้างกัน</t>
  </si>
  <si>
    <t>พี่ขนุน PE พี่เจเจ้ ไม่รู้ภาค พี่กระปุก ENE</t>
  </si>
  <si>
    <t>พี่เจเจ้ เจอจาก กิจกรรม วันที่25 ประทับใจเพราะ น่ารักมาก</t>
  </si>
  <si>
    <t>น้ำริน PE</t>
  </si>
  <si>
    <t>ภูผา ISE</t>
  </si>
  <si>
    <t>มิ สิ่งแวดล้อม</t>
  </si>
  <si>
    <t>ชมพู่ ISE</t>
  </si>
  <si>
    <t>น้ำริน รู้จักจากหลังถ่ายรูปสาขา</t>
  </si>
  <si>
    <t>พี่ปิ่น CHE / พี่กอล์ฟ CE / พี่</t>
  </si>
  <si>
    <t>พี่ปิ่น  รู้จักจากให้ความรู้ GEO</t>
  </si>
  <si>
    <t>ออย คอมพิวเตอร์อินเตอร์</t>
  </si>
  <si>
    <t>โม คอมพิวเตอร์อินเตอร์</t>
  </si>
  <si>
    <t>แพรว โยธา</t>
  </si>
  <si>
    <t>จ๊ะจ๋า คอมพิวเตอร์อินเตอร์</t>
  </si>
  <si>
    <t>จ๊ะจ๋า รู้จักจากปฐมนิเทศวิศวะคอม</t>
  </si>
  <si>
    <t>กร คอมพิวเตอร์, บิว คอมพิวเตอร์ , ปาย คอมพิวเตอร์</t>
  </si>
  <si>
    <t>พี่กร เป็นพี่ฐาน</t>
  </si>
  <si>
    <t>เนสท์ che</t>
  </si>
  <si>
    <t>ครีม che</t>
  </si>
  <si>
    <t>แพนเค้ก che</t>
  </si>
  <si>
    <t>แก้มใส che</t>
  </si>
  <si>
    <t>ลดา che</t>
  </si>
  <si>
    <t>เนสท์ รู้จักกันจากกิจกรรมปฐมนิเทศของมหาลัย</t>
  </si>
  <si>
    <t>ตาขวัญ che ไออุ่น che  โบนัส che</t>
  </si>
  <si>
    <t>พี่ตาขวัญแจกขนมให้กิน</t>
  </si>
  <si>
    <t>น้ำมนต์ ภาควิชาอุตสาหการ</t>
  </si>
  <si>
    <t>เจ ภาคเครื่องกล</t>
  </si>
  <si>
    <t>โอปอ เครื่องกล</t>
  </si>
  <si>
    <t>จากการปฐมนิเทศ ไปกินข้าวด้วยกัน</t>
  </si>
  <si>
    <t>พี่ปอนด์ โจนัท ถุงข้าว</t>
  </si>
  <si>
    <t>จากกิจกรรมปฐมนิเทศ</t>
  </si>
  <si>
    <t>มิลลิ CHE</t>
  </si>
  <si>
    <t>ปู๋น EE</t>
  </si>
  <si>
    <t>อเล็ก INC</t>
  </si>
  <si>
    <t>บาส กิจกรรมทรงตัวเพื่อนคนนี้อยู่ทีมเดียวกันทำงานกันได้ดี ทัศนคติดี</t>
  </si>
  <si>
    <t>1.เชน TME. 2.วุ้น TME. 3.ลีโอ TME</t>
  </si>
  <si>
    <t>เชน TME  เพราะพี่คนนี้ทัศนคติดี อัธยาศัยดี คุยง่าย</t>
  </si>
  <si>
    <t>ปาร์ค เครื่องกล</t>
  </si>
  <si>
    <t>น้ำมนต์ อุตสาหการ</t>
  </si>
  <si>
    <t>ปาร์ค ได้นั่งรู้จักกันผ่านกิจกรรมปฐมนิเทศ</t>
  </si>
  <si>
    <t>พี่คิม พี่สายพิณ พี่โจนัท</t>
  </si>
  <si>
    <t>พี่โจนัท ตลกดีครับ</t>
  </si>
  <si>
    <t>เป๋าเป่า ENE</t>
  </si>
  <si>
    <t>หนูอิน ENE</t>
  </si>
  <si>
    <t>มาร์ค สิ่งแวดล้อม</t>
  </si>
  <si>
    <t>นานา วัดคุม</t>
  </si>
  <si>
    <t>นานา วัดคุม เข้าค่ายกิจกรรมปฐมนิเทศวิศวะ ทำกิจกรรมร่วมกัน พูดคุยแล้วสนุก</t>
  </si>
  <si>
    <t>พี่ไอซ์ พี่บีเฟิ้ด พี่เบน</t>
  </si>
  <si>
    <t xml:space="preserve">พี่มุก รับน้องจากสาขา เป็นรุ่นพี่ที่น่ารักมาก ใจดี </t>
  </si>
  <si>
    <t>อาร์ท</t>
  </si>
  <si>
    <t>เตอร์ SEM</t>
  </si>
  <si>
    <t>อาร์ม SEM</t>
  </si>
  <si>
    <t>สิงโตSEM</t>
  </si>
  <si>
    <t>ต้นน้ำ SEM</t>
  </si>
  <si>
    <t>บีม Sem</t>
  </si>
  <si>
    <t>อาร์ท คุยตอนกินข้าวครับ</t>
  </si>
  <si>
    <t>พี่บีเฟิร์ส พี่ไอซ์ พี่ซ้อกเกอร์</t>
  </si>
  <si>
    <t>พี่ซอกเกอร์ เพราะเป็นพี่รหัสเพื่อน</t>
  </si>
  <si>
    <t>มายด์  TME</t>
  </si>
  <si>
    <t>บีม TME</t>
  </si>
  <si>
    <t>ลูกพีช MEN</t>
  </si>
  <si>
    <t>รู้จักเพราะว่าทักไอจี แล้วก็เมคเฟรนเลยรู้จักกัน</t>
  </si>
  <si>
    <t>พี่โอเว้น APE พี่พลอย APE พี่เฟิร์ส MEN</t>
  </si>
  <si>
    <t>รู้จักจากการเรียน hand-on</t>
  </si>
  <si>
    <t>ภูมิ จ๋า กอล์ฟ แจ๊ส ตี๋</t>
  </si>
  <si>
    <t>ภูมิ ENE</t>
  </si>
  <si>
    <t>จ๋า ENE</t>
  </si>
  <si>
    <t>แจ๊ส I</t>
  </si>
  <si>
    <t>ตี๋ MEN</t>
  </si>
  <si>
    <t>กอล์ฟ ENE</t>
  </si>
  <si>
    <t>ภูมิ รู้จักจากกิจกรรม first meet อยู่บ้านเดียวกัน loop</t>
  </si>
  <si>
    <t>บีเฟิร์ส รู้จักการลงทะเบียนได้ทำความรู้จักกัน, พี่กังฟู รู้จักจากการลงทะเบียน, พี่ทิน รู้จักจากการรับน้องและมาพูดคุยกันในวันนี้</t>
  </si>
  <si>
    <t>พี่ทิน รู้จักจากกิจกรรม รับน้อง ได้พี่ทินเป็นพี่รหัส</t>
  </si>
  <si>
    <t>แยม แอ๊น เบญ เรนโบ ว่องไว</t>
  </si>
  <si>
    <t>แยม ไฟฟ้า</t>
  </si>
  <si>
    <t>เบญไฟฟ้า</t>
  </si>
  <si>
    <t>เรนโบไฟฟ้า</t>
  </si>
  <si>
    <t>ว่อวไวไฟฟ้า</t>
  </si>
  <si>
    <t>แยมเพราะเฟรนลี่คุยง่ายใจดี</t>
  </si>
  <si>
    <t>บีม ไผ่หลิว แฮม</t>
  </si>
  <si>
    <t>บีมเพราะใจดีน่ารัก</t>
  </si>
  <si>
    <t>บี (ภาคอิเล็กทรอนิกส์เเละโทรคมนาคม)</t>
  </si>
  <si>
    <t>หนูอิน (ภาคอิเล็กทรอนิกส์เเละโทรคมนาคม)</t>
  </si>
  <si>
    <t>เเตงโม (ภาคอิเล็กทรอนิกส์เเละโทรคมนาคม)</t>
  </si>
  <si>
    <t>เป๊าเป่า (ภาคอิเล็กทรอนิกส์เเละโทรคมนาคม)</t>
  </si>
  <si>
    <t>นาย (ภาคอิเล็กทรอนิกส์เเละโทรคมนาคม)</t>
  </si>
  <si>
    <t>ฟราง (ภาคเมคคาทรอนิกส์)</t>
  </si>
  <si>
    <t>หนูอิน จากกิจกรรม ปฐมนิเทศ ได้กินมื้อเที่ยงด้วยกัน</t>
  </si>
  <si>
    <t>ไอซ์ แพม เเบงค์ (ภาคอิเล็กทรอนิกส์เเละโทรคมนาคม)</t>
  </si>
  <si>
    <t>ไอซ์ ปฐมนิเทศ เขาหน้าตาดีค่ะ</t>
  </si>
  <si>
    <t>พิชชี่ ดิว กาย เบอร์ดี้ มิลลิ</t>
  </si>
  <si>
    <t>พิชชี่ เครื่องกล</t>
  </si>
  <si>
    <t>มิลลิ อุตสาหกรรม</t>
  </si>
  <si>
    <t>เบอร์ดี เครื่องกล</t>
  </si>
  <si>
    <t>แอล อุตสาหกรรม</t>
  </si>
  <si>
    <t>เจน ไฟฟ้า</t>
  </si>
  <si>
    <t>พิชชี่กิจกรรมปฐมนิเทศ เค้าเข้ามาทัก</t>
  </si>
  <si>
    <t>พี่ฟูจิ อุตสาหกรรม พี่กระปุก ไฟฟ้า พี่ฟูจิ โยธา</t>
  </si>
  <si>
    <t>พี่ฟูจิโยธา ค่ายติวเวลคัม20 พี่เค้าช่วยมาสอนการบ้านคับ</t>
  </si>
  <si>
    <t>โกโก้ ภาค ISEE</t>
  </si>
  <si>
    <t>พอเพียง ภาค PE</t>
  </si>
  <si>
    <t xml:space="preserve">เปียโน </t>
  </si>
  <si>
    <t>ดัง ภาค PE</t>
  </si>
  <si>
    <t>มอส ภาค ISEE</t>
  </si>
  <si>
    <t>ได้รู้จักต้าหลิวจากกิจกรรมปฐมนิเทศวิศวกรรมศาสตร์</t>
  </si>
  <si>
    <t>พี่บิว MCE พี่ขนุน CE พี่นาย ENE</t>
  </si>
  <si>
    <t>พี่นาย จากกิจกรรมปฐมนิเทศวิศวกรรมศาสตร์</t>
  </si>
  <si>
    <t>บี ene,โบ ene,หนูอิน ene,บัว คอม อินเตอร์,พีค ene</t>
  </si>
  <si>
    <t>โบ ene</t>
  </si>
  <si>
    <t>หนูอิน ene</t>
  </si>
  <si>
    <t>บัว คอมอินเตอร์</t>
  </si>
  <si>
    <t>ตังส์ คอม</t>
  </si>
  <si>
    <t>นิว เคมี</t>
  </si>
  <si>
    <t>ตังส์ ภาคคอม เจอตอนที่เล่นฐานยิงเรือ ทำกิจกรรมกลุ่มเดียวกัน เพื่อนน่ารักมาก</t>
  </si>
  <si>
    <t>พี่ด้าๆ ene,พี่แทค ene ,พี่นัส ene</t>
  </si>
  <si>
    <t>พี่แทค ene เป็นพี่สายรหัส</t>
  </si>
  <si>
    <t>โฟล์ค ดีเจอเพราะนิสัยดี</t>
  </si>
  <si>
    <t>ถุงข้าวME ขนุนPE สายพิน ME</t>
  </si>
  <si>
    <t>พี่ขนุน ใจดี ฐานนาฬิกา</t>
  </si>
  <si>
    <t>ม่อน INC</t>
  </si>
  <si>
    <t>มิน CME</t>
  </si>
  <si>
    <t>เฟย์ CPE</t>
  </si>
  <si>
    <t>อาร์ม CE</t>
  </si>
  <si>
    <t>ไทเกอร์ ENV</t>
  </si>
  <si>
    <t>เฟย์ จากกิจกรรม12นาฬิกา เพื่อนเป็นคนเฟรนลี่ เข้ากับคนอื่นได้ง่าย</t>
  </si>
  <si>
    <t>น้ำหวาน หงส์ อาร์ท INC</t>
  </si>
  <si>
    <t>พี่เพื่อน INC รุ่นพี่คอยดูแลกลุ่ม ใจดี</t>
  </si>
  <si>
    <t>หมู cpe</t>
  </si>
  <si>
    <t>ซัน inc</t>
  </si>
  <si>
    <t>มิก ele</t>
  </si>
  <si>
    <t>หมู กิจกรรมสะพานโค้งได้ช่วยกันนำลูกบอลไปใส่ตะกร้า</t>
  </si>
  <si>
    <t>ปีใหม่ หงส์ น้ำหวาน  inc</t>
  </si>
  <si>
    <t>พี่ปีใหม่ ช่วยคิดท่าในการถ่ายรูปรวมของภาควิชา</t>
  </si>
  <si>
    <t>ใบเตย  TME</t>
  </si>
  <si>
    <t>เซ้น TME</t>
  </si>
  <si>
    <t>ใบเตย รู้จักเพื่อนคนนี้เพราะมาจากภาควิชาเดียวกัน ได้ไปกินข้าวด้วยกัน</t>
  </si>
  <si>
    <t>พี่เฟิร์ส TME พี่โอเว่น TME พี่พลอย TME</t>
  </si>
  <si>
    <t>พี่โอเว่น ได้รู้จักเพราะเป็นรุ่นพี่ที่ภาควิชา</t>
  </si>
  <si>
    <t>ฟินดี้ ME</t>
  </si>
  <si>
    <t>โชติ CPE</t>
  </si>
  <si>
    <t>แซนด์ CPE</t>
  </si>
  <si>
    <t>ชูลี่ CPE</t>
  </si>
  <si>
    <t>ฟินดี้ รุ้จักจากในค่ายวันแรก เพื่อนใจดี เฟรนด์ลี่♥️</t>
  </si>
  <si>
    <t>พี่น้ำ พี่ปาย พี่ครีม CPE</t>
  </si>
  <si>
    <t>พี่ครีม ขยันถ่ายคลิป PR</t>
  </si>
  <si>
    <t>นินิว เครื่องกล</t>
  </si>
  <si>
    <t>แหวน สิ่งแวดล้อม</t>
  </si>
  <si>
    <t>เทิด เครื่องกล</t>
  </si>
  <si>
    <t>ฟ้า สิ่งแวดล้อม</t>
  </si>
  <si>
    <t>ฟ้า รู้จักจากการทำกิจกรรมวันที่25</t>
  </si>
  <si>
    <t>พี่เปา เครื่องกล  พี่ถุงข้าว เครื่องกล พี่แบด ยานยนร์</t>
  </si>
  <si>
    <t>พี่เปา จากกิจกรรมช่วงเช้า 26 เอนเนอร์จี้เยอะมาก</t>
  </si>
  <si>
    <t>1.โกโก้ 2.โรม 3.เขต 4.ซีซ่า 5.นน</t>
  </si>
  <si>
    <t>โกโก้ ภาคPE</t>
  </si>
  <si>
    <t>โรม ภาคPE</t>
  </si>
  <si>
    <t>เขต ภาคPE</t>
  </si>
  <si>
    <t>ซีซ่า ภาคPE</t>
  </si>
  <si>
    <t>นน ภาค</t>
  </si>
  <si>
    <t>โกโก้ เจอกันจากการทำกิจกรรมด้วยกันตอนปฐมนิเทศ</t>
  </si>
  <si>
    <t xml:space="preserve">พี่เติ้ล ภาคPE, พี่แม็ค ภาคPE </t>
  </si>
  <si>
    <t>พี่มะเหมี่ยว เป็นพิธีกร</t>
  </si>
  <si>
    <t>ชิ ไปป์ ทอม กร ออม</t>
  </si>
  <si>
    <t>ชิ โยธา</t>
  </si>
  <si>
    <t>ทอม โยธา</t>
  </si>
  <si>
    <t>ไปป์ โยธา</t>
  </si>
  <si>
    <t>กร โยธา</t>
  </si>
  <si>
    <t>เจอเพื่อนวันแรก</t>
  </si>
  <si>
    <t>คะนิ้ง คีตา อิ๋งดอย</t>
  </si>
  <si>
    <t>ค่ายติวดสนดสดสดสดสสดสดสด</t>
  </si>
  <si>
    <t>ไทม์(TME)</t>
  </si>
  <si>
    <t>วุฒิ(TME)</t>
  </si>
  <si>
    <t>ญี่ปุ่น(TME)</t>
  </si>
  <si>
    <t>นะโม(TME)</t>
  </si>
  <si>
    <t>ไทม์/รู้จักผ่านกิจกรรมภาควิชา นิสัยดีได้รู้จักเพื่อนคนอื่นๆเพิ่มจากคนนี้แหละ</t>
  </si>
  <si>
    <t>พี่ฟิว พี่โอเว่น พี่ซือ</t>
  </si>
  <si>
    <t>พี่ฟิว/ ผ่านกิจกรรมภาค พี่เฟรนลี่ดี</t>
  </si>
  <si>
    <t>จ๊อบ วิศวกรรมวัสดุ</t>
  </si>
  <si>
    <t>เต้ วิศวกรรมเครื่องกล</t>
  </si>
  <si>
    <t>ข้าวหอม วิศวกรรมเครื่องกล</t>
  </si>
  <si>
    <t>เฟิรน์ วิศวกรรมวัสดุ</t>
  </si>
  <si>
    <t>น้ำเหนือ วิศวกรรมอุตสาหการ</t>
  </si>
  <si>
    <t>น้ำเหนือ เจอกันตอนขึ้นรถเมล์วันมางาน</t>
  </si>
  <si>
    <t>พี่ทอป เครื่องกล พี่นัท ไฟฟ้า พี่กาย วัสดุ (วิศวกรรม)</t>
  </si>
  <si>
    <t>พี่ทอปเครื่องกลปี4เจอกันตอนเล่นบาสแถวบ้าน</t>
  </si>
  <si>
    <t>6คน</t>
  </si>
  <si>
    <t>ซัน ภาควัสดุ</t>
  </si>
  <si>
    <t>นะโมวัสดุ</t>
  </si>
  <si>
    <t>มิ่ง เครื่องกล</t>
  </si>
  <si>
    <t>ภูมิ อุตาสาหการ</t>
  </si>
  <si>
    <t>เเม็ค ควบคุมระบบ</t>
  </si>
  <si>
    <t xml:space="preserve">เหนือ รู้จักจากการถ่ายรูปรุ่น </t>
  </si>
  <si>
    <t>พี่ฟิว พี่ฝ้าย พี่เจม</t>
  </si>
  <si>
    <t>พี่ฟิว รู้จักจากการถ่ายรูปรุ่น</t>
  </si>
  <si>
    <t>โอ เครื่องมือและวัสดุ</t>
  </si>
  <si>
    <t>ธาน คอม</t>
  </si>
  <si>
    <t>ภู เครื่องมือและวัสดุ เบส เครื่องมือและวัสดุ</t>
  </si>
  <si>
    <t>ธาน เข้ากิจกรรมรับน้องด้วยกัน</t>
  </si>
  <si>
    <t>พี่ฟิว พี่โอเว่น พี่พลอย</t>
  </si>
  <si>
    <t>พี่บอส เป็นพี่ที่มาร่วมทำกิจกรรมบ่อย</t>
  </si>
  <si>
    <t>เป้ย เนย ส้มโอ เหมือนฝัน ผักกาด</t>
  </si>
  <si>
    <t>เป้ย TME</t>
  </si>
  <si>
    <t>ผักกาดTME</t>
  </si>
  <si>
    <t>นั่งคุยกับรุ่นพี่</t>
  </si>
  <si>
    <t>โอเว่น รุ่น66 TME เฟิร์ส รุ่น66 TME ฟิวส์ รุ่น66 TME</t>
  </si>
  <si>
    <t xml:space="preserve">พี่โอเว่น รู้จักตั้งแต่ก็แฮนออน </t>
  </si>
  <si>
    <t>เป้ยๆ CHE</t>
  </si>
  <si>
    <t>ต้นรัก CE</t>
  </si>
  <si>
    <t>กอญ่า CPE</t>
  </si>
  <si>
    <t>ที่คุยเล่นกิจกรรมด้วยกัน</t>
  </si>
  <si>
    <t>พี่บีม พี่ไผ่หลิว พี่กรุงเทพ</t>
  </si>
  <si>
    <t>พี่ๆ ดูแลดีมากค่ะ</t>
  </si>
  <si>
    <t>โอเค</t>
  </si>
  <si>
    <t>เจ๊ม pe</t>
  </si>
  <si>
    <t>ตองแก้ว ee</t>
  </si>
  <si>
    <t>ปัณ ene</t>
  </si>
  <si>
    <t>เกม ee</t>
  </si>
  <si>
    <t>นิสา ee</t>
  </si>
  <si>
    <t>เจอกันในกิจกรรมปฐมนิเทศ</t>
  </si>
  <si>
    <t>จำไม่ได้จริงๆครับความจำสั้น</t>
  </si>
  <si>
    <t>จำไม่ได้ครับ เขาประกาศว่ามีคนทำพวกกุญแจแมวหาย แล้วผมไปเอา แต่เขาหนีไป แล้วเอาแมวผมเข้าห้องน้ำไปด้วย</t>
  </si>
  <si>
    <t>ยินดีที่ได้รู้จักนะคะ</t>
  </si>
  <si>
    <t>โฟกัส  ENE สาขา ENE</t>
  </si>
  <si>
    <t xml:space="preserve"> ออม ENE SEMI</t>
  </si>
  <si>
    <t>มะเมี่ยว ENE SEMI</t>
  </si>
  <si>
    <t>ฟาง CHEM</t>
  </si>
  <si>
    <t>สมาย Chem Inter</t>
  </si>
  <si>
    <t>สมายกิจกรรมสะพายลูกบอล</t>
  </si>
  <si>
    <t>Pกาน Pมิน Pเเบง</t>
  </si>
  <si>
    <t xml:space="preserve">Pกาน พาไปกดเต่าบิน </t>
  </si>
  <si>
    <t>ริน  มิ้น ฟ่า เอ็น  นานา</t>
  </si>
  <si>
    <t>ริน เมคคาทรอนิกส์</t>
  </si>
  <si>
    <t>มิ้น เมคคาทรอนิกส์</t>
  </si>
  <si>
    <t>ฟ่า เมคคาทรอนิกส์</t>
  </si>
  <si>
    <t>เอ็น เมคคาทรอนิกส์</t>
  </si>
  <si>
    <t>นานา  ระบบวัดคุม</t>
  </si>
  <si>
    <t>ซอ อุตสาหกรรม</t>
  </si>
  <si>
    <t>ริน วันปฐมนิเทศได้พูดคุยถามชื่อ</t>
  </si>
  <si>
    <t>มะเมี่ยว ภาคอุต  ปิ่นเคมี  โสมร</t>
  </si>
  <si>
    <t>พี่เบียง วันสัมภาษณ์ได้รับคำเเนะนำตอนสัมรู้สึกประทับใจมากๆๆ</t>
  </si>
  <si>
    <t>เกจิ EE</t>
  </si>
  <si>
    <t>แดเนียล CPE Inter</t>
  </si>
  <si>
    <t>ทับทิม อุตสาหกรรม</t>
  </si>
  <si>
    <t>เมย์ CPE</t>
  </si>
  <si>
    <t>ทับทิม รู้จักจากกิจกรรมที่ดึงกระดาษ เพราะยืนกันกันไม่ให้โดนดึงอยู่นาน</t>
  </si>
  <si>
    <t>พี่น้ำ CPE, พี่ก้อง CPE, พี่ครีม CPE</t>
  </si>
  <si>
    <t>พี่ก้อง รู้จักตอนรอถ่ายรูปตอนเช้า แล้วชวนพี่คุยกับเพื่อน</t>
  </si>
  <si>
    <t>1.ปลื้ม2.บอล3.นัด4.ซี5.โฬม</t>
  </si>
  <si>
    <t>นัด ME</t>
  </si>
  <si>
    <t>โฬม ISEE</t>
  </si>
  <si>
    <t>ปลื้มรู้จักตอนมาสอบวิชาเคมี รู้จักเพราะมันดูตลกๆมากๆ</t>
  </si>
  <si>
    <t xml:space="preserve"> พี่ถุงข้าวเพราะพูดเสียงดังมากครับ5555 ปอน โจนัท ถุงข้าว</t>
  </si>
  <si>
    <t>รู้จักพี่ปอนเพราะกิจกรรมประถมนิเทศครับเพราะพี่เขาชอบพูดว่า เอาาาาาาดี!</t>
  </si>
  <si>
    <t>1)จิ๋ว เมคคา2)มิ้น เมคคา3)ซีซ่า เมคคา 4) อันดา เมคคา 5) มีมี่ ไฟฟ้า</t>
  </si>
  <si>
    <t>จิ๋ว เมคคาทรอนิกส์</t>
  </si>
  <si>
    <t>ซีซ่า เมคคาทรอนิกส์</t>
  </si>
  <si>
    <t>อันดา เมคคาทรอนิกส์</t>
  </si>
  <si>
    <t>มีมี่ ไฟฟ้ากำลัง</t>
  </si>
  <si>
    <t>ปริ้น โยธา ได้รู้จักจากการเรียนhands onด้วยกัน เป็นการทำความรู้จักเพื่อนใหม่ เพราะต่างคนต่างไม่มีเพื่อนมาลงเรียนด้วย</t>
  </si>
  <si>
    <t>พี่เบส เมคคาทรอนิกส์ ,พี่มะเหมี่ยว พิธีกร,พี่ปิ่น พิธีกร</t>
  </si>
  <si>
    <t>พี่ทูน่า จากกิจกรรมhands on ไปสอบถามรุ่รพี่ว่า เดินทางไปเซ็นทรัลพระราม2ยังไงด้วยรถสาธารณะ แต่รุ่นพี่ก็ไม่เคยไปเหมือนกัน จึงช่วยกันหาเส้นทาง</t>
  </si>
  <si>
    <t>พรีเมียร์ INC</t>
  </si>
  <si>
    <t>เนปจูน INC</t>
  </si>
  <si>
    <t>เบส INC</t>
  </si>
  <si>
    <t>ใบเตย รู้จักวันที่ได้มารับน้องวิศวะ</t>
  </si>
  <si>
    <t>นีโอTME กล้าTME แจ็คกี้INC (TA)</t>
  </si>
  <si>
    <t>เนปจูน รู้จักวันที่ได้มารับน้องวิศวะ</t>
  </si>
  <si>
    <t>เฟิร์ส pe</t>
  </si>
  <si>
    <t>เอิร์ท pe</t>
  </si>
  <si>
    <t>ช้าง วันลงทะเบียน</t>
  </si>
  <si>
    <t>พี่นาย พี่มะเหมี่ยว พี่ตี๋</t>
  </si>
  <si>
    <t>เบส เครื่องมือและวัสดุ</t>
  </si>
  <si>
    <t>โทนี่ เครื่องมือวัสดุ</t>
  </si>
  <si>
    <t>ปลื่ม  Me</t>
  </si>
  <si>
    <t>ต้น</t>
  </si>
  <si>
    <t>ม่อน รู้จักจากกิจกรรมต่าง เพื่อนตลกดี</t>
  </si>
  <si>
    <t>โอเว่น ฟิว พลอย</t>
  </si>
  <si>
    <t>พี่โอเว่น จากการแนะนำต่างๆ</t>
  </si>
  <si>
    <t>เลโอ ame</t>
  </si>
  <si>
    <t>ตี๋ ame</t>
  </si>
  <si>
    <t>แซค ame</t>
  </si>
  <si>
    <t>กัน ame</t>
  </si>
  <si>
    <t>แชมป์ ame</t>
  </si>
  <si>
    <t>เลโอ หลังถ่ายรูปรวม</t>
  </si>
  <si>
    <t>ปอน ปิ่น ปั้น โป่ง</t>
  </si>
  <si>
    <t>พี่ปอน แจกของ แนะนำ</t>
  </si>
  <si>
    <t>ต้น เครื่องกล</t>
  </si>
  <si>
    <t>วี เครื่องกล</t>
  </si>
  <si>
    <t>พีพี สิ่งแวดล้อม</t>
  </si>
  <si>
    <t>แดน อิเล็ก</t>
  </si>
  <si>
    <t>พงไพร โยธา</t>
  </si>
  <si>
    <t>ต้วน วิน วัสดุ</t>
  </si>
  <si>
    <t>วี นาฬิกาเจอกันเพราะเวลาเหมือนกัน</t>
  </si>
  <si>
    <t>วินโยธา วีเครื่องกล เจไฟฟ้า</t>
  </si>
  <si>
    <t>โจนัส วาดนาฬิกาพี่เขาเป็นพิธีกรแล้วได้คุย</t>
  </si>
  <si>
    <t>เก็ท ภาคอิเล็กทรอนิกส์และโทรคมนาคม</t>
  </si>
  <si>
    <t>น็อตติ้ง ภาควิศวกรรมโยธา</t>
  </si>
  <si>
    <t>ออกัส ภาควิศวกรรมอิเล็กทรอนิกส์และโทรคมนาคม</t>
  </si>
  <si>
    <t>ไนซ์ ภาควิศวกรรมอิเล็กทรอนิกส์และโทรคมนาคม</t>
  </si>
  <si>
    <t>ออม ภาควิศวกรรมอิเล็กทรอนิกส์และโทรคมนาคม</t>
  </si>
  <si>
    <t>จากกิจกรรม First Meet ของภาควิชาและรูมเมทหอ</t>
  </si>
  <si>
    <t>พี่กาน พี่ไอซ์ พี่โชคดี ภาควิศวกรรมอิเล็กทรอนิกส์และโทรคมนาคม</t>
  </si>
  <si>
    <t>พี่กานต์ เป็นพี่รหัสในภาควิชาที่ใจดี และเฟรนลี่</t>
  </si>
  <si>
    <t>เริ่ด</t>
  </si>
  <si>
    <t>โฟกัส วิศวะเคมี</t>
  </si>
  <si>
    <t>ก๊อปแก๊ป วิศวะอิเล็ก</t>
  </si>
  <si>
    <t>เวียร์ วิศวะอัตโนมัติ</t>
  </si>
  <si>
    <t>มอส วิศวะวัดคุม</t>
  </si>
  <si>
    <t>โนอา วิศวะวัดคุม</t>
  </si>
  <si>
    <t>เนปจูน วิศวะวัดคุม , มอส วิศวะวัดคุม , เติ้ล วิศวะวัดคุม , กวิน วิศวะวัดคุม , วี วิศวะคอม</t>
  </si>
  <si>
    <t>โนอา เจอผ่านโอเพ่นแชท</t>
  </si>
  <si>
    <t>พี่สายพิณ เครื่องกล , พี่ฮาย เครื่องกล ,พี่นีโอ เครื่องมือวัสดุ</t>
  </si>
  <si>
    <t xml:space="preserve">พี่สายพิณเจอจากกิจกรรม 12 นาฬิกาประทับใจที่ดูเป็นคนเรนนลี่ร่าเริง </t>
  </si>
  <si>
    <t>ตาล</t>
  </si>
  <si>
    <t>นิว ENV</t>
  </si>
  <si>
    <t>แพท AE</t>
  </si>
  <si>
    <t>สมาย CHE</t>
  </si>
  <si>
    <t>ไออุ่น จากกิจกรรมยิงเรือเพราะนั่งข้างกัน สิ่งที่น่าประทับใจกันคือเราได้คุยปรึกษากันเรื่องกิจกรรม</t>
  </si>
  <si>
    <t>ถ้ากิจกรรมวันนี้ผมจำชื่อไม่ได้ครับ</t>
  </si>
  <si>
    <t>พี่กัส จากกิจกรรมหาเวลาตรงกันผมประทับใจที่พี่เขาตลกมาก</t>
  </si>
  <si>
    <t>1.1 ปูน 1.2 ปลื้ม 1.3 ตี๋ 1.4 หร่ะ 1.5 จา</t>
  </si>
  <si>
    <t>หร่ะ ce</t>
  </si>
  <si>
    <t>ปูน เจอกันปฐมนิเทศ</t>
  </si>
  <si>
    <t>1.หงส์ 2.น้ำหวาน 3.อาร์ท</t>
  </si>
  <si>
    <t>หงส์ ชื่อเท่คับ</t>
  </si>
  <si>
    <t>1บีม วิศวกรรมเซมิคอนดักเตอร์ 2ตั้ม วิศวกรรมอุตสาหกรรม 3ภีม วิศวกรรมอุตสาหกรรม 4จัสติน วิศวกรรมอุตสาหกรรม 5พีช วิศวกรรมเครื่องกล</t>
  </si>
  <si>
    <t>1บีม วิศวกรรมเซมิคอนดักเตอร์</t>
  </si>
  <si>
    <t>2ตั้ม วิศวกรรมอุตสาหกรรม</t>
  </si>
  <si>
    <t>3ภีม วิศวกรรมอุตสาหกรรม</t>
  </si>
  <si>
    <t xml:space="preserve"> 4จัสติน วิศวกรรมอุตสาหกรรม </t>
  </si>
  <si>
    <t>5พีช วิศวกรรมเครื่องกล</t>
  </si>
  <si>
    <t>พีช ได้รู้จักการกิจกรรมนัดเวลา</t>
  </si>
  <si>
    <t>พี่ขนุน วิศวกรรมอุตสาหกร</t>
  </si>
  <si>
    <t>พี่ขนุน วิศวกรรมอุตสาหกร เข้ามาช่วยเหลือ</t>
  </si>
  <si>
    <t>สตางค์ TME</t>
  </si>
  <si>
    <t>องศา CPE</t>
  </si>
  <si>
    <t>องศา คุยสนุกสุดไม่มีถือว่าพลาด👅👅</t>
  </si>
  <si>
    <t>เชน TME ฟิว TME ซือ TME</t>
  </si>
  <si>
    <t>เชน พี่ลงทะเบียน</t>
  </si>
  <si>
    <t>ไอ CPE</t>
  </si>
  <si>
    <t>กัน CPE</t>
  </si>
  <si>
    <t>ธันย์ CPE</t>
  </si>
  <si>
    <t>ดา CPE</t>
  </si>
  <si>
    <t>ธันย์ ตอนมาวันที่ 26 เดินตากสวนธนมากินข้าว หอหญิง</t>
  </si>
  <si>
    <t>พี่ปลาย &amp; ทนะ CPE พี่บาส ครุศาสตร์</t>
  </si>
  <si>
    <t>พี่ปลาย CPE ปฐมนิเทศ วันที่ 26</t>
  </si>
  <si>
    <t>เมฆ โยธา</t>
  </si>
  <si>
    <t>ปอ เซมิ</t>
  </si>
  <si>
    <t>ภูริ เคมี</t>
  </si>
  <si>
    <t>D คอม</t>
  </si>
  <si>
    <t>ปัน ได้คุยด้วยกันตอนทำกิจกรรม</t>
  </si>
  <si>
    <t>โบนัส CHE จริง EE หยก EE</t>
  </si>
  <si>
    <t>หยก จริง รุ่นพี่ไฟฟ้า พาทำกิจกรรมสนุกๆ</t>
  </si>
  <si>
    <t>โน๊ต เครื่องกล</t>
  </si>
  <si>
    <t>เทปัญ ยานยนต์</t>
  </si>
  <si>
    <t>เต้ เจอจากกิจกรรมแฮนออน</t>
  </si>
  <si>
    <t>บอส บิ๊ก สายพิณ</t>
  </si>
  <si>
    <t>พี่บอส เจอตอนแนะนำตัว</t>
  </si>
  <si>
    <t>ภูมิ Ce</t>
  </si>
  <si>
    <t>มิน Ce</t>
  </si>
  <si>
    <t>กบ Ce</t>
  </si>
  <si>
    <t>ดีเซล Ce</t>
  </si>
  <si>
    <t>พัสดุ Ce</t>
  </si>
  <si>
    <t>ภูมิ Ce ชวนกันเล่นเกม</t>
  </si>
  <si>
    <t>มีนenv เฟียenv ภูมิenv</t>
  </si>
  <si>
    <t>มีนenv พาไปเข้าห้องนํ้า</t>
  </si>
  <si>
    <t>บิว pe</t>
  </si>
  <si>
    <t>เว็ค mce</t>
  </si>
  <si>
    <t>กิต isee</t>
  </si>
  <si>
    <t>บิว เพื่อนมาทักก่อน</t>
  </si>
  <si>
    <t>มะเมี่ยว ปิ่น ce หนุน</t>
  </si>
  <si>
    <t>มะเมี่ยว เป็นพิธีกรพูดเก่ง</t>
  </si>
  <si>
    <t>ฟ้า วิศวกรรมอุตสาหการ</t>
  </si>
  <si>
    <t>พีท วิศวกรรมระบบควบคุมและเครื่องมือวัด</t>
  </si>
  <si>
    <t>พีท วิศวกรรมเครื่องกล</t>
  </si>
  <si>
    <t>ปลื้ม วิศวกรรมสิ่งแวดล้อม</t>
  </si>
  <si>
    <t>พลอย วิศวกรรมโยธา</t>
  </si>
  <si>
    <t>นั่งข้างกันหลังจากรับรางวัล แล้วชนกัน จากนั้นขอโทษกัน แล้วก็แรกไอจี</t>
  </si>
  <si>
    <t>พี่แก้ม วิศวกรรมเครื่องกล พี่กาฟิว วิศวกรรมเคมี พี่สายพิน วิศวกรรมเครื่องกล</t>
  </si>
  <si>
    <t>พี่กาฟิว มาเป็นพี่เลี้ยงกิจกรรมวันที่ 26 คอยประสานงาน แล้วก็แชร์การเรียน การใช้ชีวิตในมหาลัยกัน</t>
  </si>
  <si>
    <t>หมัด อิเล็ก</t>
  </si>
  <si>
    <t>บอล โยธา</t>
  </si>
  <si>
    <t>เบิ้ล เคมี</t>
  </si>
  <si>
    <t>เบิ้ล จากนาฬิกา พูดคุยสอบถาม</t>
  </si>
  <si>
    <t>บีม กรุงเทพ ไผ่หลิว ไฟฟ้า</t>
  </si>
  <si>
    <t>บีม บอลปา พี่บีมเฮฮา</t>
  </si>
  <si>
    <t>ไพล ภาควิศวกรรมอุตสาหการ</t>
  </si>
  <si>
    <t>ฟิน ภาควิศวกรรมอุตสาหการ</t>
  </si>
  <si>
    <t>มิ้ว ภาควิศวกรรมอุตสาหการ</t>
  </si>
  <si>
    <t>เก็นจิ วิศวกรรมเคมี</t>
  </si>
  <si>
    <t>สกาย วิศวกรรมคอมพิวเตอร์</t>
  </si>
  <si>
    <t>ณิชา ภาควิศวกรรมอุตสาหการ</t>
  </si>
  <si>
    <t xml:space="preserve">เก็นจิ ต่อแถวซื้อน้ำแล้วเจอกัน ได้พูดคุยกัน เพื่อนน่ารักเป็นเอง </t>
  </si>
  <si>
    <t>พี่มะเมี่ยว พี่หนุน จริงๆจำชื่อพี่ที่เหลือไม่ค่อยได้ค่ะ ต้องเจอบ่อยๆถึงจะจำได้</t>
  </si>
  <si>
    <t>พี่มะเมี่ยว พิธีกรพูดเก่ง แก้ไขปัญหาเฉพาะหน้าได้ดี</t>
  </si>
  <si>
    <t>ดิส</t>
  </si>
  <si>
    <t>มาค เครื่องกล</t>
  </si>
  <si>
    <t>บิว ยานยน</t>
  </si>
  <si>
    <t>กินข้าวด้วยกันพูดคุยบนโต๊ะ</t>
  </si>
  <si>
    <t>ปลื้ม ทีน โฟโต้</t>
  </si>
  <si>
    <t>เข้ามาอธิบายกิจกรรม</t>
  </si>
  <si>
    <t>ปั้น เครื่องมือและวัสดุ</t>
  </si>
  <si>
    <t>ม่อน เครื่องมือและวัสดุ</t>
  </si>
  <si>
    <t>ภู เครื่องมือและวัสดุ</t>
  </si>
  <si>
    <t>แมก ไฟฟ้า</t>
  </si>
  <si>
    <t>ปั้น ได้รู้จักจากการมาปฐมนิเทศ</t>
  </si>
  <si>
    <t>พี่บอส พี่สกุชชี่ พี่ฟิว</t>
  </si>
  <si>
    <t>พี่สกุชชี่ เป็นที่มารับน้องและเป็นคนอธิบายลายละเอียดของกิจกรรม</t>
  </si>
  <si>
    <t>Dumper from CE</t>
  </si>
  <si>
    <t>Brave from CE</t>
  </si>
  <si>
    <t>Yoyo from ME</t>
  </si>
  <si>
    <t>Tonkla from ME</t>
  </si>
  <si>
    <t>Ton from CPE</t>
  </si>
  <si>
    <t>Dumper because we have the same birthday and he’s funny</t>
  </si>
  <si>
    <t>P’Ice, he interviewed me about surviving dodgeball game and he’s kinda supportive person.</t>
  </si>
  <si>
    <t>Kaka Chemical engineering</t>
  </si>
  <si>
    <t>Yes</t>
  </si>
  <si>
    <t xml:space="preserve">Peuypeuy chemical engineering </t>
  </si>
  <si>
    <t>Nammon chemical engineering</t>
  </si>
  <si>
    <t>Cheer chemical engineering</t>
  </si>
  <si>
    <t>Pun chemical engineering</t>
  </si>
  <si>
    <t>Guy chemical engineering</t>
  </si>
  <si>
    <t>Peuypeuy we met in S15</t>
  </si>
  <si>
    <t xml:space="preserve">P’stamp we met went l played game yesterday </t>
  </si>
  <si>
    <t xml:space="preserve">P’aim พี่น้ำค้าง พี่ฟางฟางchemical engineer </t>
  </si>
  <si>
    <t>15 hours</t>
  </si>
  <si>
    <t>admission.kmutt.ac.th website</t>
  </si>
  <si>
    <t>KMUTT Gymnasium</t>
  </si>
  <si>
    <t>pai computer enginnering</t>
  </si>
  <si>
    <t>Hero computer engineering</t>
  </si>
  <si>
    <t>Sun computer engineering</t>
  </si>
  <si>
    <t>V computer engineering</t>
  </si>
  <si>
    <t>Jun computer engineering</t>
  </si>
  <si>
    <t>Pa computer engineering</t>
  </si>
  <si>
    <t>sun pre freshy activity</t>
  </si>
  <si>
    <t>Num pre freshy activity</t>
  </si>
  <si>
    <t>Geer cpe ,putter cpe</t>
  </si>
  <si>
    <t>Yuta EIE</t>
  </si>
  <si>
    <t>Baibua EIE</t>
  </si>
  <si>
    <t>Dell EIE</t>
  </si>
  <si>
    <t>Phapear EIE</t>
  </si>
  <si>
    <t>Grace EIE</t>
  </si>
  <si>
    <t>All of friends I met them from ENE FIRST MEET</t>
  </si>
  <si>
    <t>P’ Sunny my sairahas from EIE at ENE FIRST MEET</t>
  </si>
  <si>
    <t>P’ Pun ENE , P’ Ice ENE , P’ Heng ENE</t>
  </si>
  <si>
    <t>ภูเก็ต ENE</t>
  </si>
  <si>
    <t>ปั้น ENE</t>
  </si>
  <si>
    <t>อาร์ตี้ ME</t>
  </si>
  <si>
    <t>โบนัส  ENE</t>
  </si>
  <si>
    <t>ปั้น ENE เจอตอนทำกิจกรรมแล้วคุยเลยเล่นกันต่อ ๆ มา</t>
  </si>
  <si>
    <t xml:space="preserve">พี่ปลายฝน CHE พี่แตงโม PE พี่กระปุก ENE </t>
  </si>
  <si>
    <t>พี่ปลายฝนเจอตอนทำกิจกรรมวันแรก พี่คุยเก่งตอนแนะนำฐาน</t>
  </si>
  <si>
    <t>ยูนิฟ CE</t>
  </si>
  <si>
    <t>อิซากิ, รู้จักจากรับน้อง ENE, คุยถูกคอกัน</t>
  </si>
  <si>
    <t>พี่ปลายฝน CHE พี่แตงโม PE พี่กระปุก ENE</t>
  </si>
  <si>
    <t>พี่โปรเจค, รู้จากรับน้อง ENE เป็นพี่รหัส, ได้สอบถามเรื่องต่าง ๆ และร่วมกิจกรรม</t>
  </si>
  <si>
    <t>น้ำมนต์ น้ำมนต์เป็นเพื่อนคนแรกกที่รู้จักที่มจธ.เจอกันตอนเรียนhands-on</t>
  </si>
  <si>
    <t>พี่ปอน โจนัส บอส เครื่องกล</t>
  </si>
  <si>
    <t>พี่บอส เจอพี่ตอนรับน้องวิศวะวันที่2</t>
  </si>
  <si>
    <t>เบส,หมามุ้ย เครื่องมือ ผักบุ้ง เคมี ตัง CPE จีโน่ ENE</t>
  </si>
  <si>
    <t>เบส เครื่องมือ</t>
  </si>
  <si>
    <t>หมามุ้ย เครื่องมือ</t>
  </si>
  <si>
    <t>ผักบุ้ง เคมี</t>
  </si>
  <si>
    <t xml:space="preserve">ตัง CPE </t>
  </si>
  <si>
    <t>เบสรู้จักตั้งเเต่กิจกรรมเเรก กวนดี</t>
  </si>
  <si>
    <t>พี่โบนัส CHE พี่บีม EE พี่เเฮม EE</t>
  </si>
  <si>
    <t>ได้พูดคุยทำความรู้จักกันภายในกิจกรรม</t>
  </si>
  <si>
    <t>P CPE(Inter)</t>
  </si>
  <si>
    <t>Ice CPE(Inter)</t>
  </si>
  <si>
    <t>Boss CPE(Inter)</t>
  </si>
  <si>
    <t>Ohm CPE(Inter)</t>
  </si>
  <si>
    <t>V CPE(Inter)</t>
  </si>
  <si>
    <t>Boss busted a nut</t>
  </si>
  <si>
    <t>P nam he so cool.</t>
  </si>
  <si>
    <t>Nam CPE
Pai CPE
Gun CPE</t>
  </si>
  <si>
    <t>1.1อิซากิ 1.2เก็ท 1.3กาน 1.4น้ำ 1.5ภูเก็ต</t>
  </si>
  <si>
    <t>เก็ท ENE</t>
  </si>
  <si>
    <t>กาน ENE</t>
  </si>
  <si>
    <t>M SEM</t>
  </si>
  <si>
    <t>อิซากิ รู้จักจากค่ายติว tuewel 20</t>
  </si>
  <si>
    <t>พี่แตงโม PE&amp;MCE พี่กระปุก ENE พี่ ปอง ENE</t>
  </si>
  <si>
    <t>พี่แตงโม สอนเคมีใน TUEWEL20</t>
  </si>
  <si>
    <t>มีน่า ภาควิศวกรรมสิ่งแวดล้อม</t>
  </si>
  <si>
    <t>ปั้น ภาควิศวกรรมคอมพิวเตอร์</t>
  </si>
  <si>
    <t>เจ๊ม ภาควิศวกรรมอุตสาหการ</t>
  </si>
  <si>
    <t>มี่ ภาควิศวกรรมไฟฟ้าและอิเล็กทรอนิกส์</t>
  </si>
  <si>
    <t>ออม ภาควิศวกรรมเครื่องกล</t>
  </si>
  <si>
    <t>เบญ ภาควิศวกรรมอุตสาหการ</t>
  </si>
  <si>
    <t>รู้จักจากฐานกิจกรรมและรู้ด้วยกันทั้งวัน โดยเล่นเกมด้วยกันแต่แพ้พร้อมๆกัน</t>
  </si>
  <si>
    <t>พี่ปอนด์ ภาควิศวกรรมเครื่องกล,พี่โจนัท ภาควิศวกรรมเครื่องกล,พี่ต้นอ้อ ภาควิศวกรรมเครื่องกล</t>
  </si>
  <si>
    <t>รู้จักจากฐาน12 นาฬิกา และทักผิดคิดว่าเพื่อน</t>
  </si>
  <si>
    <t>โน้ต ภาควิชาเครื่องกล</t>
  </si>
  <si>
    <t>ข้าวหอม ภาควิชาเครื่องกล</t>
  </si>
  <si>
    <t>ต้น ภาควิชายานยนต์</t>
  </si>
  <si>
    <t>จ็อบ ภาควิชาระบบควบคุมและเครื่องมือวัด</t>
  </si>
  <si>
    <t>น้ำเหนือ ภาควิชาอุตสาหกรรม</t>
  </si>
  <si>
    <t>เฟิน ภาควิชาระบบควบคุมและเครื่องมือวัด</t>
  </si>
  <si>
    <t>ข้าวหอม รู้จักจากกิจกรรมปฐมนิเทศ เพื่อนพูดคุยอย่างสนุกสนาน</t>
  </si>
  <si>
    <t>พี่กาย ภาคควบคุม พี่ติ้ก ภาคฟิสิกส์ พี่แจ็คกี้ ภาคควบคุม</t>
  </si>
  <si>
    <t>พี่กาย สอนแฮนออนด้วยความเข้าใจ</t>
  </si>
  <si>
    <t>ภูมิ(2คน) ตี๋(2คน) ไมตี้</t>
  </si>
  <si>
    <t>ตี๋ ENE</t>
  </si>
  <si>
    <t>ภูมิ MEN</t>
  </si>
  <si>
    <t>ไมตี้ ATM</t>
  </si>
  <si>
    <t>ภูมิ เข้าร่วมฐานด้วยกัน เเละ ได้มาสอบด้วยกัน</t>
  </si>
  <si>
    <t>พี่บีเฟิร์ด ENE พี่กังฟู(จำภาคไม่ได้) พี่ทิน ENE พี่ปกป้อง ENE</t>
  </si>
  <si>
    <t>พี่ปกป้อง ENE เพราะช่วยเเนะนำเรื่องการเรียน</t>
  </si>
  <si>
    <t>เอ็มเจ tme</t>
  </si>
  <si>
    <t>โทนี่ tme</t>
  </si>
  <si>
    <t>เชน tme</t>
  </si>
  <si>
    <t>เนม tme</t>
  </si>
  <si>
    <t>หมิง tme</t>
  </si>
  <si>
    <t>เมคเฟรนในไลน์ เพื่อนคนนั้นคุยสนุก ไม่น่าเบื่อ</t>
  </si>
  <si>
    <t>พี่ฟิว พี่กล้า พี่เชน TME</t>
  </si>
  <si>
    <t>ปฐมนิเทศครับ พี่ๆเอนจอยครับ ไม่หน้าบึ้ง ทำให้บรรยากาศโอเคครับ</t>
  </si>
  <si>
    <t>โทนี่ ภาคเครื่องมือและวัสดุ</t>
  </si>
  <si>
    <t>เต ภาคเครื่องมือและวัสดุ</t>
  </si>
  <si>
    <t>เชน เครื่องมือและวัสดุ</t>
  </si>
  <si>
    <t>เอ็มเจ เครื่องมือและวัสดุ</t>
  </si>
  <si>
    <t>เนย เครื่องมือและวัสดุ</t>
  </si>
  <si>
    <t>มิ้น เครื่องมือและวัสดุ</t>
  </si>
  <si>
    <t>เต รุ้จักกันตอนเล่นเวทในมอด้วยกัน</t>
  </si>
  <si>
    <t>พี่ฟิว พี่กล้า พี่เชน เครื่องมือและวัสดุ</t>
  </si>
  <si>
    <t>พี่ฟิว รุ้จักจากในไลน์</t>
  </si>
  <si>
    <t>บีม ENE (ประธานค่ายปีหน้า)</t>
  </si>
  <si>
    <t>มาร์ท ENE</t>
  </si>
  <si>
    <t>แนว ENE</t>
  </si>
  <si>
    <t>บีมENE เพื่อนเขามาทัก</t>
  </si>
  <si>
    <t>พี่พี พี่บีเฟิร์ส พี่โชคดี ENE</t>
  </si>
  <si>
    <t>พี่พี ENE พี่เขามาทักแล้วชวนคุย</t>
  </si>
  <si>
    <t xml:space="preserve">Sun computer engineering </t>
  </si>
  <si>
    <t xml:space="preserve">Fuji computer engineering </t>
  </si>
  <si>
    <t xml:space="preserve">Hero computer engineering </t>
  </si>
  <si>
    <t xml:space="preserve">V computer engineering </t>
  </si>
  <si>
    <t xml:space="preserve">Pun computer engineering </t>
  </si>
  <si>
    <t>Sun prefreshy join at same group</t>
  </si>
  <si>
    <t>Nam prefreshy he was helped me in coding</t>
  </si>
  <si>
    <t>Gear Nam butter</t>
  </si>
  <si>
    <t>เเตงโม ene</t>
  </si>
  <si>
    <t>โฟล์ค ene</t>
  </si>
  <si>
    <t>โบว ene</t>
  </si>
  <si>
    <t>ดรีม eie</t>
  </si>
  <si>
    <t>ซิตี้ eie</t>
  </si>
  <si>
    <t>ดรีม เป็นเพื่อนชาวต่างชาติคนเเรกของวันนี้</t>
  </si>
  <si>
    <t>พี่เตย์ วิดวะเคมี ตากล้องมหาลัย พี่บีเฟิร์ส ene พี่โชคดี ene</t>
  </si>
  <si>
    <t>หลิงหลิง เป็นพี่ในสายรหัส</t>
  </si>
  <si>
    <t>ออฟ ภาคเซมิ</t>
  </si>
  <si>
    <t>มุก ภาควิศวคอม</t>
  </si>
  <si>
    <t>เทอร์โบ ENE</t>
  </si>
  <si>
    <t>ตาต้า IAEE</t>
  </si>
  <si>
    <t>เพชร จากกิจกรรม นาฬิกา</t>
  </si>
  <si>
    <t>จำไม่ได้แล้วครับ</t>
  </si>
  <si>
    <t>ภูมิ จากกิจกรรมสายรหัส</t>
  </si>
  <si>
    <t>ฟาน โจ้ ต้น ภูมิ เต</t>
  </si>
  <si>
    <t>ฟาน วิศวะอุตสาหกรรม</t>
  </si>
  <si>
    <t>โจ้ วิศวะอุตสาหกรรม</t>
  </si>
  <si>
    <t>ต้น วิศวะอุตสาหกรรม</t>
  </si>
  <si>
    <t>ภูมิ วิศวะอุตสาหกรรม</t>
  </si>
  <si>
    <t>เต วิศวะอุตสาหกรรม</t>
  </si>
  <si>
    <t>แนต วิศวะอุตสาหกรรม</t>
  </si>
  <si>
    <t>ฟาน ได้รู้จักจากนั่งต่อแถว</t>
  </si>
  <si>
    <t>มะเมี่ยว บิงโก แม็ก</t>
  </si>
  <si>
    <t>มะเมี่ยว รู้จักจากเป็นพิธีกร</t>
  </si>
  <si>
    <t>Sun CPE</t>
  </si>
  <si>
    <t>Phupa CPE</t>
  </si>
  <si>
    <t>Benj CPE</t>
  </si>
  <si>
    <t>Faye CPE</t>
  </si>
  <si>
    <t>I met Sun during my lunchtime at KFC. I was clicking with him with our style of talking.</t>
  </si>
  <si>
    <t>I have not met a second year personally.</t>
  </si>
  <si>
    <t>ริน ภาควิชาอุตสาหกรรม แมคคา</t>
  </si>
  <si>
    <t>แจน ภาวิชาโยธา</t>
  </si>
  <si>
    <t>พิ้ง ภาควิชาเครื่องมือและวัสดุ</t>
  </si>
  <si>
    <t>เนย ภาควิชาเครื่องมือและวัสดุ</t>
  </si>
  <si>
    <t>ปลาย ภาควิชาเครื่องมือและวัสดุ</t>
  </si>
  <si>
    <t>ส้มโอ ภาควิชาเครื่องมือและวัสดุ</t>
  </si>
  <si>
    <t>ริน อยู่กลุ่มbloomเหมือนกัน เพื่อนสอนขึ้นรถและให้ความรู้เรื่องสายรถต่างๆ มีกิจกรรมที่สนใจเหมือนกันด้วย</t>
  </si>
  <si>
    <t>พี่เฟิร์ส ภาควิชาเครื่องมือและวัสดุ  พี่โอเว่น ภาคเครื่องมือและวัสดุ  พี่ฟิว ภาคเครื่องมือและวัสดุ</t>
  </si>
  <si>
    <t>พี่ตี๋ จากกิจกรรมปฐมนิเทศ</t>
  </si>
  <si>
    <t>Thae</t>
  </si>
  <si>
    <t>Thae CPE</t>
  </si>
  <si>
    <t>Bon CPE</t>
  </si>
  <si>
    <t>Huffle CPE</t>
  </si>
  <si>
    <t>Zen CPE</t>
  </si>
  <si>
    <t>Taylor CPE</t>
  </si>
  <si>
    <t>Kate CPE</t>
  </si>
  <si>
    <t>Zen welcome party</t>
  </si>
  <si>
    <t>Thant Welcome party</t>
  </si>
  <si>
    <t>Non welcome party</t>
  </si>
  <si>
    <t>เฟย์  คอม</t>
  </si>
  <si>
    <t>เพชรพลอย โยธา</t>
  </si>
  <si>
    <t>โม คอมอินเตอร์</t>
  </si>
  <si>
    <t>กิมมี่ สิ่งเเวดล้อม</t>
  </si>
  <si>
    <t>ตองแก้ว ไฟฟ้า เมทที่นอนด้วยกัน</t>
  </si>
  <si>
    <t>พี่กร พี่เจ พี่อิน พี่ข้าวฟ่าง พี่ธัญญ่า [CPE]</t>
  </si>
  <si>
    <t xml:space="preserve">พี่ข้าวฟ่าง พี่ไอซ์  HDS จากกิจกรรมฐานที่ 3 </t>
  </si>
  <si>
    <t>มิน โยธา</t>
  </si>
  <si>
    <t>C ยานยนต์</t>
  </si>
  <si>
    <t>รู้จักจากตอนที่ได้ไปเตะบอลด้วยกันของวิศวะที่เพื่อนๆจากหลายสาขามาเตะด้วยกันแล้วได่เจอเพื่อนคนนี้นิสัยดี คุยสนุก</t>
  </si>
  <si>
    <t>พี่ลัคกี้ พี่อาย พี่พี</t>
  </si>
  <si>
    <t>จำชื่อไม่ได้แล้ว แต่พี่เขาเป็นคนที่เดินมาทักผมคนแรกเลยตอนมาค่ายติวเวลคัมและพี่เขาก็คอยถามคอยดูแลอย่างดีครับ</t>
  </si>
  <si>
    <t>ท็อป CPE</t>
  </si>
  <si>
    <t>ปั้น CPE</t>
  </si>
  <si>
    <t>พัทธ์ CPE</t>
  </si>
  <si>
    <t>เซิ่น CPE</t>
  </si>
  <si>
    <t>ปั้น จากค่ายสโมนี่แหละครับ เจอกันตอนมารอรวมช่วงเช้า  ซึ่งปั้นไปตปทมาแล้วก็แลกเปลี่ยนให้ความรู้</t>
  </si>
  <si>
    <t>พี่น้ำ CPE พี่เจ CPE พี่กร CPE</t>
  </si>
  <si>
    <t>เซิ่น รู้จักตอนนั่งด้วยกันในห้องประชุมรวม แล้วช่วยกันตอบคำถามวิชาฟิสิกส์</t>
  </si>
  <si>
    <t>จุน ME</t>
  </si>
  <si>
    <t>พอใจ ME</t>
  </si>
  <si>
    <t>มีม ME</t>
  </si>
  <si>
    <t>นมสด CHE</t>
  </si>
  <si>
    <t>ปูเป้ ME</t>
  </si>
  <si>
    <t>เจอตอนกินข้าวเที่ยง</t>
  </si>
  <si>
    <t>พี่อาย พี่ถุงข้าว พี่การ์ตูน</t>
  </si>
  <si>
    <t>เจอก่อนไปถ่ายรูปสาขาแล้วพี่เฮฮามาก</t>
  </si>
  <si>
    <t>พึก เครื่องกล</t>
  </si>
  <si>
    <t>มิ้กกี้ เครื่องกล</t>
  </si>
  <si>
    <t>ซี โยธา</t>
  </si>
  <si>
    <t>มาร์ค ตอนเข้าฐานกิจกรรม ได้นั่งคุยกัน</t>
  </si>
  <si>
    <t>พี่โจนัท พี่ต้นอ้อ พี่ปอนด์</t>
  </si>
  <si>
    <t>พี่โจนัท ตอนฐานกิจกรรม</t>
  </si>
  <si>
    <t>ญี่ปุ่น นะโม ธีร์ ภูมิใจ หมิง</t>
  </si>
  <si>
    <t>ญี่ปุ่น ภาคเครื่องมือและวัสดุ</t>
  </si>
  <si>
    <t>ธีร์ ภาคอุตสาหกรรม</t>
  </si>
  <si>
    <t>ภูมิใจ ภาคอุตสาหกรรม</t>
  </si>
  <si>
    <t>ญี่ปุ่น เจอมาจากวันปฐมนิเทศช่วงที่ถ่ายรูปรวมตอนเช้า</t>
  </si>
  <si>
    <t>พี่โอเว่น รู้จากในกลุ่มข่าวสารของtme</t>
  </si>
  <si>
    <t>เป้ ภู เน็ค ฟักแฟง ยูริ</t>
  </si>
  <si>
    <t>เป้ TME</t>
  </si>
  <si>
    <t>เน็ค TME</t>
  </si>
  <si>
    <t>ฟักแฟง TME</t>
  </si>
  <si>
    <t>ยูริ TME</t>
  </si>
  <si>
    <t>ในกิจกรรมไม่ได้รู้จักมากขนาดนั้นมันไม่ได้ทำงานรวมกันเยอะขนาดนั้นไม่ได้มีความประทับใจใดๆ</t>
  </si>
  <si>
    <t>พี่โอเว่น พี่พลอย พี่ซือ</t>
  </si>
  <si>
    <t>พี่อะไรสักอย่างลืมชื่อ กิจกรรมโยนๆบอล การพูดเค้าฟังชัดดี</t>
  </si>
  <si>
    <t>เนส INC</t>
  </si>
  <si>
    <t>เกิ้น CPE</t>
  </si>
  <si>
    <t>ติว CPE</t>
  </si>
  <si>
    <t>เฟมยลี่CHE</t>
  </si>
  <si>
    <t>รู้จักทุกคนจากกิจกรรมฐานเวลาที่ตึกlx</t>
  </si>
  <si>
    <t>พี่โบนัสCHE  พี่บีมEE พี่แฮมEE</t>
  </si>
  <si>
    <t>พี่บีม เพราะตอบคำถามเกี่ยวกับความสงสัยในเรื่องต่างๆ</t>
  </si>
  <si>
    <t>ข้าวหอม/เครื่องกล</t>
  </si>
  <si>
    <t>ภู/เครื่องกล</t>
  </si>
  <si>
    <t>แพม/เครื่องกล</t>
  </si>
  <si>
    <t>เก่ง/เครื่องกล</t>
  </si>
  <si>
    <t>น้ำมนต์/เคมี</t>
  </si>
  <si>
    <t>แพมแพม ชวนไปตีแบต</t>
  </si>
  <si>
    <t>หิวข้าว ลีโอ ปุ่น</t>
  </si>
  <si>
    <t>หิวข้าว เสียงดังมาก</t>
  </si>
  <si>
    <t>ซัน AE</t>
  </si>
  <si>
    <t>เฟิร์น INC</t>
  </si>
  <si>
    <t>โน้ต ME</t>
  </si>
  <si>
    <t>พอใจ อุตธุรกิจ</t>
  </si>
  <si>
    <t>โน้ต เต้ รู้จักจากกิจกรรม hands on แล้วก็ได้ติดต่อกัน</t>
  </si>
  <si>
    <t>น้ำหวาน หง อาต (INC)</t>
  </si>
  <si>
    <t>น้ำหวาน รู้จักจากกิจกรรมรับน้อง</t>
  </si>
  <si>
    <t>จ๊อบ สาขา INC</t>
  </si>
  <si>
    <t>เฟิร์น สาขา INC</t>
  </si>
  <si>
    <t>นะโม สาขา AE</t>
  </si>
  <si>
    <t>ต้นขาว สาขา เมคคาทรอนิกส์</t>
  </si>
  <si>
    <t>นาน สาขา วิศวไฟฟ้า</t>
  </si>
  <si>
    <t>จ๊อบ เพื่อนพาไปซื้อแซนวิช ขึ้นมาทํากิจกรรมไม่ทัน</t>
  </si>
  <si>
    <t>นํ้าหวาน บอกรายชื่อรุ่นพี่</t>
  </si>
  <si>
    <t>นํ้าหวาน หง อาต (INC)</t>
  </si>
  <si>
    <t>1.ชาลีป 2.ข้าว 3.กัน 4.ชมพู่ 5.ฝ้าย ภาคอุต</t>
  </si>
  <si>
    <t>ชาลีป ภาคอุต</t>
  </si>
  <si>
    <t>ชมพู่ ภาคอุต</t>
  </si>
  <si>
    <t>กัน ภาคอุต</t>
  </si>
  <si>
    <t>ฝ้าย ภาคอุต</t>
  </si>
  <si>
    <t>ชมพู่ รู้จักจากกิจกรรมปฐมนิเทศ</t>
  </si>
  <si>
    <t>Pปิ่น ภาคเคมี จำได้แค่นี้ครับ</t>
  </si>
  <si>
    <t>พี่ปิ่น รู้จากมาพูดในกิจกรรมปฐมนิเทศ</t>
  </si>
  <si>
    <t>ต้นน้ำ ภาคอิเล็กทรอนิกส์</t>
  </si>
  <si>
    <t>กาฟิว ภาคอิเล็กทรอนิกส์</t>
  </si>
  <si>
    <t>ออฟ ภาคอิเล็กทรอนิกส์</t>
  </si>
  <si>
    <t>ภู ภาคเครื่องกล</t>
  </si>
  <si>
    <t>เฟิร์ส ภาคอิเล็กทรอนิกส์</t>
  </si>
  <si>
    <t>บีม เข้ากับคนง่าย</t>
  </si>
  <si>
    <t>ปัน บิ๊ก ปอน ภาคอิเล็กทรอนิกส์</t>
  </si>
  <si>
    <t>ปัน คอยช่วยเหลือตอนที่มีปัญหา</t>
  </si>
  <si>
    <t>เทอด me</t>
  </si>
  <si>
    <t>พีซ คอม</t>
  </si>
  <si>
    <t>ต้นบุญ อุตสาหการ</t>
  </si>
  <si>
    <t>ทาม ee</t>
  </si>
  <si>
    <t>มีน ce</t>
  </si>
  <si>
    <t>ทาม เจอกันในค่าย สอวนฟิสิกส์ค่าย 1 ที่จังหวัดเลย เเละได้ทำกิจกรรมวันที่ 24 ด้วยกัน</t>
  </si>
  <si>
    <t>พี่โฟโต้ me พี่เคลียร์ me พี่พูห์ me</t>
  </si>
  <si>
    <t>พี่ โฟโต้เป็นรุ่นพี่ที่เจอในค่าย metuneup17</t>
  </si>
  <si>
    <t>เพียบ</t>
  </si>
  <si>
    <t>โอ ภาคเครื่องมือและวัสดุ</t>
  </si>
  <si>
    <t>มุ่ย ภาคเครื่องมือและวัสดุ</t>
  </si>
  <si>
    <t>มาตัง ภาคเครื่องมือและวัสดุ</t>
  </si>
  <si>
    <t>เนม ภาควิชาเครื่องมือและวัสดุ</t>
  </si>
  <si>
    <t xml:space="preserve">มาตัง รู้จักจากการสอบด้วยกัน คุยถูกคอเลยสนิทกัน </t>
  </si>
  <si>
    <t>พี่ฟิว พี่เจเจ พี่บอส</t>
  </si>
  <si>
    <t>มุ่ย ขี้โม้ดี ตลก</t>
  </si>
  <si>
    <t>อลิซ แพท จ๊ะจ๋า ไอซ์ รวงข้าว</t>
  </si>
  <si>
    <t>อลิซ cpe</t>
  </si>
  <si>
    <t>ไอซ์ cpe</t>
  </si>
  <si>
    <t>พู่ไหม chem</t>
  </si>
  <si>
    <t>อลิซ รู้จักกันตอนกินข้าวกลางวันแล้วพากันไปวิ่ง</t>
  </si>
  <si>
    <t>ไอซ์cpe ทามcpe พราวche</t>
  </si>
  <si>
    <t>ทาม จากกิจกรรมปฐมhds</t>
  </si>
  <si>
    <t>หยก TME</t>
  </si>
  <si>
    <t>เจ้าขุน TME</t>
  </si>
  <si>
    <t>หยก เจอกันวันสัม</t>
  </si>
  <si>
    <t>พี่ฟิว พี่เฟส  พี่ต้นกล้า  TME</t>
  </si>
  <si>
    <t>พี่ต้นกล้า เจอกันวันสัม</t>
  </si>
  <si>
    <t>ฟอร์ด ปลื้ม ซี นัท ME เก่ง inc</t>
  </si>
  <si>
    <t>ปลื้ม EM</t>
  </si>
  <si>
    <t>รู้จักจากปฐมนิเทศวันที่21</t>
  </si>
  <si>
    <t>พี่ไอ พี่วา พี่ถุงข้าว ME</t>
  </si>
  <si>
    <t>กิจกรรมรับน้องวันที่26</t>
  </si>
  <si>
    <t>1.1.P 1.2 Ice 1.3 Ohm 1.4 Plu 1.5 V</t>
  </si>
  <si>
    <t>Plu CPE(Inter)</t>
  </si>
  <si>
    <t>Plu Got to talk with Plu a lot of time</t>
  </si>
  <si>
    <t xml:space="preserve">Ming, help me a lot P turbo also created the event </t>
  </si>
  <si>
    <t>P Num CPE
Gun CPE
T CPE</t>
  </si>
  <si>
    <t>ปลายปี, I met her in the afternoon 24 hours activity.</t>
  </si>
  <si>
    <t>I don't remember the names of the seniors, but multiple of them did interact with me during the physical activities to compliment me (primarily Dodgeball)</t>
  </si>
  <si>
    <t>Today's activity, I met the hosts of the orientation activity.</t>
  </si>
  <si>
    <t>เยอะอะ</t>
  </si>
  <si>
    <t>น้ำขิง เครื่องมือวัสดุ</t>
  </si>
  <si>
    <t>เนย เครื่องมือวัสดุ</t>
  </si>
  <si>
    <t>เนม เครื่องมือวัสดุ</t>
  </si>
  <si>
    <t>โอ เครื่องมือวัสดุ</t>
  </si>
  <si>
    <t>มิ้น เครื่องมือวัสดุ</t>
  </si>
  <si>
    <t>ปั้น เหตุการณ์คือ ทำกิจกรรมฐานด้วยกัน แล้วพอคุยกันรุ้ว่า พักอยุ่หอเดียวกัน</t>
  </si>
  <si>
    <t>พี่ฟิว พี่เต พี่เจเจ</t>
  </si>
  <si>
    <t>ฟิว เป้นประธานสาขาการผลิตเครื่องมือ คอยประสานงานกิจกรรมให้</t>
  </si>
  <si>
    <t>นะ ภาคอุตสาหการ</t>
  </si>
  <si>
    <t>สตาร์ ภาคอุตสาหการ</t>
  </si>
  <si>
    <t>ซีซ่า ภาคอุตสาหการ</t>
  </si>
  <si>
    <t>อัลฟ่า ภาคอุตสาหการ</t>
  </si>
  <si>
    <t>โอม ภาคอุตสาหการ</t>
  </si>
  <si>
    <t>นะ รู้จากการได้รวมตัวเพื่อถ่ายรูปภาคเเล้วเพื่อนก็เข้ามาทักว่าอยู่ภาคไหนสาขาอะไรรู้สึกเป็นกันเองอย่างมาจึงประทับใจ</t>
  </si>
  <si>
    <t>พี่ปอน พี่อาย พี่บาส ภาควิชาเครื่องกล</t>
  </si>
  <si>
    <t>พี่มะเหมี่ยวรู้จักจากการที่พี่เขาเป็นพิธีกรจึงประทับใจจากการพูดการทำงานของพี่เขารู้สึกมีความสามารถอย่างมาก</t>
  </si>
  <si>
    <t>เฟิร์น ระบบควบคุมและเครื่องมือวัด</t>
  </si>
  <si>
    <t>โอปอล ระบบควบคุมและเครื่องมือวัด</t>
  </si>
  <si>
    <t>ญาดา ระบบควบคุมและเครื่องมือวัด</t>
  </si>
  <si>
    <t>ฟ้า ระบบควบคุมและเครื่องมือวัด</t>
  </si>
  <si>
    <t>ใบเตย ระบบควบคุมและเครื่องมือวัด</t>
  </si>
  <si>
    <t>โอปอลจากการเมคเฟรนวันสอบวัดระดับ</t>
  </si>
  <si>
    <t>1. พี่เอย inc ,2. พี่หงส์ inc,3. พี่มีนา inc</t>
  </si>
  <si>
    <t>พี่มีนา จากการปฐมนิเทศวิศวะ</t>
  </si>
  <si>
    <t>แอม ระบบควบคุมเเละเครื่องมือวัด</t>
  </si>
  <si>
    <t>ฟ้า ระบบควบคุมเเละเครื่องมือวัด</t>
  </si>
  <si>
    <t>ญาดา ระบบควบคุมเเละเครื่องมือวัด</t>
  </si>
  <si>
    <t>โอปอ ระบบควบคุมเเละเครื่องมือวัด</t>
  </si>
  <si>
    <t>แพนเค้ก ระบบควบคุมเเละเครื่องมือวัด</t>
  </si>
  <si>
    <t>แอม จากกิจกรรมปฐมนิเทศ เพื่อนเป็นกันเองคุยสนุก</t>
  </si>
  <si>
    <t>1. เอย INC 2.หงส์ INC 3.มีนา INC</t>
  </si>
  <si>
    <t>โอเว่น จากกิจกรรมhand on พี่น่ารักดูแลเรื่องการใช้เครื่องกลึงเป็นอย่างดี</t>
  </si>
  <si>
    <t>Milk ENE</t>
  </si>
  <si>
    <t>Gobgab EIE</t>
  </si>
  <si>
    <t>Grace , met at the registration table and we chat about the department.</t>
  </si>
  <si>
    <t>Get, met at the pre orientation activity and we chat about the circuit subject.</t>
  </si>
  <si>
    <t>Ice ENE, Be first ENE, Nice ENE</t>
  </si>
  <si>
    <t>โอม PE</t>
  </si>
  <si>
    <t>โน๊ต ME</t>
  </si>
  <si>
    <t xml:space="preserve">โมเม ME </t>
  </si>
  <si>
    <t>ต้น สิ่งแวดล้อม</t>
  </si>
  <si>
    <t>โมเม จากตอนนั่งเป๋อยู่ละเพื่อนมาทำแผล</t>
  </si>
  <si>
    <t>พี่อาย พี่ปีศาจหมู พี่ปอนด์</t>
  </si>
  <si>
    <t>พี่มุก นั่งเป๋อยู่พี่แกมาเล่นด้วยตอนเล่นฐาน</t>
  </si>
  <si>
    <t xml:space="preserve">1.1 หญิง ภาควิศวะคอมพิวเตอร์ </t>
  </si>
  <si>
    <t>ติน ภาควิศวะคอมพิวเตอร์</t>
  </si>
  <si>
    <t>เนย ภาควิศวะคอมพิวเตอร์</t>
  </si>
  <si>
    <t>ติว ภาควิศวะคอมพิวเตอร์</t>
  </si>
  <si>
    <t>ชิน ภาควิศวะคอมพิวเตอร์</t>
  </si>
  <si>
    <t>หญิง รู้จักกันได้เพราะอยู่กลุ่มเดียวกันในพรีเฟรชชี่</t>
  </si>
  <si>
    <t>พี่ไอซ์ ภาควิศวะคอมพิวเตอร์ พี่ข้างฟ่าง ภาควิศวะคอมพิวเตอร์ พี่ทาม ภาคคอมพิวเตอร์</t>
  </si>
  <si>
    <t>พี่ภูมิ รู้จักกันได้เพราะเขาเเกล้งเป็นพี่เนียน2556555</t>
  </si>
  <si>
    <t>เก่ง-inc</t>
  </si>
  <si>
    <t>ปก-เคมี</t>
  </si>
  <si>
    <t>เอิร์ธ-อุตแมคคา</t>
  </si>
  <si>
    <t>เซเว่น-เครื่องกล</t>
  </si>
  <si>
    <t>ซี-ยานยนต์</t>
  </si>
  <si>
    <t>ซี-รู้จักกันเพราะค่ายติวเวลคัมและอยู่บ้านสวนธนเหมือนกัน</t>
  </si>
  <si>
    <t>พี่ฟูจิ-อุตแมคคา พี่น้ำค้าง-เคมเอ็น พี่โฟโมส-ฟิสิกส์</t>
  </si>
  <si>
    <t>พี่ฟูจิ-กิจกรรมค่ายติวเวลคัม</t>
  </si>
  <si>
    <t>Shawn เครื่องมือวัด</t>
  </si>
  <si>
    <t>โอ้ตอิม ภาคเครื่องกล</t>
  </si>
  <si>
    <t>ไอลิงโอม อุตสากการ</t>
  </si>
  <si>
    <t>ไอเป๋ต้น สิ่งแวดล้อม</t>
  </si>
  <si>
    <t>Dragon EE</t>
  </si>
  <si>
    <t>Max EE</t>
  </si>
  <si>
    <t>ลิงโอม เรื้อนเกินเลยรู้จัก</t>
  </si>
  <si>
    <t>ปีศาจหมู พี่อาย พี่เติ้ล ภาคเครื่องกล</t>
  </si>
  <si>
    <t>พี่อาย นักเล่าเรื่อง</t>
  </si>
  <si>
    <t xml:space="preserve">ตอง ME </t>
  </si>
  <si>
    <t>อูห์ ME</t>
  </si>
  <si>
    <t>คิว กิจกรรมสพายส่งลูกบอล ตอนนั้นมือหลุดจากสายแต่เพื่อนเข้ามาช่วยจับไว้</t>
  </si>
  <si>
    <t>พี่ไตเติ้ล ME พี่โฟลย์ ME พี่กาน ME</t>
  </si>
  <si>
    <t>วาโย พี่ช่วยบอกวิธีการเล่นกิจกรรมที่จำไม่ได้ว่าเล่นยังไง</t>
  </si>
  <si>
    <t>Nutty INC</t>
  </si>
  <si>
    <t>Phun INC</t>
  </si>
  <si>
    <t>Tol INC
We go dinner together.</t>
  </si>
  <si>
    <t>Jonut AE 
We go toilet together.</t>
  </si>
  <si>
    <t>Tonhom
Jonut 
Prae</t>
  </si>
  <si>
    <t>Classroom Building 3</t>
  </si>
  <si>
    <t>ปัน ChE</t>
  </si>
  <si>
    <t>นิว เซมิคอนดักเตอร์</t>
  </si>
  <si>
    <t>ใบเฟิร์น EE</t>
  </si>
  <si>
    <t>แคร์รอต CPE</t>
  </si>
  <si>
    <t>นิว เพื่อนชอบอะไรเหมือนกัน รู้จักมีมเยอะดี</t>
  </si>
  <si>
    <t>พี่การ์ฟิว Che พี่ไอซ์ CpE พี่บุ๊ค CpE</t>
  </si>
  <si>
    <t>พี่การ์ฟิวเอนเนอร์จี้เยอะมากกก พี่เข้ามาเล่นเกมใบ้คำกับกลุ่มผม พี่เขาตลกดี รั่วด้วย จากนั้นพี่ก็เล่าประสบการณ์ของพี่เขาในภาคที่พี่เขาเจอมา</t>
  </si>
  <si>
    <t>ทีม เครื่องกล</t>
  </si>
  <si>
    <t>แชมป์ เครื่องกล</t>
  </si>
  <si>
    <t>น็อป เครื่องกล</t>
  </si>
  <si>
    <t>ฟาบ วัดคุม</t>
  </si>
  <si>
    <t>ทีม รู้สึกถูกชะตา</t>
  </si>
  <si>
    <t>ปอนด์ บอส เปา เครื่องกล</t>
  </si>
  <si>
    <t>พี่ปอนด์ เขาดูเท่ดี</t>
  </si>
  <si>
    <t>บีม วัสดุ</t>
  </si>
  <si>
    <t>พิ้งค์ วัสดุ</t>
  </si>
  <si>
    <t>ผักบุ้ง วัสดุ</t>
  </si>
  <si>
    <t>ลูกตาล วัสดุ</t>
  </si>
  <si>
    <t>มาย วัสดุ</t>
  </si>
  <si>
    <t>มิ้นต์ วัสดุ</t>
  </si>
  <si>
    <t>คุยกับบีมเรื่องน้องออม</t>
  </si>
  <si>
    <t>เชน ฟิว ซือ MEN</t>
  </si>
  <si>
    <t>เฟิร์ส กิจจกรรมภาคตอนเช้า</t>
  </si>
  <si>
    <t>วา PE</t>
  </si>
  <si>
    <t>พิ้งค์ TME</t>
  </si>
  <si>
    <t>มิ้น PE</t>
  </si>
  <si>
    <t xml:space="preserve">ลูกตาล พี่เฟิร์ส TME </t>
  </si>
  <si>
    <t>วา PE  จากกิจกรรมฐานที่1 อยู่กลุ่มเดียวกันแล้วอยู่จนดึกด้วยกันเพราะอยู่หอในเหมือนกัน คุยน่ารัก พาไปทุกที่ที่อยากไป</t>
  </si>
  <si>
    <t>พี่ฟิว พี่เชน พี่เปรม</t>
  </si>
  <si>
    <t>พี่เฟิร์ส ขึ้นมาพูดคุยในภาค พี่คุยดี ดูเก่ง ดูให้คำแนะนำได้</t>
  </si>
  <si>
    <t>Aom PE</t>
  </si>
  <si>
    <t>Punch CHE</t>
  </si>
  <si>
    <t>Jun CHE</t>
  </si>
  <si>
    <t>P CPE</t>
  </si>
  <si>
    <t>Fong ME</t>
  </si>
  <si>
    <t>Fong ME is the first person who talk with me.</t>
  </si>
  <si>
    <t>P Pugun is the first person who call with me.</t>
  </si>
  <si>
    <t>P Nam CPE, P Kan CPE, P Fluke CPE</t>
  </si>
  <si>
    <t>เฟรม AME</t>
  </si>
  <si>
    <t>ไอซ์ CHE</t>
  </si>
  <si>
    <t>ซี CHE</t>
  </si>
  <si>
    <t>ซี เจอกันตอนกิจกรรมวันที่ 25 ตอนวิ่งดึงกระดาษ</t>
  </si>
  <si>
    <t>พี่ถุงข้าว พี่ไวท์ พี่อาย</t>
  </si>
  <si>
    <t>พี่ปอนด์ รู้จักจ่กกิจการม 12 นาฬิกา เป็นคนที่ให้สีสันกับฮอลได้เยอะมากกก</t>
  </si>
  <si>
    <t>ออม ภาควิศวกรรมเคมี</t>
  </si>
  <si>
    <t>ไบเบิ้ล ภาควิศวกรรมเคมี</t>
  </si>
  <si>
    <t>ผักกาด ภาควิศวกรรมอุตสาหการ</t>
  </si>
  <si>
    <t>ต๊อด ภาควิศวกรรมอิเล็กทรอนิกส์และโทรคมนาคม</t>
  </si>
  <si>
    <t>อิ่ม ภาควิศวกรรมอิเล็กทรอนิกส์และโทรคมนาคม</t>
  </si>
  <si>
    <t>ต๊อด รู้จักเพื่อนจากการนั่งรอเข้าห้องเพื่อปฐมนิเทศ เพื่อนเป็นคนพูดเก่งชวนคุยเก่ง</t>
  </si>
  <si>
    <t>พี่โดม พี่ทิน พี่ฟ้าใส ภาคอิเล</t>
  </si>
  <si>
    <t>พี่โดม เป็นพี่รหัส เล่นกีต้าเก่งมากกกกกกกก</t>
  </si>
  <si>
    <t>แฟร้ง ene</t>
  </si>
  <si>
    <t>โนอา ene</t>
  </si>
  <si>
    <t>เจอจาก กิจกรรมรับน้อง</t>
  </si>
  <si>
    <t>พี่เบนซ์ ene พี่ถั่ว ee พี่เจได ene</t>
  </si>
  <si>
    <t>พี่เจได รู้จักจากเพื่อน</t>
  </si>
  <si>
    <t>ผ้าแพร ภาคอิเล็กทรอนิกส์และโทรคมนาคม อินเตอร์</t>
  </si>
  <si>
    <t xml:space="preserve">1.2 กิม ภาควิศวกรรมศาสตร์โยธา </t>
  </si>
  <si>
    <t>1.3 ต๊อด อิเล็กทรอนิกส์และโทรคมนาคม อินเตอร์</t>
  </si>
  <si>
    <t xml:space="preserve">1.4 บิว ภาควิศวกรรมอุตสาหการ </t>
  </si>
  <si>
    <t>1.5 กาย ภาควิชาวิศวกรรมไฟฟ้า</t>
  </si>
  <si>
    <t>ผ้าแพร รู้จักจากการทำกิจกรรมฐาน มีเหตุการณ์ประทับใจที่เพื่อนน่ารักแล้วชวนคุบตลอดการทำกิจกรรม</t>
  </si>
  <si>
    <t>พี่โชคดี พี่กัส พี่ไอซ์</t>
  </si>
  <si>
    <t>พี่ทิน ได้รู้จักจากกิจกรรมฐาน เพราะพี่ทินเป็นพี่รหัสและเป็นพี่ที่คอยสันทนาการให้ความสนุกเสมอ</t>
  </si>
  <si>
    <t>1.1โอห์ม 1.2ต้าร์ 1.3Get 1.4Bdel 1.5นานี่</t>
  </si>
  <si>
    <t>โอห์ม ยานยนต์</t>
  </si>
  <si>
    <t>ต้าร์ อิเล็ก</t>
  </si>
  <si>
    <t>Get เคมี</t>
  </si>
  <si>
    <t>Bdel อิเล็ก</t>
  </si>
  <si>
    <t>Bdel รู้จักจากกิจกรรมนาฬิกา</t>
  </si>
  <si>
    <t>ปุณ (ภาคอิเล็ก) ฟ้าใส (ภาคอิเล็ก) ทิน (ภาคอิเล็ก)</t>
  </si>
  <si>
    <t>ปุณ ได้รู้จักจากกิจกรรมปฐมนิเทศสาขา เก่งมากก</t>
  </si>
  <si>
    <t>มิ้น TME</t>
  </si>
  <si>
    <t>เอ็มเจ TME</t>
  </si>
  <si>
    <t>เต TME</t>
  </si>
  <si>
    <t>เชน TME</t>
  </si>
  <si>
    <t>มิ้น จากกิจกรรมปฐมนิเทศคณะวิศวกรรม</t>
  </si>
  <si>
    <t>พี่โอเว่น พี่ฟิว พี่เฟิร์ส TME</t>
  </si>
  <si>
    <t>พี่ฟิว จากกิจกรรมปฐมนิเทศคณะวิศวกรรม เพราะพี่เขาเป็นคนดูแลน้องๆในสาขา</t>
  </si>
  <si>
    <t>มะเมี่ยว MCE</t>
  </si>
  <si>
    <t>น้ำซี CE</t>
  </si>
  <si>
    <t>ข้าวโอ๊ต CE</t>
  </si>
  <si>
    <t>มะเมี่ยวรู้จักกันผ่านเพื่อน เพื่อนเป็นคนน่ารักแล้วก็นิสัยดี</t>
  </si>
  <si>
    <t>พี่บิงโก พี่มะเหมี่ยว พี่แม็ก</t>
  </si>
  <si>
    <t>พี่บิงโก คอยช่วยเหลือค่ะะ</t>
  </si>
  <si>
    <t>Tutor CPE</t>
  </si>
  <si>
    <t>Pat CPE</t>
  </si>
  <si>
    <t>Palm CPE</t>
  </si>
  <si>
    <t>Tubtim CHE</t>
  </si>
  <si>
    <t>Tin from pre-freshy and share eating and play some sport with</t>
  </si>
  <si>
    <t>P'gears from pre-freshy he has tutor in that activity</t>
  </si>
  <si>
    <t>P'Nam CPE, P'Paii-CPE, P'Fluck-CPE</t>
  </si>
  <si>
    <t>RO.27 Course Drop Request Form</t>
  </si>
  <si>
    <t>ข้าวสวย MCE</t>
  </si>
  <si>
    <t>แพม เครื่องมือและวัสดุ</t>
  </si>
  <si>
    <t>สเตฟาน PE</t>
  </si>
  <si>
    <t>แพม เจอจากกิจกรรมฐานวันแรก ได้นั่งข้างกันและได้อยู่ทีมเดียวกัน</t>
  </si>
  <si>
    <t>พี่บิงโก พี่มะเหมี่ยว พี่แมค</t>
  </si>
  <si>
    <t>พี่บิงโก เป็นพี่ที่ช่วยจัดแจงในการถ่ายรูป</t>
  </si>
  <si>
    <t>รับทราบ</t>
  </si>
  <si>
    <t>พีช วิศวกรรมคอมพิวเตอร์</t>
  </si>
  <si>
    <t>เมฆ วิศวกรรมคอมพิวเตอร์</t>
  </si>
  <si>
    <t>ตู๋ วิศวกรรมคอมพิวเตอร์</t>
  </si>
  <si>
    <t>เติ้ล วิศวกรรมโยธา</t>
  </si>
  <si>
    <t>กร วิศวกรรมวัดคุม</t>
  </si>
  <si>
    <t>รู้จักพีชเพราะว่าอยู่หอข้างกันไปหากันง่าย</t>
  </si>
  <si>
    <t>ปาย , น้ำ , ฟลุค</t>
  </si>
  <si>
    <t>น้ำ เพราะพี่ๆชอบให้ข้อมูลกับเฟรชชี่</t>
  </si>
  <si>
    <t>ฟ้า-inc</t>
  </si>
  <si>
    <t>เจน-EE</t>
  </si>
  <si>
    <t>แก้มใส-CHE</t>
  </si>
  <si>
    <t>ครีม-CHE</t>
  </si>
  <si>
    <t>ไอซ์-INC</t>
  </si>
  <si>
    <t>ฝ้าย-CE</t>
  </si>
  <si>
    <t>ฝ้ายจากกิจกรรม12นาฬิกา</t>
  </si>
  <si>
    <t>ไผ่หลิว, พี่บีม, พี่ขุน</t>
  </si>
  <si>
    <t>พี่บีมรู้จักจากbee campที่ทำให้จดจำคือคุยเล่นในโรงอาหาร</t>
  </si>
  <si>
    <t>เพชร ภาคเครื่องกล</t>
  </si>
  <si>
    <t>กุน ภาคเครื่องกล</t>
  </si>
  <si>
    <t>เมฆ ภาคเครื่องกล</t>
  </si>
  <si>
    <t>โฟลค ภาคเครื่องกล</t>
  </si>
  <si>
    <t>เพชร พาไปซื้อกางเกงนักศึกษา</t>
  </si>
  <si>
    <t xml:space="preserve">โจนัน ภาคเครื่องกล </t>
  </si>
  <si>
    <t>โจนัน เอนเตอร์เทน</t>
  </si>
  <si>
    <t>โอม(me)</t>
  </si>
  <si>
    <t>เอิรท์(me)</t>
  </si>
  <si>
    <t>ใบว่าน(me)</t>
  </si>
  <si>
    <t>ซิว(me)</t>
  </si>
  <si>
    <t>ทิพ(me)</t>
  </si>
  <si>
    <t>ทิพ จาก ฐานกิจรรม</t>
  </si>
  <si>
    <t>โจนาส บอส สายพิม</t>
  </si>
  <si>
    <t>โจนาส จาก ฐานกิจกรรม</t>
  </si>
  <si>
    <t>กาน,ENE</t>
  </si>
  <si>
    <t>มี่,ENE</t>
  </si>
  <si>
    <t>วิช,EE</t>
  </si>
  <si>
    <t>ออม,SCN</t>
  </si>
  <si>
    <t>กาน เจอกันตอนเล่นกิจกรรมวันแรกคุยกันถูกคนจนได้เป็นเพื่อนกัน</t>
  </si>
  <si>
    <t>พี่มุก,โยธา พี่ซัน,ENE พี่อชิ,ENE</t>
  </si>
  <si>
    <t>พี่ซัน เป็นพี่ที่รู้จักตอนเข้าแถวละคุยถูกคอ</t>
  </si>
  <si>
    <t>1.1 Jun CPE, 1.2 Phupa CPE, 1.3 Namo CPE, 1.4 Jaijai CPE, 1.5 Pat CPE</t>
  </si>
  <si>
    <t>Jun CPE</t>
  </si>
  <si>
    <t>Jaijai CPE</t>
  </si>
  <si>
    <t>1.1 Jun, I met him at this activity and I shared time with him, we are good friend now.</t>
  </si>
  <si>
    <t xml:space="preserve">P.Nam, he communicate with 1st-year strong and clear </t>
  </si>
  <si>
    <t>1. P.Nam CPE 2. P.Flux CPE 3. P.Kong CPE</t>
  </si>
  <si>
    <t xml:space="preserve">Yuta EIE </t>
  </si>
  <si>
    <t xml:space="preserve">Gobgab EIE </t>
  </si>
  <si>
    <t xml:space="preserve">Phapear </t>
  </si>
  <si>
    <t>ENE first meet and health checkup</t>
  </si>
  <si>
    <t>P’mook Help with course registration.</t>
  </si>
  <si>
    <t xml:space="preserve">P’ nice p’  be first </t>
  </si>
  <si>
    <t>อินดี้ ภาคยานยนต์</t>
  </si>
  <si>
    <t>โอชิ ภาคยานยนต์</t>
  </si>
  <si>
    <t>โปโย ภาคยานยนต์</t>
  </si>
  <si>
    <t>เซเว่น ภาคเครื่องกล</t>
  </si>
  <si>
    <t>เซเว่น เจอกันตอนเดินมาทำกิจกรรมภาคบ่าย</t>
  </si>
  <si>
    <t>1.พี่คิว ภาคเครื่องกล 2.พี่ปอนด์ ภาคเครื่องกล 3.พี่อาย ภาคเครื่องกล</t>
  </si>
  <si>
    <t>พี่คิว รู้จักเพราะคุยเรื่องอาจารย์สอนวิชา drawing</t>
  </si>
  <si>
    <t>สิงโต เซมิคอนดักเตอร์</t>
  </si>
  <si>
    <t>ต้นหนาว เซมิคอนดักเตอร์</t>
  </si>
  <si>
    <t>คอปเตอร์ เซมิคอนดักเตอร์</t>
  </si>
  <si>
    <t>ป้อน เซมิคอนดักเตอร์</t>
  </si>
  <si>
    <t>นนท์ เซมิคอนดักเตอร์</t>
  </si>
  <si>
    <t>อาร์ท เซมิคอนดักเตอร์</t>
  </si>
  <si>
    <t>สิงโต คนลำปางประทับใจคนลำปสงครับ</t>
  </si>
  <si>
    <t>พี่ปุ๊กกี้ พี่เนย พี่ซัน ภาคอิเล็กทรอนิกส์</t>
  </si>
  <si>
    <t>พี่ซัน ดูแลดีครับ หล่อ</t>
  </si>
  <si>
    <t>ซีซ่า pe</t>
  </si>
  <si>
    <t>โอม pe</t>
  </si>
  <si>
    <t>เขด pe</t>
  </si>
  <si>
    <t>นนท์ me</t>
  </si>
  <si>
    <t>Q ภาค me</t>
  </si>
  <si>
    <t>โอม ค่าย ro day</t>
  </si>
  <si>
    <t>พี่เติ่ล pe พี่เเม็กpe</t>
  </si>
  <si>
    <t>พี่มะเหมี่ยว เป็นพีธีกร</t>
  </si>
  <si>
    <t>โปโย ภาควิศวกรรมเครื่องกล</t>
  </si>
  <si>
    <t>อินดี้ ภาควิศวกกรมเครื่องกล</t>
  </si>
  <si>
    <t>โฟลค เครื่องกล</t>
  </si>
  <si>
    <t>โปโย เพราะ เรียนอยู่ที่เดียวกันจากมัธยม แล้วไลฟ์สไตล์คล้ายกัน</t>
  </si>
  <si>
    <t>พี่คิว เครื่องกล พี่อาย เครื่องกล พี่ปอน เครื่องกล</t>
  </si>
  <si>
    <t>พี่คิว เพราะ ใกล้ชิดและได้สอบถามคำเเนะนำในการใช้ชีวิตในมหาบัย</t>
  </si>
  <si>
    <t>โอชิ ยานยนต์</t>
  </si>
  <si>
    <t>โปโย ยานยนต์</t>
  </si>
  <si>
    <t>โฟล์ค กิจกรรม12นาฬิกา</t>
  </si>
  <si>
    <t>คิว เครื่องกล บอนนี่ เครื่องกล อาย เครื่องกล</t>
  </si>
  <si>
    <t>คิว ได้พูดคุยแนะนำเรื่องการเรียน</t>
  </si>
  <si>
    <t>เซล่า วิศวกรรมสิ่งแวดล้อม</t>
  </si>
  <si>
    <t>อาทิตย์ วิศวกรรมเซมิคอนดักเตอร์</t>
  </si>
  <si>
    <t>เบญ วิศวกรรมไฟฟ้า</t>
  </si>
  <si>
    <t>ปลื้ม วิศวกรรมไฟฟ้า</t>
  </si>
  <si>
    <t>ได้รู้จักจากตอนรันนิ่งแมน</t>
  </si>
  <si>
    <t>ไม่ได้ทำความรู้จักรุ่นพี่</t>
  </si>
  <si>
    <t>แมค ภูมิ เมฆ โน็ต ข้าวหอม</t>
  </si>
  <si>
    <t>แมค เครื่องกล</t>
  </si>
  <si>
    <t>ภูมิ เครื่องกล</t>
  </si>
  <si>
    <t>รู้จักจากเพื่อคนที่ต้องทำกิจกรรมด้วยกัน</t>
  </si>
  <si>
    <t>ตูน เครื่องกล ปอนด์ อาย</t>
  </si>
  <si>
    <t>ตูน เครื่องกล หน้าตาเหมือนนักร้องนำเพอพีช</t>
  </si>
  <si>
    <t>เปา ENE</t>
  </si>
  <si>
    <t>กิจกรรมสันทนาการ ประทับใจจากการเล่นเกมตามฐาน</t>
  </si>
  <si>
    <t>พี่บีเฟิ้ด ENE พี่ไอซ์ ENE พี่หมี ENE</t>
  </si>
  <si>
    <t>พี่บีเฟิ้ด รู้จักจาก ENE First meet รุ่นพี่ดูแลดีมากครับ</t>
  </si>
  <si>
    <t>Fahsai Eva Aom Gino Plu</t>
  </si>
  <si>
    <t>Fahsai (ENE)</t>
  </si>
  <si>
    <t>Eva (ENE)</t>
  </si>
  <si>
    <t>Aom (EIE)</t>
  </si>
  <si>
    <t>Gino (ENE)</t>
  </si>
  <si>
    <t>Plu (ENE)</t>
  </si>
  <si>
    <t xml:space="preserve">Ran Tod </t>
  </si>
  <si>
    <t>Fahsai I met her at a freshman orientation event. She's a really nice friend.</t>
  </si>
  <si>
    <t>Her name is Nui. We met during the freshman orientation, and she took care of me throughout the past three days of activities.</t>
  </si>
  <si>
    <t>Noey Aim and Jedi</t>
  </si>
  <si>
    <t>ปลายฟ้า วิศวกรรมโยธา</t>
  </si>
  <si>
    <t>ข้าวหอม วิศวกรรมสิ่งแวดล้อม</t>
  </si>
  <si>
    <t>ปุยฝ้าย วิศวกรรมไฟฟ้า</t>
  </si>
  <si>
    <t>เป้ยเป้ย วิศวกรรมเคมี</t>
  </si>
  <si>
    <t>หมิง TME</t>
  </si>
  <si>
    <t>ปลายฟ้า กิจกรรม12นาฬิกาเพื่อยเข้ามาทักก่อน</t>
  </si>
  <si>
    <t>พี่ฟิวส์ พี่โอเว่น พี่เชน TME</t>
  </si>
  <si>
    <t>พี่ฟิวส์ รู้จักจากกิจกรรมวันนี้</t>
  </si>
  <si>
    <t>แอล ee</t>
  </si>
  <si>
    <t>ดอน sem</t>
  </si>
  <si>
    <t>เท็ดดี้ inc</t>
  </si>
  <si>
    <t>เจอเท็ดดี้จากกิจกรรมของมหาลัย</t>
  </si>
  <si>
    <t>พี่มี้ inc พี่นาย ee แม็ค  inc</t>
  </si>
  <si>
    <t>พี่มี้ เจอจากกิจกรรม ของมหาลัย</t>
  </si>
  <si>
    <t>มี่ENE</t>
  </si>
  <si>
    <t>เบลENE</t>
  </si>
  <si>
    <t>โปโกะENE</t>
  </si>
  <si>
    <t>พีคENE</t>
  </si>
  <si>
    <t>ติ๊ดต่างENE</t>
  </si>
  <si>
    <t>มี่ รู้จักจากงานรับน้องของภาควิชา</t>
  </si>
  <si>
    <t>พี่หนุน พี่กานต์ พี่ไอซ์</t>
  </si>
  <si>
    <t>พี่ทิน รู้จักจากงานรับน้องของภาควิชา</t>
  </si>
  <si>
    <t>ผมยิ่ง ภาค เครื่องมือและวัสดุ</t>
  </si>
  <si>
    <t>โอ ภาค เครื่องมือและวัสดุ</t>
  </si>
  <si>
    <t>โทนี่ ภาค เครื่องมือและวัสดุ</t>
  </si>
  <si>
    <t>มิ้นท์ ภาค เครื่องมือและวัสดุ</t>
  </si>
  <si>
    <t>MJ ภาค เครื่องมือและวัสดุ</t>
  </si>
  <si>
    <t>โทนี่ มีเรื่องสนุกเล่นเสมอ</t>
  </si>
  <si>
    <t>ฟิว โอเว่น เชน ภาคเครื่องมือและวัสดุ</t>
  </si>
  <si>
    <t>พี่กล้า พี่เชน พี่นีโอ คุ้มกิจกรรมในวันที่ผ่านมา</t>
  </si>
  <si>
    <t>โบ อิเล็กทรอนิกส์</t>
  </si>
  <si>
    <t>แตงโม อิเล็กทรอนิกส์</t>
  </si>
  <si>
    <t>แอม สิ่งแวดล้อม</t>
  </si>
  <si>
    <t>ได๋ เครื่องมือและวัสดุ</t>
  </si>
  <si>
    <t>โบ รู้จักจากการมาเช้าแล้วอยู่ด้วยกัน2คน</t>
  </si>
  <si>
    <t>พี่ซือ พี่โอเว่น พี่ฟิล ภาคเครื่องมือและวัสดุ</t>
  </si>
  <si>
    <t>พี่โอเว่น จากการมาเจอกันตอนสอบเสร็จแล้วเลี้ยงน้ำเพื่อน</t>
  </si>
  <si>
    <t>คับ</t>
  </si>
  <si>
    <t>ต้า(Ene)</t>
  </si>
  <si>
    <t>ป๋อ(Ene)</t>
  </si>
  <si>
    <t>นัส(ene)</t>
  </si>
  <si>
    <t>เปเป้(Ene)</t>
  </si>
  <si>
    <t>ออมสิน(CPE)</t>
  </si>
  <si>
    <t>ต้า เจอกันครั้งแรกกเพราะว่านั่งข้างกัน ไม่มีอะไรคุยเลยลองชวนคุยไปเรื่อยๆ</t>
  </si>
  <si>
    <t>พี่เนย(ene),พี่โชค(ene),พี่การ์น(ene)</t>
  </si>
  <si>
    <t>ไปเที่ยวเล่นกับรุ่นพี่โชค</t>
  </si>
  <si>
    <t>ณิสา ภาควิชาไฟฟ้า</t>
  </si>
  <si>
    <t>ก้อง ภาคเครื่องกล</t>
  </si>
  <si>
    <t>ปิงปิง ภาคเคมี</t>
  </si>
  <si>
    <t>กันต์ ภาคเครื่องมือและวัสดุ</t>
  </si>
  <si>
    <t>เฟิร์น ภาคไฟฟ้า</t>
  </si>
  <si>
    <t>เจ็ม ภาคอุตสาหการ</t>
  </si>
  <si>
    <t>ก้อง รู้จักจากกิจกรรมแรกที่จับคู่เวลาแล้วตกลงกันว่าจะทำอะไรกัน เพื่อนมาเดินด้วยและเล่นด้วยกันทั้งวัน</t>
  </si>
  <si>
    <t>พี่ฟิวส์ พี่โอเว่น พี่นิว</t>
  </si>
  <si>
    <t>พี่ฟิวส์ เป็นพี่ที่แจ้งข่าวสารให้ทราบ</t>
  </si>
  <si>
    <t>ok</t>
  </si>
  <si>
    <t>Jaja CPE</t>
  </si>
  <si>
    <t>Tan CPE</t>
  </si>
  <si>
    <t>Fifa CPE</t>
  </si>
  <si>
    <t>Nin CPE</t>
  </si>
  <si>
    <t>Chen CPE</t>
  </si>
  <si>
    <t>Nin , Good listeners and good friend</t>
  </si>
  <si>
    <t>P'nam CPE , he's teach me about a compro</t>
  </si>
  <si>
    <t>P'Chorus , they music are impacted me</t>
  </si>
  <si>
    <t>เป้ย MEN</t>
  </si>
  <si>
    <t>ปาย MEN</t>
  </si>
  <si>
    <t>ผักกาด MEN</t>
  </si>
  <si>
    <t>พิณ APE</t>
  </si>
  <si>
    <t>ส้มโอ MEN</t>
  </si>
  <si>
    <t>เป้ย ได้รู้จักจากการที่อยู่ในสาขาเดียวกัน พิณ ได้รู้จักจากการอยู่ในภาคเดียวกัน เหตุการณ์ประทับใจจากเพื่อนๆ ทุกคนเฟรนลี่ น่ารักมากๆ</t>
  </si>
  <si>
    <t xml:space="preserve">พี่เฟิร์ส พี่ฟิว พี่โอเวน MEN พี่มะเดี่ยว ครุศาสตร์ </t>
  </si>
  <si>
    <t>พี่เฟิร์ส รู้จักจากการที่พี่แนะนำตัวเป็นพี่ในสาขาและแนะนำเกี่ยวกับสาขาวิชาเรียน</t>
  </si>
  <si>
    <t>แซ็ค ยานยนต์</t>
  </si>
  <si>
    <t>มิกกี้ ยานยนต์</t>
  </si>
  <si>
    <t>ทาม ยานยนต์</t>
  </si>
  <si>
    <t>ชินจัง ยานยนต์</t>
  </si>
  <si>
    <t>มอส inc</t>
  </si>
  <si>
    <t>มอส inc เพราะรู้จักกันมาก่อนครับ เป็นเพื่อนร่วมชั้นตอนมัธยมปลาย แล้วได้มาอยู่มหาวิทยาลัยเดียวกันครับ และก็เจอผ่านกิจกรรมในมอด้วย</t>
  </si>
  <si>
    <t>พี่ปอนนี่ พี่โจนัส พี่เปา พี่สายพิณ พี่บอส พี่คิม</t>
  </si>
  <si>
    <t>พี่ปอนนี่ รู้จักผ่านกิจกรรมปฐมนิเทศของสโมสรวิศวกรรมศาสตร์</t>
  </si>
  <si>
    <t>เกรซ eie</t>
  </si>
  <si>
    <t>ก๊อปแก๊ป eie</t>
  </si>
  <si>
    <t>กุ้งนาง eie</t>
  </si>
  <si>
    <t>บัว eie</t>
  </si>
  <si>
    <t>เดล eie</t>
  </si>
  <si>
    <t>ยูตะ eie</t>
  </si>
  <si>
    <t>ทำกิจกรรมวิ่งเกียร์กับเกรซ</t>
  </si>
  <si>
    <t>พี่ไอซ์พาเดินไปถ่ายรุปรุ่น67</t>
  </si>
  <si>
    <t>ไอซ์ ene  เตย์ ene มุก eie</t>
  </si>
  <si>
    <t>Arriving late to class</t>
  </si>
  <si>
    <t>Computer Center Building</t>
  </si>
  <si>
    <t>วินเทอร์ ยานยนต์</t>
  </si>
  <si>
    <t>พลอย ถ่ายรูปรวม มีเรื่องที่คล้ายกันหลายเรื่องมาก</t>
  </si>
  <si>
    <t>พี่สายพิณ เครื่องกล พี่ปอนด์ เครื่องกล พี่เปา เครื่องกล</t>
  </si>
  <si>
    <t>เปา พี่เสียดัง ตลกดี</t>
  </si>
  <si>
    <t>โรม ออโต้ มิวสิค ไทม์ ภูผา</t>
  </si>
  <si>
    <t>ออโต้ ISEE</t>
  </si>
  <si>
    <t>มิวสิค PE</t>
  </si>
  <si>
    <t>ไมท์ ISEE</t>
  </si>
  <si>
    <t>ภูผา ISEE</t>
  </si>
  <si>
    <t xml:space="preserve">ออโต้ จากกิจกรรมปฐมนิเทศวันแรกจากฐานกิจกรรม </t>
  </si>
  <si>
    <t>พี่นาย พี่มะเหมี่ยว พี่แชมป์</t>
  </si>
  <si>
    <t>พี่นาย จากปฐมนิเทศเห้นจากคบิปบนจอ</t>
  </si>
  <si>
    <t>โยโย่ เครื่องดกล</t>
  </si>
  <si>
    <t>ปิ่นมุก รู้จักจากการถ่ายรูปรวมตอนเช้า ปิ่นมุกแบ่งพัดลมให้ใช้</t>
  </si>
  <si>
    <t>พี่สายพิณ เครื่องกล พี่เปา เครื่องกล พี่ปอนด์ เครื่องกล</t>
  </si>
  <si>
    <t>สายพิณ เป็นพิธีกรในปฐมนิเทศ เป็นคนพูดเก่ง</t>
  </si>
  <si>
    <t>Joy EIE</t>
  </si>
  <si>
    <t>Ji EIE</t>
  </si>
  <si>
    <t>Preem ENE</t>
  </si>
  <si>
    <t>Pond EIE</t>
  </si>
  <si>
    <t>Pai EIE</t>
  </si>
  <si>
    <t xml:space="preserve">Joy enjoy eating </t>
  </si>
  <si>
    <t>Fleurine the best moment</t>
  </si>
  <si>
    <t>Bent ene 
fest ene
ice ene</t>
  </si>
  <si>
    <t>ปลื้ม ENV</t>
  </si>
  <si>
    <t>มิน ENV</t>
  </si>
  <si>
    <t>เบส ENV</t>
  </si>
  <si>
    <t>นาย ENV</t>
  </si>
  <si>
    <t>ปอ CE</t>
  </si>
  <si>
    <t>ไทเกอร์ ENV - รู้จักเพือนจากกิจกรรมรับน้องเมื่อวานครับ เป็นเพื่อนที่ไปไหนก็ไปด้วยกันหมด</t>
  </si>
  <si>
    <t>พี่จ๋า,พี่ต้นข้าว,พี่หวาน ENV</t>
  </si>
  <si>
    <t>พี่น้อง ENV - รู้จักจากกิจกรรม J-ENV 10TH เมื่อปีที่แล้ว พี่น้องเป็นพี่กลุ่ม คอยดูแลและช่วยเหลือผมและเพื่อนๆในกลุ่มขณะทำกิจกรรม</t>
  </si>
  <si>
    <t>1.1 หยง 1.2มี่ 1.3นาย 1.4ฟุก 1.5โนอา</t>
  </si>
  <si>
    <t>ฟุก PE</t>
  </si>
  <si>
    <t>โนอา ENE</t>
  </si>
  <si>
    <t>โนอา จากกิจกรรมตอนบ่ายวันที่26</t>
  </si>
  <si>
    <t>ไอซ์ ene ษาene แบงค์ene</t>
  </si>
  <si>
    <t>พี่ไอซ์  เป็นพี่ในภาคที่ดูแลดีมาก</t>
  </si>
  <si>
    <t>คิว ภาคโยธา</t>
  </si>
  <si>
    <t>อาร์ม ภาค โยธา</t>
  </si>
  <si>
    <t>เอิธ ภาคอิเล็ก</t>
  </si>
  <si>
    <t>หนึ่ง ภาคอิเล็ก</t>
  </si>
  <si>
    <t>ซุงโฟกัสภาคอิเล็ก</t>
  </si>
  <si>
    <t>เอิธได้รู้จักกันจากการออกกำลังกาย</t>
  </si>
  <si>
    <t>พี่ทาม รู้จักกันจากตอนลงรถที่มาถึงม.</t>
  </si>
  <si>
    <t>พี่มาร์คเเนะนำกิจกรรมในงานให้ฟัง</t>
  </si>
  <si>
    <t>จอย อีวา ชมพู่ ต๊อด เเพม</t>
  </si>
  <si>
    <t>จอย eie</t>
  </si>
  <si>
    <t>อีวาene</t>
  </si>
  <si>
    <t>ชมพู่ ene</t>
  </si>
  <si>
    <t>แพม ten</t>
  </si>
  <si>
    <t>ต๊อด ene</t>
  </si>
  <si>
    <t>เจอตรงฐานเล่นเกมสุดปังมากก</t>
  </si>
  <si>
    <t>ปัน ene เป็นพี่รหัส</t>
  </si>
  <si>
    <t>เป็นพี่รหัสที่ดีมากกก</t>
  </si>
  <si>
    <t>แอนฟิวส์ ภาคโยธานานาชาติ</t>
  </si>
  <si>
    <t>ปลื้ม ภาคโยธานานาชาติ</t>
  </si>
  <si>
    <t>เอ็ม ภาคอิเล็ก</t>
  </si>
  <si>
    <t>พลอยน้ำ ภาคอิเล็ก</t>
  </si>
  <si>
    <t>สกาย ภาคอิเล็ก</t>
  </si>
  <si>
    <t>แอนฟิว เข้าฐานกิจกรรม</t>
  </si>
  <si>
    <t>1.พี่แทค 2.พี่บีเฟิร์ส 3.พี่โชคดี</t>
  </si>
  <si>
    <t>พี่บีเฟิร์ส พี่เป็นกันเอง ใจดี เต็มที่กับงาน คอยช่วยเหลือตลอดพบได้เพราะเป็นพี่ในภาค</t>
  </si>
  <si>
    <t>แม็ก เครื่องกล</t>
  </si>
  <si>
    <t>เพลงไทย เครื่องกล</t>
  </si>
  <si>
    <t>พีท ระบบวัดคุม</t>
  </si>
  <si>
    <t>ยีนส์ ยานยนต์</t>
  </si>
  <si>
    <t>พี่เฟิร์สจิ เป็นรุ่นพี่ รร.เก่า</t>
  </si>
  <si>
    <t>พี่โจนัท เครื่องกล พี่เปา เครื่องกล พี่เฟิร์สเครื่องกล</t>
  </si>
  <si>
    <t>พี่เฟิร์สจิ จากกิจกรรม รับน้อง ทำให้เห็นถึงความเสียสละทุ่มเท</t>
  </si>
  <si>
    <t>ปุน AME แซก AME ม่อน ME นัท AME เซเว่น AME</t>
  </si>
  <si>
    <t>ปุน AME</t>
  </si>
  <si>
    <t>เซเว่น AME</t>
  </si>
  <si>
    <t>แซก AME</t>
  </si>
  <si>
    <t>ม่อน รู้จักในกิจกรรมรับน้องเป็นคนตลก</t>
  </si>
  <si>
    <t>พี่สายพิณ พี่ปอนด์ พี่วา</t>
  </si>
  <si>
    <t>พี่วากิจกรรมรับน้อง</t>
  </si>
  <si>
    <t>เอิบอิ่ม TME</t>
  </si>
  <si>
    <t>ได้รู้จักญี่ปุ่นจากตอนเล่นกิจกรรมตอบคำถามที่ห้องภาควิชา</t>
  </si>
  <si>
    <t>พี่ฟิว TME พี่โอเว่น TME พี่เชน TME</t>
  </si>
  <si>
    <t>พี่ฟิว เจอตอนต้อนรับน้องๆ</t>
  </si>
  <si>
    <t>ออม อุตสาหการ</t>
  </si>
  <si>
    <t>ชินจัง เครื่องกล</t>
  </si>
  <si>
    <t>ต๊อบแต๊บ อิเล็ก</t>
  </si>
  <si>
    <t>ต๊อบแต๊บ กิจกรรมฐานวันที่ 25 เพื่อนคุยเก่งเฟรนลี่</t>
  </si>
  <si>
    <t>พี่เคน พี่บีเฟิร์ส พี่โชคดี ภาคอิเล็ก</t>
  </si>
  <si>
    <t>พี่บีเฟิร์ส พี่คอยดูแลน้องในภาคอย่างดี</t>
  </si>
  <si>
    <t>ไนน์ ene</t>
  </si>
  <si>
    <t>ก้อปแกปene</t>
  </si>
  <si>
    <t>ปิงปองene</t>
  </si>
  <si>
    <t>มาวินene</t>
  </si>
  <si>
    <t>เพลงene</t>
  </si>
  <si>
    <t>ไนน์เจอในกิจกรรม</t>
  </si>
  <si>
    <t>พี่ไอซ์เจอตั้งแต่เช้า</t>
  </si>
  <si>
    <t>เจอพี่ไอซ์ เจอพี่บีเฟิร์ส</t>
  </si>
  <si>
    <t>Facebook page of the KMUTT Faculty of Engineering Student Club</t>
  </si>
  <si>
    <t>หมัด ENE</t>
  </si>
  <si>
    <t>ไนน์รู้จักจากกิจกรรม first meet ของภาควิชา ที่จำได้เพราะเป็นเพื่อนคนแรกที่มาทักทาย</t>
  </si>
  <si>
    <t>พี่ไอซ์ ENE, พี่ภูมิ ENE, พี่กาน ENE</t>
  </si>
  <si>
    <t>พี่ภูทับเบิก ได้รู้จักจากกิจกรรม first meet ของภาควิชาที่จำได้เพราะเป็นพี่ในสายรหัส</t>
  </si>
  <si>
    <t>แฟร้ง อิเล็กทรอนิกส์และโทรมนาคม</t>
  </si>
  <si>
    <t>เจเจ อิเล็กทรอนิกส์และโทรมนาคม</t>
  </si>
  <si>
    <t>เจอกันตอนกินข้าว เพื่อนชวนไปนั่งกินข้าว</t>
  </si>
  <si>
    <t>พี่เบนซ์ เป็นพี่รหัส มาพูดคุยทักทาย</t>
  </si>
  <si>
    <t>1.1นะ MCE 1.2มีน MCE 1.3อัลฟ่าMCE 1.4กัส MCE 1.5นะ MCE 1.6มิ้นMCE</t>
  </si>
  <si>
    <t>ซีซ่า เป็นคนแรกที่เจอในกิจกรรมแล้วจากนั้นก็พาไปพบเพื่อนคนอื่นๆอีก</t>
  </si>
  <si>
    <t>พี่เกม พี่มอส พี่จิว ภาควิชาผมจำไม่ได้จริงๆ</t>
  </si>
  <si>
    <t>ได้พูดคุยพบปะกันได้รับคำแนะนำสอนในเรื่องต่างๆ และคลายเครียด</t>
  </si>
  <si>
    <t>นิค เครื่องกล</t>
  </si>
  <si>
    <t>ยีน เครื่องกล</t>
  </si>
  <si>
    <t>ซิตี้ อิเล็กทรอนิกส์</t>
  </si>
  <si>
    <t>นิค อยู่กลุ่มเดียวกันในฐานrunman ดึงกระดาษ</t>
  </si>
  <si>
    <t xml:space="preserve">พี่วา พี่ปอน พี่โจนัท เครื่องกล </t>
  </si>
  <si>
    <t>พี่ปอนจากกิจกรรม</t>
  </si>
  <si>
    <t>Yacht AE</t>
  </si>
  <si>
    <t>Guide AE</t>
  </si>
  <si>
    <t>Din AE</t>
  </si>
  <si>
    <t>Ploy AE</t>
  </si>
  <si>
    <t>BJ AE</t>
  </si>
  <si>
    <t>My friend is Din , play basketball with me</t>
  </si>
  <si>
    <t>Ploy , play doge ball station</t>
  </si>
  <si>
    <t>1) Gamm , i met gym
2) tiger , play game
3) luthor , like same thing</t>
  </si>
  <si>
    <t>เบส ภาควิชาวิศวกรรมระบบควบคุมและเครื่องมือวัด</t>
  </si>
  <si>
    <t>พี ภาควิชาวิศวกรรมระบบควบคุมและเครื่องมือวัด</t>
  </si>
  <si>
    <t>การ์ตูน ภาควิชาวิศวกรรมระบบควบคุมและเครื่องมือวัด</t>
  </si>
  <si>
    <t>โตโต้ ภาควิชาวิศวกรรมระบบควบคุมและเครื่องมือวัด</t>
  </si>
  <si>
    <t>เกรซ ภาควิชาวิศวกรรมระบบควบคุมและเครื่องมือวัด</t>
  </si>
  <si>
    <t>เบส รู้จักจากปฐมนิเทศ ได้คุยทำความรู้จักกัน</t>
  </si>
  <si>
    <t>พี่น้ำหวาน พี่หงส์ พี่อาร์ต</t>
  </si>
  <si>
    <t>พี่น้ำหวาน รู้จักจากปฐมนิเทศ</t>
  </si>
  <si>
    <t>เเจ็ค ภาควิชาวิศวกรรมระบบควบคุมเเละเครื่องมือวัด</t>
  </si>
  <si>
    <t>เบล ภาควิชาวิศวกรรมระบบควบคุมเเละเครื่องมือวัด</t>
  </si>
  <si>
    <t>โตโต้ ภาควิชาวิศวกรรมระบบควบคุมเเละเครื่องมือวัด</t>
  </si>
  <si>
    <t>ภูริ ภาควิชาวิศวกรรมเคมี</t>
  </si>
  <si>
    <t>ปริ้น ภาควิชาวิศวกรรมระบบควบคุมเเละเครื่องมือวัด</t>
  </si>
  <si>
    <t>เเจ็ค จากการนั่งข้างกัน</t>
  </si>
  <si>
    <t>น้ำหวาน หงส์ อาร์ต ภาควิชาวิศวกรรมระบบควบคุมเเละเครื่องมือวัด</t>
  </si>
  <si>
    <t>น้ำหวาน จากการปฐมนิเทศ</t>
  </si>
  <si>
    <t>โสพันธ์</t>
  </si>
  <si>
    <t>ทาน sem</t>
  </si>
  <si>
    <t>บอส sem</t>
  </si>
  <si>
    <t>ซุง sem</t>
  </si>
  <si>
    <t>มายด์ sem</t>
  </si>
  <si>
    <t>ทาม เจอฐานดึงกระดาษ ตลก</t>
  </si>
  <si>
    <t>พี่ดาด้า พี่โต๋ พี่ไผ่ ENE</t>
  </si>
  <si>
    <t>ไผ่เพราะเล่นเกมฐานพี่เขา</t>
  </si>
  <si>
    <t>เจน อิเล็กทรอนิกส์</t>
  </si>
  <si>
    <t>เบลล์ อิเล็กทรอนิกส์</t>
  </si>
  <si>
    <t>หย๋ง อิเล็กทรอนิกส์</t>
  </si>
  <si>
    <t>เพรช อุตสาหการ</t>
  </si>
  <si>
    <t>ชมพู่ อุตสาหการ รู้จักจากกิจกรรมฐานต่างๆ</t>
  </si>
  <si>
    <t>พี่บลู พี่ปูเป้</t>
  </si>
  <si>
    <t>พี่ปูเป้ รู้จักจากเฟิสท์มีต</t>
  </si>
  <si>
    <t>นานา inc</t>
  </si>
  <si>
    <t>เพชร inc</t>
  </si>
  <si>
    <t>เวนิส inc</t>
  </si>
  <si>
    <t>เวนิส เพราะเพื่อนชวนคุยเก่งมากๆ มีอะไรก็บอกตลอด เจอกันตอนปฐมนิเทศ</t>
  </si>
  <si>
    <t>พี่มีนา พี่mee พี่hongwhaa inc</t>
  </si>
  <si>
    <t>พี่มีนาเจอตอนปฐมนิเทศ</t>
  </si>
  <si>
    <t>เจนนิท สิ่งแวดล้อม</t>
  </si>
  <si>
    <t>โฟลค์ สิ่งแวดล้อม</t>
  </si>
  <si>
    <t>กอล์ฟ สิ่งแวดล้อม</t>
  </si>
  <si>
    <t>ก้อง สิ่งแวดล้อม</t>
  </si>
  <si>
    <t>เจนนิท คุยถูกคอ</t>
  </si>
  <si>
    <t>พี่หวาน พี่เฟียร์</t>
  </si>
  <si>
    <t>พี่หวาน ได้คุยกันตอนเรียกสัมภาษณ์</t>
  </si>
  <si>
    <t>คิม ENV</t>
  </si>
  <si>
    <t>พัส CE</t>
  </si>
  <si>
    <t>ดีเซล CE</t>
  </si>
  <si>
    <t>แดน CE</t>
  </si>
  <si>
    <t>มิน CE</t>
  </si>
  <si>
    <t>กบ ได้รู้จักจากความสนุกของกิจกรรมฐาน</t>
  </si>
  <si>
    <t>พี่มิน ENV พี่ข้าวหอม CE พี่ไลอ้อน CE</t>
  </si>
  <si>
    <t>พี่ข้าวหอม CE ได้รู้จักจากค่าย civil camp 19th</t>
  </si>
  <si>
    <t>โกโก้ isee</t>
  </si>
  <si>
    <t>2.ออม pe</t>
  </si>
  <si>
    <t>3.พอเพียงpe</t>
  </si>
  <si>
    <t>4.เปียโนpe</t>
  </si>
  <si>
    <t>5.ดังpe</t>
  </si>
  <si>
    <t>6. มอส isee</t>
  </si>
  <si>
    <t>1.พอเพียง จากการเมคเฟรน</t>
  </si>
  <si>
    <t xml:space="preserve">พี่บิวMCE พี่ขนุนCE พี่นายENE </t>
  </si>
  <si>
    <t>พี่นาย จากกิจกรรมแนะนำสโมสร</t>
  </si>
  <si>
    <t xml:space="preserve">มิ้น TME </t>
  </si>
  <si>
    <t>เนมTME</t>
  </si>
  <si>
    <t>พอย เครื่องกล</t>
  </si>
  <si>
    <t>มุ่ยTME</t>
  </si>
  <si>
    <t>เตTME</t>
  </si>
  <si>
    <t>มิ้นTME เจอวันแรกตอนวันปฐมนิเทศวันแรก ประทับใจตรงที่เป็นกันเองมากพาเราเข้ากลุ่มด้วยตอนนี้กลุ่มมี15คนเลยยย</t>
  </si>
  <si>
    <t>พี่ฟิว พี่เฟิส พี่โอเว่น</t>
  </si>
  <si>
    <t>พี่ฟิว รู้จักตอนขึ้นภาคก่อนถ่ายรูป พี่เข้ามาถามว่าอยู่สาขาไหนแล้วแนะนำว่าต้องไปที่ไหน</t>
  </si>
  <si>
    <t>ต้น เครื่องมือและวัสดุ</t>
  </si>
  <si>
    <t>บิ๊ก เครื่องมือและวัสดุ</t>
  </si>
  <si>
    <t>อั้ม เคมี</t>
  </si>
  <si>
    <t>เทดดี้ เครื่องมือวัด</t>
  </si>
  <si>
    <t>เกื้อ ISEE</t>
  </si>
  <si>
    <t>โรมกับเกื้อ เพราะอยู่ดีๆเพื่อนก็มาทัก</t>
  </si>
  <si>
    <t>พี่มะเมี่ยว พี่ขนุน พี่ปิ่น</t>
  </si>
  <si>
    <t>พี่แอม รู้จากกิจกรรมที่ต้องหาเพื่อนในแต่ละช่วงเวลาเพราะอยู่ดีๆก็จะพาไปตีฉิ่ง</t>
  </si>
  <si>
    <t>นัท ene</t>
  </si>
  <si>
    <t>พีท ice</t>
  </si>
  <si>
    <t>0 0 0</t>
  </si>
  <si>
    <t xml:space="preserve">ม่ายมี ม่ายมี  ม่ายมี </t>
  </si>
  <si>
    <t>ดรีม EIE</t>
  </si>
  <si>
    <t>ก๊อปแก๊ป EIE</t>
  </si>
  <si>
    <t>บัว EIE</t>
  </si>
  <si>
    <t>กุ้งนาง EIE</t>
  </si>
  <si>
    <t>ยูตะ EIE</t>
  </si>
  <si>
    <t>ก๊อปแก๊ป EIE เพราะเป็นเพื่อนคนแรก</t>
  </si>
  <si>
    <t>พี่ไอซ์ EIE เพราะเป็นดูแล เทคแคร์ดี</t>
  </si>
  <si>
    <t>พี่ไอซ์ ene
พี่โชคดี ene
พี่ซัน ene</t>
  </si>
  <si>
    <t>First PE</t>
  </si>
  <si>
    <t>ถ่ายรูปรวมตึกLX</t>
  </si>
  <si>
    <t>ข้าวPE กล้าpe เจมPE</t>
  </si>
  <si>
    <t>รุ่นพี่ช่วยจัดแถว และดูดีดๆเพื่อของcontactไว้</t>
  </si>
  <si>
    <t>นํ้าฟ้า cpe</t>
  </si>
  <si>
    <t>ช้าง ee</t>
  </si>
  <si>
    <t>สายพิณ me</t>
  </si>
  <si>
    <t>ฟ้า ice</t>
  </si>
  <si>
    <t>ข้าวหอม env</t>
  </si>
  <si>
    <t>ช้าง ee เจอกันผ่านการเล่นเกมนาฬิกา เดินสวนกันแล้วชนกันทำาให้ได้รู้จักกัน</t>
  </si>
  <si>
    <t>พี่เจเจ or พี่บิว cpe พี่นาย ene</t>
  </si>
  <si>
    <t>สานพิณ me พี่เข้ามาช่วยเล่นเกม</t>
  </si>
  <si>
    <t>บีเดล ene</t>
  </si>
  <si>
    <t>โบวี่ ene</t>
  </si>
  <si>
    <t>เปเป้ ene</t>
  </si>
  <si>
    <t>เปเป้ ได้กิจกรรมฐานต่างๆได้สนุกรวมกัน</t>
  </si>
  <si>
    <t>พี่ใบเฟิร์น พี่ออมสิน พี่ภูมิ</t>
  </si>
  <si>
    <t>พี่ใบเฟิร์น มาสอนเล่นกิจกรรม</t>
  </si>
  <si>
    <t>กบ โยธา</t>
  </si>
  <si>
    <t>ใบบุญ สิ่งเเวดล้อม</t>
  </si>
  <si>
    <t>ขุนหลวง โยธา</t>
  </si>
  <si>
    <t>ปาล์ม โยธา</t>
  </si>
  <si>
    <t>น้ำซี รู้จักจากการที่ได้ถ่ายรูปภาควิชาด้วยกัน</t>
  </si>
  <si>
    <t>พี่ข้าว โยธา พี่จ๊ะจ๋า โยธา พี่เเชมป์ โยธา</t>
  </si>
  <si>
    <t>พี่จ๊ะจ๋า จากการที่เป้นพี่สตาฟมาคุมน้องเเละดูเเลเป็นอย่างดี</t>
  </si>
  <si>
    <t>อั้ม วิศวกรรมเคมี</t>
  </si>
  <si>
    <t>แอ๊น วิศวกรรมไฟฟ้า</t>
  </si>
  <si>
    <t>หนูดี วิศวกรรมสิ่งแวดล้อม</t>
  </si>
  <si>
    <t>พอเพียง วิศวกรรมไฟฟ้า</t>
  </si>
  <si>
    <t>ปิง วิศวกรรมอุตสาหการ</t>
  </si>
  <si>
    <t>ลูกพีช kosen ปันปัน วิศวกรรมเคมี</t>
  </si>
  <si>
    <t>ปันปัน จากการที่ได้อยู่กลุ่มเดียวกันแล้วทำกิจกรรมด้วยกัน</t>
  </si>
  <si>
    <t>น้ำค้าง โฟกัส ปิน</t>
  </si>
  <si>
    <t>ผักกาด วิศวกรรมอุตสาหกรรม</t>
  </si>
  <si>
    <t>แมนยู วิศวกรรมไฟฟ้า</t>
  </si>
  <si>
    <t>โน้ต วิศวกรรมไฟฟ้า</t>
  </si>
  <si>
    <t>ต้นธาร วิศวกรรมวัสดุ</t>
  </si>
  <si>
    <t>โน้ต จากค่าย BEE Camp เป็นคนตลกคุยง่าย ดูอนิเมะเรื่องวันพีชและอยากเป็นราชาโจรสลัดให้ได้เลย</t>
  </si>
  <si>
    <t>บีม EE ปลื้ม EE โชกุน EE</t>
  </si>
  <si>
    <t>พี่ขวัญ จาก BEE Camp เป็นพี่ที่ทุ่มเทสุดๆ ทุ่มเทจนเสียงแหบเลย ชอบเต้นติ้กต้อกมาก</t>
  </si>
  <si>
    <t>ข้าวตัง วิศวะเคมี</t>
  </si>
  <si>
    <t>อาร์ม วิศวะโยธา</t>
  </si>
  <si>
    <t>ปลื้ม วิศวเครื่องกล</t>
  </si>
  <si>
    <t>คอส วิศวะเครื่องกล</t>
  </si>
  <si>
    <t>ภูผา วิศวอุตสาหการ</t>
  </si>
  <si>
    <t>ข้าวตัง เล่นฐานแล้วเจอกัน คุยสนุก</t>
  </si>
  <si>
    <t xml:space="preserve">พี่หยก พี่มิว พี่อุนจิ </t>
  </si>
  <si>
    <t>พี่อุนจิ แนะนำดี คลก</t>
  </si>
  <si>
    <t>V CPE</t>
  </si>
  <si>
    <t>Fuji CPE</t>
  </si>
  <si>
    <t>Tam CPE</t>
  </si>
  <si>
    <t>Boom CPE</t>
  </si>
  <si>
    <t>Boom invite to play snook</t>
  </si>
  <si>
    <t xml:space="preserve">Hero invite to play basketball </t>
  </si>
  <si>
    <t>Sun invite to play board game</t>
  </si>
  <si>
    <t>20 hours</t>
  </si>
  <si>
    <t>Improper dress code</t>
  </si>
  <si>
    <t>เมเม ภาควิชาวิศวกรรมคอมพิวเตอร์</t>
  </si>
  <si>
    <t>ภูผา ภาควิชาวิศวกรรมคอมพิวเตอร์</t>
  </si>
  <si>
    <t>เบญ ภาควิชาวิศวกรรมคอมพิวเตอร์</t>
  </si>
  <si>
    <t>ตัน ภาควิชาวิศวกรรมคอมพิวเตอร์</t>
  </si>
  <si>
    <t>โชติ ภาควิชาวิศวกรรมคอมพิวเตอร์</t>
  </si>
  <si>
    <t>เมเม ปฐมนิเทศแล้วอยู่กลุ่มbloomด้วยกัน</t>
  </si>
  <si>
    <t xml:space="preserve">พี่น้ำ,พี่ก้อง,พี่ครีม ภาควิชาวิศวกรรมคอมพิวเตอร์ </t>
  </si>
  <si>
    <t>พี่น้ำ ทำแบบสอบถามเลยได้ทำความรู้จัก</t>
  </si>
  <si>
    <t>เพนเตอร์ CPE</t>
  </si>
  <si>
    <t>จีตง CPE</t>
  </si>
  <si>
    <t>นโม CPE</t>
  </si>
  <si>
    <t>เซิ่น CPE รู้จักการตอนนั่งฟังกิจกรรมปฐมนิเทศ</t>
  </si>
  <si>
    <t>พี่เจ CPE พี่กร CPE พี่นํ้า CPE</t>
  </si>
  <si>
    <t>พี่กร CPE อยู่ใกล้ๆกัน ตอนปฐมนิเทศ</t>
  </si>
  <si>
    <t>พอเพียง (PE)</t>
  </si>
  <si>
    <t>ออม (ENE)</t>
  </si>
  <si>
    <t>พิม (SEM)</t>
  </si>
  <si>
    <t>ฝ้าย (ChE)</t>
  </si>
  <si>
    <t>ตั้ม (PE)</t>
  </si>
  <si>
    <t>พี่บัส (ENE)</t>
  </si>
  <si>
    <t>พอเพียง เจอจากกลุ่มdesignคนเชียงใหม่แต่เรียกเพื่อนว่าออม</t>
  </si>
  <si>
    <t>พี่บัส พี่ธัช พี่โชคดี (ENE)</t>
  </si>
  <si>
    <t>พี่บัส เจอที่เต่าบิน คนใต้เหมือนกัน</t>
  </si>
  <si>
    <t>โคจัง อิเล็ก</t>
  </si>
  <si>
    <t>ฟีฟ่า เครื่องมือวัด</t>
  </si>
  <si>
    <t>นัท อิเล็ก</t>
  </si>
  <si>
    <t>กิ้ม อิเล็ก</t>
  </si>
  <si>
    <t>ภู อิเล็ก</t>
  </si>
  <si>
    <t>นัท เจอตอนรับน้องภาคอิเล็ก เพื่อนมาสามวันแล้วเซมิพึ่งมาวันแรก</t>
  </si>
  <si>
    <t>ไอซ์ ene, เคน ene, ต้นน้ำ ene</t>
  </si>
  <si>
    <t>พี่เนย เลี้ยงตี๋น้อย</t>
  </si>
  <si>
    <t>เฟ cpe</t>
  </si>
  <si>
    <t>ฟูจิ cpe</t>
  </si>
  <si>
    <t>ฮีโร่ cpe</t>
  </si>
  <si>
    <t>จุล cpe</t>
  </si>
  <si>
    <t>เฟ ให้น้ำกินตอนฟังคอรัส</t>
  </si>
  <si>
    <t>พี่ตูน me พี่น้ำ cpe พี่ฟลุ้ค cpe</t>
  </si>
  <si>
    <t>พี่ตูน me เต้นไก่ย่างโหดมาก</t>
  </si>
  <si>
    <t xml:space="preserve">1.1 ฟรอยด์ 1.2 คิตตี้ 1.3 ไนท์ 1.4 เกรซ 1.5 เดียว </t>
  </si>
  <si>
    <t>1.1 ฟรอยด์ ภาคเคมี</t>
  </si>
  <si>
    <t>1.2 คิตตี้ ภาคเคมี</t>
  </si>
  <si>
    <t>1.3 ไนท์ ภาคเคมี</t>
  </si>
  <si>
    <t>1.4 เกรซ ภาคเคมี</t>
  </si>
  <si>
    <t>1.5 เดียว ภาคเคมี</t>
  </si>
  <si>
    <t>คิตตี้ รู้จักจากการสัมภาษณ์มหาลัย เขาเป็นคนที่สวยมากและเฟรนลี่</t>
  </si>
  <si>
    <t>พี่ปิ่น ภาคเคมี พี่น้ำค้าง ภาคเคมี พี่โบนัส ภาคเคมี</t>
  </si>
  <si>
    <t>พี่ปิ่น รู้จักจากค่ายติวเวล พี่เขาตลกและเฟรนลี่มาก</t>
  </si>
  <si>
    <t>1.1แอม  1.2ตัง 1.3พัช 1.4เบส 1.5ฟางข้าว  CPE ทั้งหมด</t>
  </si>
  <si>
    <t>แอม CPE</t>
  </si>
  <si>
    <t>เบส CPE</t>
  </si>
  <si>
    <t>ตัง CPE</t>
  </si>
  <si>
    <t>พัช CPE</t>
  </si>
  <si>
    <t>ฟางข้าว CPE</t>
  </si>
  <si>
    <t>รู้จักเพื่อนทุกคนจากกิจกรรม cpe pre freshy แล้วก็เจอในทุกกิจกรรม คุยกันสนุกม้าก</t>
  </si>
  <si>
    <t>พี่ข้าวฟ่างcpe พี่ก้อง cpe พี่ปลายcpe</t>
  </si>
  <si>
    <t>พี่ไอซ์ cpe [hds] เป็นพิธีกร ในหลายๆที่เจอบ่อย เล่าไปเรื่อยแต่ก็สนุกก</t>
  </si>
  <si>
    <t>หนูดี or</t>
  </si>
  <si>
    <t>นายไข่นุ้ย คอมอินเตอ</t>
  </si>
  <si>
    <t>ไดม่อน CE</t>
  </si>
  <si>
    <t>เตเต้PE</t>
  </si>
  <si>
    <t>ไอวี่ic</t>
  </si>
  <si>
    <t>ไดม่อนเข้าฐานด้วยกัน สามัคคีกัน</t>
  </si>
  <si>
    <t>เเพมENE แบงค์ENE นุ่นCE</t>
  </si>
  <si>
    <t>แพมมคุยสนุกครับ</t>
  </si>
  <si>
    <t>เบส cpe</t>
  </si>
  <si>
    <t>ตัง cpe</t>
  </si>
  <si>
    <t>ฟางข้าว cpe</t>
  </si>
  <si>
    <t xml:space="preserve">เหนือ cpe </t>
  </si>
  <si>
    <t>เหนือ รู้จักได้จากอยู่กลุ่ม dream เหมือนกันค่ะ เพื่อนนั่งอยู่ข้างหน้า หนูเข้าไปทักเลยได้รู้จักกัน เพื่อนเฟรนลี่มากค่ะ</t>
  </si>
  <si>
    <t>พี่ปลาย cpe พี่ข้างฟ่าง cpe พี่แทนไท cpe</t>
  </si>
  <si>
    <t>พี่โบนัสค่ะ รู้จักได้จากพี่ดูแลกลุ่ม dream พี่เขาคอยมาเปิดพัดลมให้ตอนเพื่อน ๆ ร้อน และคอยชวนคุยค่ะ</t>
  </si>
  <si>
    <t xml:space="preserve">พัช cpe </t>
  </si>
  <si>
    <t>เหนือ cpe</t>
  </si>
  <si>
    <t>ฟางข้าวcpe</t>
  </si>
  <si>
    <t>เเอม  อยู่หอเดียวกัน ช่วยเหลือกันยกตู้เย็น</t>
  </si>
  <si>
    <t>พี่ปลายcpe พี่บิว cpe พี่น้ำcpe</t>
  </si>
  <si>
    <t>พี่จีน รู้จักเพราะอยู่ภาคเดียวกัน พี่เค้าชอบเล่าเรื่อง ชอบทำตัวตลก</t>
  </si>
  <si>
    <t>คอปเตอร์ cpe</t>
  </si>
  <si>
    <t>พัด cpe</t>
  </si>
  <si>
    <t>พอตเตอร์ cpe</t>
  </si>
  <si>
    <t>Non n</t>
  </si>
  <si>
    <t>คุ้มเพื่อนโดนให้ไปเต้นเพราะทำป้ายชื่อขาด</t>
  </si>
  <si>
    <t>พี่เพื่อน พี่กัส  พี่พิญ</t>
  </si>
  <si>
    <t>พี่กัส 12นาฬิกา เล่นมุข</t>
  </si>
  <si>
    <t>SKY INC</t>
  </si>
  <si>
    <t>NUT INC</t>
  </si>
  <si>
    <t>Boki during today’s orientation ice-breaking activities. What made Boki memorable was how energetic and friendly they were, making sure everyone in our group felt included and comfortable right from the start.</t>
  </si>
  <si>
    <t>Senior Mu during the department welcoming activity. Mu was extremely patient and helpful when guiding us through the team tasks, offering great advice about adjusting to university life.</t>
  </si>
  <si>
    <t xml:space="preserve">Aoey 
Baiyok 
Mu </t>
  </si>
  <si>
    <t>เรื้อน</t>
  </si>
  <si>
    <t>คิว ออโตเมชั่น</t>
  </si>
  <si>
    <t>ปลื้ม ออโตเมชั่น</t>
  </si>
  <si>
    <t>อเล็กซ์ ออโตเมชั่น</t>
  </si>
  <si>
    <t>ยอร์จ ออโตเมชั่น</t>
  </si>
  <si>
    <t>ไกด์ ออโตเมชั่น</t>
  </si>
  <si>
    <t>1.1ปัด1.2บิว1.3พล1.4เเบงค์1.5ตี๋</t>
  </si>
  <si>
    <t>ปัด PE</t>
  </si>
  <si>
    <t>พล PE</t>
  </si>
  <si>
    <t>เเบงค์ PE</t>
  </si>
  <si>
    <t>ปัด กินข้าวด้วยกัน</t>
  </si>
  <si>
    <t>จำไม่ได้ครับเเต่ประทับใจทุกคนเลยครับ</t>
  </si>
  <si>
    <t>ไม่มีครับเเต่ประทับใจทุกคนครับ</t>
  </si>
  <si>
    <t>เนปจูน โยธา</t>
  </si>
  <si>
    <t>ปลาทู สิ่งแวดล้อม</t>
  </si>
  <si>
    <t>พั้น โยธา</t>
  </si>
  <si>
    <t>ปลายฟ้า โยธา</t>
  </si>
  <si>
    <t>ชมพู่ โยธา</t>
  </si>
  <si>
    <t>จิน โยธา</t>
  </si>
  <si>
    <t>กิฟ เป็นเพื่อนที่รู้จักใหม่ที่ทำกิจกรรมแล้วสนิทกันมากยิ่งขึ้น</t>
  </si>
  <si>
    <t>พี่เพชร พี่จ๋า พี่แชมป์</t>
  </si>
  <si>
    <t>พี่จ๋า ขอบคุณที่ดูแลค่ะ</t>
  </si>
  <si>
    <t>เติ้ล เคมี</t>
  </si>
  <si>
    <t>ออฟ เซมิ</t>
  </si>
  <si>
    <t>เฟิร์ส เซมิ</t>
  </si>
  <si>
    <t>เติ้ล เคมี เจอกันตั้งแต่กิจกรรมแรกแล้วอยู่ด้วยกันบ่อยได้คุยกันเยอะ</t>
  </si>
  <si>
    <t>พี่ปอน เครื่องกล พี่อาย เครื่องกล  พี่ปอน เครื่องกล</t>
  </si>
  <si>
    <t xml:space="preserve">พี่ปอน เครื่องกล เจอที่ฐานนาฬิกา จำพี่เขาได้เป็นพิธีกรของฐาน </t>
  </si>
  <si>
    <t>บังซัน cpe</t>
  </si>
  <si>
    <t>ขุนแผน cpe</t>
  </si>
  <si>
    <t>ขุนแผน เล่นเกมยิงเรือ</t>
  </si>
  <si>
    <t>พี่ตูน พี่โอม พี่ปั้บ</t>
  </si>
  <si>
    <t>พี่บิงโก เตะบอล</t>
  </si>
  <si>
    <t>คิว เครื่องกล</t>
  </si>
  <si>
    <t>คอส เครื่องกล</t>
  </si>
  <si>
    <t>คิว กิจกรรมฐาน เพื่อนตลก</t>
  </si>
  <si>
    <t>พี่คิว พี่ปอน พี่อาย เครื่องกล</t>
  </si>
  <si>
    <t>พี่คิว พูดคุย ได้คำแนะนำ</t>
  </si>
  <si>
    <t>ดี น้ำมนต์ ปรัช คิม เอิท ปลื้ม</t>
  </si>
  <si>
    <t>ดี อุต</t>
  </si>
  <si>
    <t>น้ำมน อุต</t>
  </si>
  <si>
    <t>ปรัช อุต</t>
  </si>
  <si>
    <t>คิม อุต</t>
  </si>
  <si>
    <t>เอิท อุต</t>
  </si>
  <si>
    <t xml:space="preserve">ดี ปฐมนิเทศคุยถูกคออ </t>
  </si>
  <si>
    <t>พี่โจ้ พี่จิม พี่จ๋าย วิดคอม</t>
  </si>
  <si>
    <t>พี่มะเหมียว พิธีกร</t>
  </si>
  <si>
    <t>วิช โยธา</t>
  </si>
  <si>
    <t>เฟรม เครื่องกล</t>
  </si>
  <si>
    <t>โฟกัส ไฟฟ้า</t>
  </si>
  <si>
    <t>เเซ๊ค ยานยนต์</t>
  </si>
  <si>
    <t>วิช ได้รู้จักจากการทำกิจกรรมปฐมนิเทศร่วมกัน</t>
  </si>
  <si>
    <t>1.จู 2.หมี 3.ไออุ่น</t>
  </si>
  <si>
    <t>พี่จู เพราะคอยดูและะจัดระเบียบ</t>
  </si>
  <si>
    <t>บีมENE</t>
  </si>
  <si>
    <t>บอสENE</t>
  </si>
  <si>
    <t>โกโก้ENE</t>
  </si>
  <si>
    <t>วันพุธENE</t>
  </si>
  <si>
    <t>ธันวาENE</t>
  </si>
  <si>
    <t>บีม เจอที่เฟินมีท ฮาดี</t>
  </si>
  <si>
    <t>บีเฟิร์สENE โชคดีENE ไอซ์ENE</t>
  </si>
  <si>
    <t>ไอซ์ENE ตลกจัด กิจกรรมfirst meet</t>
  </si>
  <si>
    <t>Omsin computer engineering</t>
  </si>
  <si>
    <t>Ping computer engineering</t>
  </si>
  <si>
    <t>Maymay computer engineering</t>
  </si>
  <si>
    <t>Mukhom computer engineering</t>
  </si>
  <si>
    <t>Phayphe computer engineering</t>
  </si>
  <si>
    <t>Phayphe. I met her at pre-freshy and we're in the group 1, dream.</t>
  </si>
  <si>
    <t>P'nam. I met her at activities.</t>
  </si>
  <si>
    <t>P'nam computer engineering, P'tee computer engineering, P'japan computer engineering</t>
  </si>
  <si>
    <t>1.1ปั้น ene 1.2อิซากิ ene 1.3ซุง semi 1.4 บอส semi 1.5สกาย semi</t>
  </si>
  <si>
    <t>สกาย semi</t>
  </si>
  <si>
    <t>ซุง ene</t>
  </si>
  <si>
    <t>บอส semi</t>
  </si>
  <si>
    <t>อิซากิ ene</t>
  </si>
  <si>
    <t>ปั้น ชวนเล่นเกมตอนนั่งรอใน cb2</t>
  </si>
  <si>
    <t>แทค ene,กระปุก ene,ไนท์ ene</t>
  </si>
  <si>
    <t>แทค ถามทางพี่เขา</t>
  </si>
  <si>
    <t>เฟรม ภาควิชาวิศวกรรมยานยนต์</t>
  </si>
  <si>
    <t>อชิ ภาควิชาวิศวกรรมเครื่องกล</t>
  </si>
  <si>
    <t>พัตเตอร์ ภาควิชาวิศวกรรมเครื่องกล</t>
  </si>
  <si>
    <t>เจ๋ง ภาควิชาวิศวกรรมเครื่องกล</t>
  </si>
  <si>
    <t>กาย ภาควิชาวิศวกรรมเคมี</t>
  </si>
  <si>
    <t>เจ๋ง กิจกรรมปฐมนิเทศ smo ได้อยู่กลุ่มเดียวกันได้เล่นกิจกรรมหลายๆอย่างด้วยกัน</t>
  </si>
  <si>
    <t xml:space="preserve">พี่ปอนด์ พี่สายบิน พี่บอส ภาควิชาวิศวกรรมเครื่องกล </t>
  </si>
  <si>
    <t>พี่ปอนด์ รู้จักก่อนไปถ่ายรวมรูปคณะ</t>
  </si>
  <si>
    <t xml:space="preserve">Tam computer engineering </t>
  </si>
  <si>
    <t xml:space="preserve">Vee computer engineering </t>
  </si>
  <si>
    <t xml:space="preserve">Fei computer engineering </t>
  </si>
  <si>
    <t xml:space="preserve">Phupha computer engineering </t>
  </si>
  <si>
    <t xml:space="preserve">Peem computer engineering </t>
  </si>
  <si>
    <t>Playing mini game with everyone</t>
  </si>
  <si>
    <t>I got invite to play snook</t>
  </si>
  <si>
    <t xml:space="preserve">Fluke computer engineering </t>
  </si>
  <si>
    <t>ซอ , จิ๋ว , ลิน , มอส , โกโก้ , เกิด</t>
  </si>
  <si>
    <t>มอส ภาคอุตสาหการ</t>
  </si>
  <si>
    <t>โกโก้ ภาคไฟฟ้า</t>
  </si>
  <si>
    <t>เกิด ภาคเคมี</t>
  </si>
  <si>
    <t>จิ๋ว ภาคอุตสาหการ</t>
  </si>
  <si>
    <t>ลิน ภาคอุตสาหการ</t>
  </si>
  <si>
    <t>ซอ ภาคอุตสาหการ</t>
  </si>
  <si>
    <t>ทักกันในกิจกรรม</t>
  </si>
  <si>
    <t>เจเจ ภาคอุตสาหกรรม , มะเหมี่ยว ภาคอุตสาหกรรม, ปิ่น ภาคเคมี</t>
  </si>
  <si>
    <t>พี่นาย ภาคอิเล็ก เพราะอยากไปฝึกงานต่างประเทศเหมือนกัน</t>
  </si>
  <si>
    <t>โฟ้ค ภาคเครื่องกล</t>
  </si>
  <si>
    <t>เฟียท ภาคเครื่องกล</t>
  </si>
  <si>
    <t>มอนเต้ ภาคเครื่องกล</t>
  </si>
  <si>
    <t>น้ำมนต์ ภาคอุตสาหกรรม</t>
  </si>
  <si>
    <t>รู้จักเพราะอยู่ภาคเดียวกัน ได้ทำกิจกรรมร่วมกัน</t>
  </si>
  <si>
    <t>โจนัท ภาคเครื่องกล บอสแบด ภาคเครื่องกล บอสกู้ด ภาคเครื่องกล</t>
  </si>
  <si>
    <t>กิจกรรมช่วงเช้าของวันที่ 26</t>
  </si>
  <si>
    <t xml:space="preserve">Really good , i met many friends today. </t>
  </si>
  <si>
    <t>Gam INC</t>
  </si>
  <si>
    <t>Toh INC</t>
  </si>
  <si>
    <t>Pub INC</t>
  </si>
  <si>
    <t>Sky consult about friend</t>
  </si>
  <si>
    <t xml:space="preserve">Pick, they talk about our future </t>
  </si>
  <si>
    <t>Chowkul INC,puchay INC ,kong INC</t>
  </si>
  <si>
    <t>ข้าวหอม ภาควิศวกรรมเครื่องกล</t>
  </si>
  <si>
    <t>ภู ภาควิศวกรรมเครื่องกล</t>
  </si>
  <si>
    <t>คอปเตอร์ ภาควิศวกรรมเครื่องกล</t>
  </si>
  <si>
    <t>นนท์ วิศวกรรมเครื่องกล</t>
  </si>
  <si>
    <t>บอล ภาควิศวกรรมเครื่องกล</t>
  </si>
  <si>
    <t>ข้าวหอม เคยเจอกันครั้งแรกตอนไปเข้าค่ายที่สถาบันเทคโนโลพระจอมเกล้าคุณทหารลาดกระบัง ได้พูดคุยกันเยอะ เป็นคนตลก เฟรนลี่ และได้รู้ว่ามาเรียนต่อที่มจธ.เพราะเจอกันและจำได้ ได้ไปตีแบต ไปเล่นบอร์ดเดกมด้วยกัน</t>
  </si>
  <si>
    <t>พี่น้ำค้าง ภาควิศวกรรมเคมี พี่ไบเบิ้ล ภาควิศวกรรมไฟฟ้า พี่ฟลุ๊ค วิศวกรรมระบบควบคุมและเครื่องมือวัด</t>
  </si>
  <si>
    <t>พี่ฟลุ๊คปี2 เคยเจอกะนที่ค่ายที่ลาดกระบัง ได้เป็นรูมเมทนอนด้วยกัน2คืน ก็สนิท และห่างหายกันไม่ได้คุยกันนาน จนมาได้เจอตอนมาทำกิจกรรมที่มจธ. ได่เจอกันและจำได้ และอยู่สาขาเดียวกัน จึงได้พูดคุยกันเยอะขึ้น</t>
  </si>
  <si>
    <t xml:space="preserve">ไอวี่ isee </t>
  </si>
  <si>
    <t>บิว น้ำมนต์ แบงค์ นั่งส่องสาวด้วยกันประทับใจมากครับ</t>
  </si>
  <si>
    <t>จำไม่ได้ประทับใจทุกคนครับจุ้บๆ</t>
  </si>
  <si>
    <t>พี่ mc เจอตอนกิจดรรมช่วงบ่ายครับ พูดดีมาก ไม่ตายไมค์ พูดชัดดีครับประทับใจ</t>
  </si>
  <si>
    <t>ปุณ INC</t>
  </si>
  <si>
    <t>ฟูจิ CE</t>
  </si>
  <si>
    <t>บีม ได้อยู่กลุ่ม dream ด้วยกัน รู้จักกันเพราะเล่นเกมดึงกระดาษเพื่อนได้เข้ามาทักหลังจากนั้นก็อยู่ด้วยกันยาว รู้สึกว่าเพื่อนเป็นคนตลกคุยสนุกอยู่ด้วยแล้วรู้สึกปลอดภัย</t>
  </si>
  <si>
    <t>พี่พลอย APE พี่เพชร PE พี่ตูน ME</t>
  </si>
  <si>
    <t>พี่พลอย ก่อนหน้านี้ได้มาค่ายตอนม.6และก็ได้เจออีกครั้งตอนปฐมนิเทศ</t>
  </si>
  <si>
    <t>ตาต้า PE</t>
  </si>
  <si>
    <t>น้ำอิงค์ MPE</t>
  </si>
  <si>
    <t>เอิร์ธ MPE</t>
  </si>
  <si>
    <t>ตาจ้ารู้จักกันตอนเข้าฐาน อยู่กลุ่มเดียวกัน กินข้าวด้วยกัน จบกิจกรรมแล้วก็ไปเล่นบอร์ดเกมด้วยกันต่อ</t>
  </si>
  <si>
    <t>พี่เพชร PE พี่ตูน ME พี่สายพิณ ME</t>
  </si>
  <si>
    <t>รู้จักฐานกิจกรรมนาฬิกา ประทับใจเพราะพี่พี่ใจดีฟุ้ดๆๆ</t>
  </si>
  <si>
    <t>เนส ยานยนต์</t>
  </si>
  <si>
    <t>โฟรค ยานยนต์</t>
  </si>
  <si>
    <t>แฟล้ง ยานยนต์</t>
  </si>
  <si>
    <t>แฟล้ง ฐานนาฬิกา เพื่อนทักมาตามถ่ายรูปรวม</t>
  </si>
  <si>
    <t xml:space="preserve">พี่ปอนด์ พี่สายป่าน </t>
  </si>
  <si>
    <t>พี่ปอนด์ เครื่องกล</t>
  </si>
  <si>
    <t>Kate , Yuri , Sushi , Huffle , Kaka</t>
  </si>
  <si>
    <t xml:space="preserve">Kate ( CPE ) </t>
  </si>
  <si>
    <t>Yuri ( CPE )</t>
  </si>
  <si>
    <t xml:space="preserve">Sushi ( civil ) </t>
  </si>
  <si>
    <t>Huffle ( CPE )</t>
  </si>
  <si>
    <t>Kaka ( mechanical engineering)</t>
  </si>
  <si>
    <t xml:space="preserve">Yuri ( Welcome Party ) </t>
  </si>
  <si>
    <t xml:space="preserve">ICE ( we met at the KFC building </t>
  </si>
  <si>
    <t>Kaekae ( we met in  Orientation )</t>
  </si>
  <si>
    <t>เต้ MCE</t>
  </si>
  <si>
    <t>ปีโป้ CE</t>
  </si>
  <si>
    <t>เรนโบ EE</t>
  </si>
  <si>
    <t>เฟิร์น รู้จักกันตอนไปลงทะเบียนแล้วยังไม่เจอเพื่อนคนไหนเลยก็เลยอยู่กับเพื่อนคนนี้ เพื่อนน่ารักมากๆประทับใจตอนที่แบ่งโต๊ะกินข้าวให้นั่ง เพื่อนมีน้ำใจสุด</t>
  </si>
  <si>
    <t>1.พี่ทันย่า CPE 2.พี่ข้าวฟ่าง CPE 3.พี่ปาย CPE</t>
  </si>
  <si>
    <t>1.พี่ทันย่า ได้รู้จักจากฐานกิจกรรมแรกที่เข้า พี่เขาน่ารักมากๆ ชวนคุยตลอด</t>
  </si>
  <si>
    <t>Civil Engineering</t>
  </si>
  <si>
    <t>นนท์ ภาคปกติโยธา</t>
  </si>
  <si>
    <t>นะโม โยธาอินเตอ</t>
  </si>
  <si>
    <t>สายไหม โยธานเติ</t>
  </si>
  <si>
    <t>ยุนีฟ โยธา</t>
  </si>
  <si>
    <t>เซน โยธาอินเตอ</t>
  </si>
  <si>
    <t>นะโม,นนท?, ระหว่างอยู่หอประชุม26/7</t>
  </si>
  <si>
    <t>พี่จ๋า คอยดูงานวันที่26</t>
  </si>
  <si>
    <t>พี่จ๋า โยธา ,เบียงก้า อุต</t>
  </si>
  <si>
    <t>นาย ภาคเครื่องกล</t>
  </si>
  <si>
    <t>นัท ภาคเครื่องกล</t>
  </si>
  <si>
    <t>โอม แมคคา</t>
  </si>
  <si>
    <t>นะ ภาคเครื่องกล</t>
  </si>
  <si>
    <t>นะ ไปกินข้าวที่kfc</t>
  </si>
  <si>
    <t>ไม่ทราบชื่อ ไม่ทราบชื่อ ไม่ทราบชื่อ</t>
  </si>
  <si>
    <t>ไม่ทราบชื่อ กิจกรรมปฐมนิเทศ</t>
  </si>
  <si>
    <t>บีเจล inc</t>
  </si>
  <si>
    <t>ณัฐ semi</t>
  </si>
  <si>
    <t>มุก cpe</t>
  </si>
  <si>
    <t>บีเจล จากฐานที่เล่นตาข่ายด้วยกันเป็นคนคุยสนุก</t>
  </si>
  <si>
    <t>พี่ปุญญ์ene  พี่กานต์ene พี่โฟคene</t>
  </si>
  <si>
    <t>พี่กานต์คุยสนุก</t>
  </si>
  <si>
    <t>โอม เเตงโม ลิงค์ เเพร ไนท์</t>
  </si>
  <si>
    <t>เเพร วิศวะอิเล็ก</t>
  </si>
  <si>
    <t>โอม วิศวะอิเล็ก</t>
  </si>
  <si>
    <t>ไนท์ วิศวะอิเล็ก</t>
  </si>
  <si>
    <t>พีช วิศวะอิเล็ก</t>
  </si>
  <si>
    <t>เเตงโม วิศวะอิเล็ก</t>
  </si>
  <si>
    <t>โบกี้ วิศวะเคมี</t>
  </si>
  <si>
    <t>ทักมาเมคเฟรนในการติดคณะเดียวกัน</t>
  </si>
  <si>
    <t>เบ้น บีเฟิส กาน</t>
  </si>
  <si>
    <t>เม วิศวะคอม</t>
  </si>
  <si>
    <t>หญิง วิศวะคอม</t>
  </si>
  <si>
    <t>โชติ วิศวะคอม</t>
  </si>
  <si>
    <t>น้ำฟ้า วิศวะคอม</t>
  </si>
  <si>
    <t>หนุน วิศวะเครื่องกล</t>
  </si>
  <si>
    <t>เม รู้จักเพราะว่าเพื่อนมาเมคเฟรนตอนตรวจสุขภาพ แล้วก็รู้ว่าเพื่อนชื่อเหมือนกันเลย</t>
  </si>
  <si>
    <t>พี่น้ำ คอม พี่ก้อง คอม พี่ครีม คอม</t>
  </si>
  <si>
    <t>พี่น้ำ อยู่นำน้องพาไปทำกิจกรรม</t>
  </si>
  <si>
    <t xml:space="preserve">พัตเตอร์ inc </t>
  </si>
  <si>
    <t xml:space="preserve">ออโต้ inc </t>
  </si>
  <si>
    <t xml:space="preserve">นัท inc </t>
  </si>
  <si>
    <t xml:space="preserve">แม๊ก inc </t>
  </si>
  <si>
    <t>พัตเตอร์ inc เป็นเพื่อนใหม่ที่มารู่จักกันผ่านค่ายที่พึ่งผ่านมาก็คือ tue welcome 20th และมาเจอกันต่อที่ปฐมนิเทศ พัตเตอร์เป็นคนที่คุยด้วยดีใจดีเป็นกันเองกับเพื่อนสุดๆเคยคุยกันเรื่องเรียนต่างๆแลกเปลี่ยนความคิดกันและนัดกินข้าว</t>
  </si>
  <si>
    <t>พี่มิน่า พี่น้ำหวาน พี่หงส์</t>
  </si>
  <si>
    <t>พี่มิน่า เป็นพี่ที่เจอตอนมารวมตัวเตรียมถ่ายรูปและเป็นพี่นำ</t>
  </si>
  <si>
    <t>Bj cpe</t>
  </si>
  <si>
    <t>Peem cpe</t>
  </si>
  <si>
    <t>Ben cpe</t>
  </si>
  <si>
    <t>Oil cpe</t>
  </si>
  <si>
    <t>Bj playing game</t>
  </si>
  <si>
    <t xml:space="preserve">Khaofang brings the clothes </t>
  </si>
  <si>
    <t>I don’t know ..</t>
  </si>
  <si>
    <t>1.ออกัส ENE 2.กานENE 3.พีทINC 4.พิมSEM 5.เจนsem</t>
  </si>
  <si>
    <t>เจน SEM</t>
  </si>
  <si>
    <t>ข้าว SEM</t>
  </si>
  <si>
    <t>ออกัส ENE</t>
  </si>
  <si>
    <t>ออกัสENE เจอที่ฐาน</t>
  </si>
  <si>
    <t>พี่กานต์ ENE มิน ENE พี่โชคดีENE</t>
  </si>
  <si>
    <t>พี่กานต์ENE เอาพัดลมมาให้</t>
  </si>
  <si>
    <t>ปาล์ม ตอง นนท์ น้ำมนต์ เจ</t>
  </si>
  <si>
    <t>ตอง ยานยนตร์</t>
  </si>
  <si>
    <t>น้ำมนต์ CHE</t>
  </si>
  <si>
    <t>ปาล์ม ไปเจอกันที่ค่ายติว</t>
  </si>
  <si>
    <t>พี่เต พี่เติ้ล พี่โฟร์</t>
  </si>
  <si>
    <t>พี่ไตเติ้ล ติวคณิตศาสตร์ให้</t>
  </si>
  <si>
    <t>ต้นบุญ PE</t>
  </si>
  <si>
    <t>ไอวี่ MCE</t>
  </si>
  <si>
    <t>แพร ISEE</t>
  </si>
  <si>
    <t>ต้นบุญ เจอกันตอนกิจกรรมที่ให้ปาบอลใส่กัน ได้คุยกันถูกคอ มีประสบการณ์ชีวิตคล้าย ๆ กัน</t>
  </si>
  <si>
    <t>พี่ฟ้า MCE พี่แก้ม PE พี่มูด PE</t>
  </si>
  <si>
    <t>พี่ฟ้าเจอกันในกิจกรรมที่ให้หาเพื่อนหรือรุ่นพี่มาใส่ในกระดาษ พี่ฟ้าบอกว่าชอบตีแบตผมเองก็ชอบเหมือนกันเลยประทับใจคับ</t>
  </si>
  <si>
    <t>ไนท์ วิศวกรรมเคมี</t>
  </si>
  <si>
    <t>เฟม วิศวกรรมเครื่องกล</t>
  </si>
  <si>
    <t>แซ็ค วิศวกรรมเครื่องกล</t>
  </si>
  <si>
    <t>ปก วิศวกรรมเคมี</t>
  </si>
  <si>
    <t>เต วิศวกรรมเคมี</t>
  </si>
  <si>
    <t>เต รู้จักกิจกรรมฐานพูดคุยกันถูกคอดี</t>
  </si>
  <si>
    <t>พี่กาฟิ้ว วิศวกรรมเคมี, แก้ม วิศวกรรมเคมี,พี่ไออุ่น วิศวกรรมเคมี</t>
  </si>
  <si>
    <t>พี่กาฟิ้ว พาเล่นกิจกรรมสนุกๆ</t>
  </si>
  <si>
    <t>คัตเตอร์</t>
  </si>
  <si>
    <t>ออโต้ ภาควิชา inc</t>
  </si>
  <si>
    <t>พีช ภาควิชา inc</t>
  </si>
  <si>
    <t>นนท์ ภาควิชา ae</t>
  </si>
  <si>
    <t>เยน ภาควิชา ae</t>
  </si>
  <si>
    <t>นนท์ ไปเที่ยวบ่านลมด้วยกัน</t>
  </si>
  <si>
    <t>ปีใหม่(inc) หงส์(inc) น้ำหวาน(inc)</t>
  </si>
  <si>
    <t>หงส์ เพราะว่าเรียกมาถามชื่อ</t>
  </si>
  <si>
    <t>1.1เหนือ1.2เบส1.3ตัง1.4พัช1.5ฟางข้าว 1.6มาโปรด1.7กิ่งไผ่1.8pink</t>
  </si>
  <si>
    <t>เบสcpe</t>
  </si>
  <si>
    <t>ตังcpe</t>
  </si>
  <si>
    <t>พัชcpe</t>
  </si>
  <si>
    <t>1.6มาโปรดce. 1.7กิ่งไผ่pe 1.8pink che</t>
  </si>
  <si>
    <t>Pink จากวิศวะเคมี รู้จักกันที่ค่ายTue welcome เพื่อน่ารักมากๆได้ติวด้วยกันขอบคุณค่ายที่จัดขึ้น🥹</t>
  </si>
  <si>
    <t>พี่บิงโกPE พี่จีนcpe พี่ทามcpe</t>
  </si>
  <si>
    <t>พี่ทามรู้จักจากค่ายPrefreshy</t>
  </si>
  <si>
    <t>เคเค ภาควิศวกรรมเครื่องมือและวัสดุ</t>
  </si>
  <si>
    <t>จุน ภาควิศวกรรมเครื่องกล</t>
  </si>
  <si>
    <t>เพลิน ภาควิศวกรรมเครื่องกล</t>
  </si>
  <si>
    <t>ออย ภาควิศวกรรมระบบควบคุมและเครื่องมือวัด</t>
  </si>
  <si>
    <t>แช็ค ภาควิศวกรรมยานยนต์</t>
  </si>
  <si>
    <t xml:space="preserve">เคเค รู้จักเพื่อนจากกิจกรรมในฐานที่ 3 </t>
  </si>
  <si>
    <t>พี่กาฟิวส์ ภาควิศวกรรมเคมี พี่ไอซ์ ภาควิศวกรรมคอมพิวเตอร์ พี่กันต์ ภาควิศวกรรมเครื่องกล</t>
  </si>
  <si>
    <t>พี่กาฟิวส์ เจอที่ภาคคณะ พี่กาฟิวส์เป็นคนเฟรนลี่มากเลิฟ</t>
  </si>
  <si>
    <t>เข้าห้องเรียนสาย</t>
  </si>
  <si>
    <t xml:space="preserve">1.ภูผา คอม 2.พูล คอม </t>
  </si>
  <si>
    <t>พูล cpe</t>
  </si>
  <si>
    <t>เทส  cp</t>
  </si>
  <si>
    <t>พูล 1.คุยสนุก เล่นโยนบอลเก่ง</t>
  </si>
  <si>
    <t>พี่เมเม cpe พี่เกียร์ พี่นะโม</t>
  </si>
  <si>
    <t>พี่นะโม พูดเก่งสนุก</t>
  </si>
  <si>
    <t>มาร์ค ape เฟรนลี่คุยง่าย</t>
  </si>
  <si>
    <t>แพม ten เฟรนลี่ รู้จักครั้งแรกก็น่ารักเลย</t>
  </si>
  <si>
    <t>อิน ape เฟรนลี่คุยง่าย เป็นกันเองสุดๆ</t>
  </si>
  <si>
    <t>ชมพู่ ene ช่วยกันเตือนเรื่องกิจกรรมต่าง เฟรนลี่ด้วย</t>
  </si>
  <si>
    <t>ฟาง ape เฟรนลี่ พากันไปกินข้าว พาเที่ยวนุ้น เที่ยวนี้โหด</t>
  </si>
  <si>
    <t>แพม รู้จักจากกิจกรรมปฐมนิเทศวันแรก เป็นเพื่อนคนแรกที่รู้จักในงาน</t>
  </si>
  <si>
    <t>1.พี่โอเว่น ape 2.พี่ซือ ape 3.พี่พลอย ape</t>
  </si>
  <si>
    <t>พี่โอเว่น รู้จักจากครั้งแรกตอนเริ่มเข้าไลน์กลุ่มสาขา พี่โอเว่นช่วยเหลือน้องตลอด มีกิจกรรมอะไรพี่โอเว่นจะช่วยเตือนช่วยตาม</t>
  </si>
  <si>
    <t>ญี่ปุ่น tme</t>
  </si>
  <si>
    <t>เฟรม tme</t>
  </si>
  <si>
    <t>คิว tme</t>
  </si>
  <si>
    <t>เจ้าคุณ tm</t>
  </si>
  <si>
    <t>ข้าวหอม tme</t>
  </si>
  <si>
    <t>คิว tme รู้จักจากกิจกรรมของสาขา</t>
  </si>
  <si>
    <t>พี่ชาจีน พี่ดิษ พี่เว่น</t>
  </si>
  <si>
    <t>พี่ดิษ กิจกรรมฐาน</t>
  </si>
  <si>
    <t>ซุง ภาควิชาวิศวกรรมอิเล็กทรอนิกส์และโทรคมนาคม</t>
  </si>
  <si>
    <t>บอส ภาควิชาวิศวกรรมอิเล็กทรอนิกส์และโทรคมนาคม</t>
  </si>
  <si>
    <t>เจแปน ภาควิชาวิศวกรรมอิเล็กทรอนิกส์และโทรคมนาคม</t>
  </si>
  <si>
    <t>พีเอ ภาควิชาวิศวกรรมอิเล็กทรอนิกส์และโทรคมนาคม</t>
  </si>
  <si>
    <t>มายด์ ภาควิชาวิศวกรรมอิเล็กทรอนิกส์และโทรคมนาคม</t>
  </si>
  <si>
    <t>ซุง ได้รู้กันจากกิจกรรมพรีคอสที่ราชบุรี ประทับใจเพราะชวนเล่นเกม</t>
  </si>
  <si>
    <t>พี่โต๋ พี่ดาด้า พี่ไผ่</t>
  </si>
  <si>
    <t>พี่ไผ่ รู้จักจากกิจกรรมที่ฐานพี่เขา</t>
  </si>
  <si>
    <t xml:space="preserve">Good relationship </t>
  </si>
  <si>
    <t>Fundee inc</t>
  </si>
  <si>
    <t>Joule inc</t>
  </si>
  <si>
    <t>Joe inc</t>
  </si>
  <si>
    <t xml:space="preserve">Joe inc play game together </t>
  </si>
  <si>
    <t xml:space="preserve">Gong eat dinner together </t>
  </si>
  <si>
    <t>Gong, pick, Focus</t>
  </si>
  <si>
    <t>ภีม ENE</t>
  </si>
  <si>
    <t>บีม ENE</t>
  </si>
  <si>
    <t>ชมพู่ ENE</t>
  </si>
  <si>
    <t>ซิตี้ ENE</t>
  </si>
  <si>
    <t>แบทแมน ENE</t>
  </si>
  <si>
    <t>บีม ที่ประทับใจคือพลังงานเพื่อนเหลือล้นมากๆ</t>
  </si>
  <si>
    <t>พี่บีเฟิร์ส พี่เอพริล พี่ไอซ์</t>
  </si>
  <si>
    <t>บีเฟิร์ส เวลาสงสัยอะไรก็มักมีพี่คนนี้เข้ามาถามไถ่อยู่เสมอ</t>
  </si>
  <si>
    <t>ซี วิศวกรรมเคมี</t>
  </si>
  <si>
    <t>นนท์ EE</t>
  </si>
  <si>
    <t>เฟีย EE</t>
  </si>
  <si>
    <t>ซอว์ EE</t>
  </si>
  <si>
    <t>เบล วิศวกรรมคอมพิวเตอร์</t>
  </si>
  <si>
    <t>ซี รู้จักจากกิจกรรมยิงเรือ</t>
  </si>
  <si>
    <t>พี่บีม EE พี่ไผ่หลิว EE พี่ภูมิ ME</t>
  </si>
  <si>
    <t>พี่บีม EE กิจกรรมทำเเบบประเมิน</t>
  </si>
  <si>
    <t>ไอซ์ INC</t>
  </si>
  <si>
    <t>ออโต้ INC</t>
  </si>
  <si>
    <t>ฟลุ๊ค INC</t>
  </si>
  <si>
    <t>นัท INC</t>
  </si>
  <si>
    <t>ปลื้ม AE</t>
  </si>
  <si>
    <t>ไอซ์ รู้จักผ่าน hand on มีหลายเรื่องที่เข้าขากันได้ดี</t>
  </si>
  <si>
    <t>พี่นํ้าหวาน INC พี่มิ INC พี่เอย INC</t>
  </si>
  <si>
    <t xml:space="preserve">พี่มิ INC เจอกันตอนรวมคณะ </t>
  </si>
  <si>
    <t>แม็ค ภาควิชาวิศวกรรมอิเล็กทรอนิกส์และโทรคมนาคม</t>
  </si>
  <si>
    <t>กาฟิวส์ ภาควิชาวิศวกรรมอิเล็กทรอนิกส์และโทรคมนาคม</t>
  </si>
  <si>
    <t>เฟิร์ส ภาควิชาวิศวกรรมอิเล็กทรอนิกส์และโทรคมนาคม</t>
  </si>
  <si>
    <t>ออฟ ภาควิชาวิศวกรรมอิเล็กทรอนิกส์และโทรคมนาคม</t>
  </si>
  <si>
    <t>เอสเธอร์ ภาควิชาวิศวกรรมอิเล็กทรอนิกส์และโทรคมนาคม</t>
  </si>
  <si>
    <t>บีม เจอตอนเล่นฐาน เพื่อนนิสัยดี</t>
  </si>
  <si>
    <t xml:space="preserve">พี่ซัน ภาควิชาวิศวกรรมอิเล็กทรอนิกส์และโทรคมนาคม พี่เฟิร์ส ภาควิชาวิศวกรรมอิเล็กทรอนิกส์และโทรคมนาคม พี่ปัน ภาควิชาวิศวกรรมอิเล็กทรอนิกส์และโทรคมนาคม  </t>
  </si>
  <si>
    <t>พี่ซัน คอยช่วยผม</t>
  </si>
  <si>
    <t>Nut inc</t>
  </si>
  <si>
    <t>Tor inc</t>
  </si>
  <si>
    <t>Phun inc</t>
  </si>
  <si>
    <t>Sky inc</t>
  </si>
  <si>
    <t>Pup inc</t>
  </si>
  <si>
    <t>Jean inc</t>
  </si>
  <si>
    <t>Tor inc
We went dinner together.</t>
  </si>
  <si>
    <t>Kong ,I play football togerther.</t>
  </si>
  <si>
    <t>Kong
Tonhom
Jonut
Fah</t>
  </si>
  <si>
    <t>ชิน EME</t>
  </si>
  <si>
    <t>เจน CEM</t>
  </si>
  <si>
    <t>แพรว กิจกรรมที่ให้นัดช่วงเวลาในเวลาที่กำหนด</t>
  </si>
  <si>
    <t>1. พี่ตูน ยานยนต์ 2. อาย เครื่องกล 3. วา เครื่องกล</t>
  </si>
  <si>
    <t>พี่ตูน เพราะเขามีร่างมาร ครับ</t>
  </si>
  <si>
    <t>เพรชPE</t>
  </si>
  <si>
    <t>ซีนPE</t>
  </si>
  <si>
    <t>นายPE</t>
  </si>
  <si>
    <t>บุญPE</t>
  </si>
  <si>
    <t>ภูมิใจPE</t>
  </si>
  <si>
    <t>พีชPE</t>
  </si>
  <si>
    <t>ซีน เดินไปคุยระหว่างรอถ่ายรูป</t>
  </si>
  <si>
    <t>พี่มะเมี่ยว,พี่บิว,พี่ตี๋</t>
  </si>
  <si>
    <t>พี่บิวชวนคุยและพูดเก่ง</t>
  </si>
  <si>
    <t>แตม วิศวอุตสาหการ</t>
  </si>
  <si>
    <t>แป้ง  วิศวอุตสาหการ</t>
  </si>
  <si>
    <t>โฟกัส  วิศวอุตสาหการ</t>
  </si>
  <si>
    <t>หมู  วิศวอุตสาหการ</t>
  </si>
  <si>
    <t>พอเพียง  วิศวอุตสาหการ</t>
  </si>
  <si>
    <t>แพน  วิศวอุตสาหการ</t>
  </si>
  <si>
    <t>แตม เรื่องราวพาทไทมที่ทำเหมือนกันแล้วมีไมเซทเหมือนกัน</t>
  </si>
  <si>
    <t>พี่เจ พี่มะเมี่ยว พี่แตม</t>
  </si>
  <si>
    <t>พี่เจ ช่วยพาไปแข่งหุ่นยนต์</t>
  </si>
  <si>
    <t>อาร์ม เซมิคอนดักเตอร์</t>
  </si>
  <si>
    <t>เตอร์ เซมิคอนดักเตอร์</t>
  </si>
  <si>
    <t>ดิว เซมิคอนดักเตอร์</t>
  </si>
  <si>
    <t>รู้จักกันที่ราชรีเพราะปั่นจักรยานไปเที่ยว</t>
  </si>
  <si>
    <t>พี่ซัน พี่โรจ พี่ภู</t>
  </si>
  <si>
    <t>พี่ซันเพราะเป็นรุ่นใหญ่หนองแขม</t>
  </si>
  <si>
    <t>จ๊อบ inc</t>
  </si>
  <si>
    <t>ใบเตย inc</t>
  </si>
  <si>
    <t>จ๊อบ จาก hand on</t>
  </si>
  <si>
    <t>พี่น้ำหวาน inc พี่หงส์ inc พี่มิ inc</t>
  </si>
  <si>
    <t>พี่โอเว่น hand on</t>
  </si>
  <si>
    <t>Pu Cpe</t>
  </si>
  <si>
    <t>Pp Cpe</t>
  </si>
  <si>
    <t>Pun Cpe</t>
  </si>
  <si>
    <t>Tun Cpe</t>
  </si>
  <si>
    <t>Sun Cpe</t>
  </si>
  <si>
    <t>I play game with Pu</t>
  </si>
  <si>
    <t>I talk with cream from Cpe</t>
  </si>
  <si>
    <t>I talk with nam from Cpe</t>
  </si>
  <si>
    <t>เวนิส วิศวกรรมระบบควบคุมและเครื่องมือวัด</t>
  </si>
  <si>
    <t>แพนเค้ก วิศวกรรมระบบควบคุมและเครื่องมือวัด</t>
  </si>
  <si>
    <t>วิน วิศวกรรมระบบควบคุมและเครื่องมือวัด</t>
  </si>
  <si>
    <t>ปริ้นส์ วิศวกรรมระบบควบคุมและเครื่องมือวัด</t>
  </si>
  <si>
    <t>ปัง วิศวกรรมระบบควบคุมและเครื่องมือวัด</t>
  </si>
  <si>
    <t>ตี๋ วิศวกรรมระบบควบคุมและเครื่องมือวัด</t>
  </si>
  <si>
    <t>เวนิส รู้จักตอนกิจกรรม hand on ทำให้ได้เจอกันและทักทายกันเลยรู้ว่าอยู่สาขาเดียวกัน</t>
  </si>
  <si>
    <t>พี่อาร์ท พี่เอย พี่น้ำหวาน วิศวกรรมระบบควบคุมและเครื่องมือวัด</t>
  </si>
  <si>
    <t xml:space="preserve">พี่บาส รู้จักตอนพี่เขาแนะนำตัวจากกิจกรรมhand on </t>
  </si>
  <si>
    <t>ซัน ภาคคอม</t>
  </si>
  <si>
    <t>พิมพ์ ภาคอิเล็ก</t>
  </si>
  <si>
    <t>อู๋ ภาคเคมี</t>
  </si>
  <si>
    <t>นิว ภาคอิเล็ก</t>
  </si>
  <si>
    <t>พิมพ์รู้จักกันตอนสอบวัดระดับแล้วออกจากห้องคนท้ายๆ</t>
  </si>
  <si>
    <t>พี่แพม พี่กาน พี่เบนซ์</t>
  </si>
  <si>
    <t>พี่แพมเป็นพี่ที่คุมเข้าห้อง</t>
  </si>
  <si>
    <t>ไอส์ cpe</t>
  </si>
  <si>
    <t>ไอ cpe</t>
  </si>
  <si>
    <t>โดนัท cpe</t>
  </si>
  <si>
    <t>อัย cpe</t>
  </si>
  <si>
    <t>อันเป็นเพื่อนที่นั่งเรียนข้างกันในค่ายcpe prefreshy</t>
  </si>
  <si>
    <t>พี่น้ำ เป็นพี่ค่ายในค่ายcpe prefreshy</t>
  </si>
  <si>
    <t>พี่ปายเป็นพี่ที่มาช่วยดูแล</t>
  </si>
  <si>
    <t>ท้อป cpe , มิ env , บีม che , นาย env , บิว ce , ไทเลอร์ ce</t>
  </si>
  <si>
    <t>ท้อป CPE</t>
  </si>
  <si>
    <t>มิ ENV</t>
  </si>
  <si>
    <t>บิว CE</t>
  </si>
  <si>
    <t>โบนัส CHE</t>
  </si>
  <si>
    <t>ท้อป จากกิจกรรมปฐมนิเทศ วันแรก ที่ให้หาเพื่อนเพื่อถามเวลาว่างและกิจกรรมที่จะทำร่วมกัน</t>
  </si>
  <si>
    <t>โบนัส CHE, บีม EE, ใบหยก CHE</t>
  </si>
  <si>
    <t>พี่โบนัส พี่ใบหยก จากกิจกรรมปฐมนิเทศวันที่ 2 ครับ</t>
  </si>
  <si>
    <t>ปัณ che</t>
  </si>
  <si>
    <t>เอน mce</t>
  </si>
  <si>
    <t>ลิน pe</t>
  </si>
  <si>
    <t>จิ๋ว pe</t>
  </si>
  <si>
    <t>ปิงปอง ee</t>
  </si>
  <si>
    <t>เอน นั่งข้างๆกันในกิจกรรมปฐมนิเทศ</t>
  </si>
  <si>
    <t>พี่กวาง pe พี่ปิ่น che พี่เจเจภาคอุตสาหการ</t>
  </si>
  <si>
    <t>พี่เป me รู้จักจากกิจกรรม</t>
  </si>
  <si>
    <t>ปิงปิง เคมี</t>
  </si>
  <si>
    <t>เกิด เคมี</t>
  </si>
  <si>
    <t>เป็ปเปอร์ ไฟฟ้า</t>
  </si>
  <si>
    <t>ต้นรัก โยธา</t>
  </si>
  <si>
    <t>ปิงปิงรู้จักจากกิจกรรมที่ต้องดึงกระดาษแข่งกัน แล้วนั่งใกล้กันเลยทักทาย ทำให้รู้ว่าอยู่หอพักเดียวกันเลยกลับด้วยกันและไปกินข้าวด้วยกันต่อ</t>
  </si>
  <si>
    <t>พี่แตงโมpe พี่หงษ์inc พี่นีโอtme พี่เพื่อนinc</t>
  </si>
  <si>
    <t>นีโอ TME พี่เขาให้ทริคในการรองบอลง่าย ๆ ให้ เลยทำได้เร็ว</t>
  </si>
  <si>
    <t>ปอนด์ นาย เก้า เพลง มาโช</t>
  </si>
  <si>
    <t>ปอนด์ EIE</t>
  </si>
  <si>
    <t>เก้า ENE</t>
  </si>
  <si>
    <t>เพลง ENE</t>
  </si>
  <si>
    <t>มาโช ENE</t>
  </si>
  <si>
    <t>นาย ENE ตอนทำกิจกรรมภาคอิเล็ก(มาอีกที่กิจกรรมปฐมนิเทศอีก) เพื่อนชวนคุย และทำให้กิจกรรมดูสนุกขึ้น</t>
  </si>
  <si>
    <t>พี่ติณ ENE พี่เจ ENE แอม EIE</t>
  </si>
  <si>
    <t>พี่ติณ รู้จักจากเพราะพี่ติณเป็นพี่รหัส พี่ใจดี และใส่ใจน้องๆทุกคนเป็นพี่ที่น่ารักมากๆ</t>
  </si>
  <si>
    <t>มาวิน cpe</t>
  </si>
  <si>
    <t>พลุ cpe</t>
  </si>
  <si>
    <t>นาย ME</t>
  </si>
  <si>
    <t>ขุนเเผน cpe</t>
  </si>
  <si>
    <t>โม Talking about roblox project when sit in line.</t>
  </si>
  <si>
    <t xml:space="preserve">พี่กันต์ In the morning, He is funny. </t>
  </si>
  <si>
    <t xml:space="preserve">พี่ปาย พี่ฟลุ๊ค พี่กันต์ </t>
  </si>
  <si>
    <t>เวียร์ env</t>
  </si>
  <si>
    <t xml:space="preserve">ปันปัน env </t>
  </si>
  <si>
    <t>เวียร์ env รู้จักจากการทำกิจกรรมในฐานร่วมกัน</t>
  </si>
  <si>
    <t>นีโอ TME เพื่อน inc แตงโม PE</t>
  </si>
  <si>
    <t>นีโอ TME ทำกิจกรรในฐาน</t>
  </si>
  <si>
    <t>มิว inc</t>
  </si>
  <si>
    <t>ลลิล กิจกรรมรับน้อง นิสัยคล้ายๆกัน พูดจาถูกคอ</t>
  </si>
  <si>
    <t>นีโอTME กล้าTME เพื่อนINC</t>
  </si>
  <si>
    <t>นีโอ TME กิจกรรมhands on สอนและพูดคุยอย่างเป็นกันเอง</t>
  </si>
  <si>
    <t>เกื้อie</t>
  </si>
  <si>
    <t>ข้าวie</t>
  </si>
  <si>
    <t>เหนือtme</t>
  </si>
  <si>
    <t>ฮอนtme</t>
  </si>
  <si>
    <t>ออมme</t>
  </si>
  <si>
    <t>ฮอนรู้จักจากกิจกรรมปฐมนิเทศคณะวิศวกรรมศาสตร์</t>
  </si>
  <si>
    <t>พี่พลอยtme,พี่Owen tme,พี่ฟิวส์ tme</t>
  </si>
  <si>
    <t>พี่พลอยรู้จักจากปฐมนิเทศคณะวิศวกรรมศาสตร์</t>
  </si>
  <si>
    <t>นาโน โยธา</t>
  </si>
  <si>
    <t>เฟ โยธา</t>
  </si>
  <si>
    <t>นะ แมคคา</t>
  </si>
  <si>
    <t>กับตัน เครื่องกล</t>
  </si>
  <si>
    <t>นั่งคุยกันครับ สนุกมากครับ</t>
  </si>
  <si>
    <t>พี่ไลอ้อน พี่ดรีม พี่อุ่งอิ๋ง โยธา</t>
  </si>
  <si>
    <t>คุยกันครับ เมครุ่นพี่</t>
  </si>
  <si>
    <t>ตาต้า อุสาหกรรม</t>
  </si>
  <si>
    <t>ชม สิ่งแวดล้อม</t>
  </si>
  <si>
    <t>แอ้ม สิ่งแวดล้อม</t>
  </si>
  <si>
    <t>เมย์ สิ่งแวดล้อม</t>
  </si>
  <si>
    <t>ชม รู้จักตั้งแต่วันแรกที่ปฐมนิเทศ เป็นเพื่อนคนแรกที่ได้รู้จักและอยู่คณะ สาขา เดียวกัน</t>
  </si>
  <si>
    <t>พี่ชูครีม พี่ไอซ์ คอมพิวเตอร์ พี่แบม สิ่งแวดล้อม</t>
  </si>
  <si>
    <t>พี่ชูครีม ได้รู้จักจากการเข้าร่วมกิจกรรมฐาน พี่คุยสนุกมากค่ะ</t>
  </si>
  <si>
    <t>มั้ง ภาควิศวกรรมเครื่องกล</t>
  </si>
  <si>
    <t>พิภพ ภาควิศวกรรมโยธา</t>
  </si>
  <si>
    <t>กิมมี่ ภาควิศวกรรมโยธา</t>
  </si>
  <si>
    <t>เหนือ ภาควิศวรกรรมคอมพิวเตอร์</t>
  </si>
  <si>
    <t>เเพช วิศวกรรมคอมพิวเตอร์</t>
  </si>
  <si>
    <t>เหนือ รู้จักจากกิจกรรมฐานนาฬิกา</t>
  </si>
  <si>
    <t>พี่พืช พี่ข้าวหอม พี่จือ</t>
  </si>
  <si>
    <t>พี่จือจากฐานนาฬิกา</t>
  </si>
  <si>
    <t>เน วิศวกรรมเคมี</t>
  </si>
  <si>
    <t>ปลื้ม วิศวกรรมเคมี</t>
  </si>
  <si>
    <t>กาก้า วิศวกรรมเคมี</t>
  </si>
  <si>
    <t>Victor วิศวกรรมเคมี</t>
  </si>
  <si>
    <t>ปลื้ม FIBO</t>
  </si>
  <si>
    <t>ตรวจร่างกาย ตัดต่อเพื่อน</t>
  </si>
  <si>
    <t>การ์ฟิว วิศวกรรมเคมี อิมเมจ วิศวกรรมเคมี ออม วิศวกรรมเคมี</t>
  </si>
  <si>
    <t>การ์ฟิว กิจกรรมถ่ายรูปภาควิชา ชอบตอนเหล่าเรื่อง</t>
  </si>
  <si>
    <t>1พล pe 2บิวpe 3 นํ้ามนต์ 4 เตเต้pe 5 พลอย pe</t>
  </si>
  <si>
    <t>พล pe</t>
  </si>
  <si>
    <t>นํ้ามนต์ pe</t>
  </si>
  <si>
    <t>พลอย pe</t>
  </si>
  <si>
    <t>พล  บิว มนต์ นั่งส่องสาวด้วยกัน</t>
  </si>
  <si>
    <t>จำไม่ได้แต่ประทับใจพี่ๆทุกคนครับ</t>
  </si>
  <si>
    <t>ไม่รู้ชื่อครับ แต่พี่คนนั้นเอาฟิวเจอร์บอร์ดมาพัดให้คลายร้อน</t>
  </si>
  <si>
    <t>อลิน EIE</t>
  </si>
  <si>
    <t>หมิง ENE</t>
  </si>
  <si>
    <t>อลิน รู้จักเพราะเล่นกิจกรรมที่ต้องเขียนชื่อเพื่อน เลยถามชื่อ</t>
  </si>
  <si>
    <t>พี่แพม พี่ต้นน้ำ พี่กานต์ ENE</t>
  </si>
  <si>
    <t>พี่แพม เพราะว่ารู้จักคนแรก</t>
  </si>
  <si>
    <t>เดียร์ เคมี</t>
  </si>
  <si>
    <t>ปลื้ม Me</t>
  </si>
  <si>
    <t>ข้าวแพง เคมี</t>
  </si>
  <si>
    <t>น้ำ เคมี</t>
  </si>
  <si>
    <t>มิน เคมี</t>
  </si>
  <si>
    <t>เดียร์ ปาบอล ..</t>
  </si>
  <si>
    <t>พี่การ์ดตูน me พี่กาฟิ้ว พี่ อ้อม che</t>
  </si>
  <si>
    <t>พี่การ์ตูน นาฬิกา</t>
  </si>
  <si>
    <t>จอม PE</t>
  </si>
  <si>
    <t>เฟิร์ส PE</t>
  </si>
  <si>
    <t>เพชร PE กินข้าวด้วยกันเหงาๆ สองคน</t>
  </si>
  <si>
    <t>พี่เจเจ PE พี่ภูมิ ME พี่มะเหมี่ยว</t>
  </si>
  <si>
    <t>พี่ภูมิ ME รู้จักจากกิจกรรรมรับน้องวันแรก</t>
  </si>
  <si>
    <t>ภัท เครื่องกล</t>
  </si>
  <si>
    <t>เพชร อุตสาหการ</t>
  </si>
  <si>
    <t>มีนา อุตสาหการ</t>
  </si>
  <si>
    <t>เหนือ วัสดุ</t>
  </si>
  <si>
    <t>เพชร รู้จักจากตอนเล่นเกมยิงเรือ คุยสนุกมากจร้า</t>
  </si>
  <si>
    <t>พี่ปอน เครื่องกล, เอ เครื่องกล, บี เครื่องกล</t>
  </si>
  <si>
    <t>พี่ปอน สูง เสียงดัง</t>
  </si>
  <si>
    <t>ซีน อุตสาหการ</t>
  </si>
  <si>
    <t>เอิท อุตสาหการ</t>
  </si>
  <si>
    <t>นาย อุตสาหการ</t>
  </si>
  <si>
    <t xml:space="preserve">เฟิร์ส </t>
  </si>
  <si>
    <t>ซีน จากกิจกรรมวันนี้</t>
  </si>
  <si>
    <t>เฟิร์สอุต เพชรอุต ซีนอุต</t>
  </si>
  <si>
    <t>น้ำฟ้า cpe</t>
  </si>
  <si>
    <t>เอ็ม cpe</t>
  </si>
  <si>
    <t>กอญ่า  cpe</t>
  </si>
  <si>
    <t>สกาย cpe</t>
  </si>
  <si>
    <t>สกาย ชอบแบ่งเรื่องราวต่างๆ</t>
  </si>
  <si>
    <t>พี่ทาม มีความใจดีชอบช่วยเหลือรุ่นน้องตลอดเวลา</t>
  </si>
  <si>
    <t>พี่ทาม พี่เข้าฝ่าง พี่ไอซ์</t>
  </si>
  <si>
    <t>Boom cpe</t>
  </si>
  <si>
    <t>Tong cpe</t>
  </si>
  <si>
    <t>Phupha cpe</t>
  </si>
  <si>
    <t>Sun cpe</t>
  </si>
  <si>
    <t>P'Nam invite to play basketball</t>
  </si>
  <si>
    <t>P'nam,P'cream,P'fluke</t>
  </si>
  <si>
    <t>bua(eie) grace(eie) dell(eie) dream(eie) ye(eie)</t>
  </si>
  <si>
    <t>bua(eie)</t>
  </si>
  <si>
    <t>grace(eie)</t>
  </si>
  <si>
    <t>dell(eie)</t>
  </si>
  <si>
    <t>dream(eie)</t>
  </si>
  <si>
    <t>ye(eie)</t>
  </si>
  <si>
    <t>ดรีม ปฐมนิเทศ ช่วงวิ่งแลกเกียร?</t>
  </si>
  <si>
    <t>บัว ปฐมนิเทศ ช่วงวิ่งแลกเกียร์</t>
  </si>
  <si>
    <t>โชคดี ซัน พี่ไอซ์ (ene)</t>
  </si>
  <si>
    <t>Environmental Engineering</t>
  </si>
  <si>
    <t>เบสท์ env</t>
  </si>
  <si>
    <t>ไทเกอร์ env</t>
  </si>
  <si>
    <t>Six ENV</t>
  </si>
  <si>
    <t>เบส เจอกันตอนถ่ายรูปรวมตอนเช้า</t>
  </si>
  <si>
    <t>ปาย มน อาท ฟ้า ENV</t>
  </si>
  <si>
    <t>ภูมิinc</t>
  </si>
  <si>
    <t>แก้มinc</t>
  </si>
  <si>
    <t>ปริ้นช์inc</t>
  </si>
  <si>
    <t>เกมinc</t>
  </si>
  <si>
    <t>เฟิร์ธ</t>
  </si>
  <si>
    <t>ภูมิ ชอบเตะบอลเหมือนกัน</t>
  </si>
  <si>
    <t>มิมี่inc พี่mee inc พี่ hongwhaa inc</t>
  </si>
  <si>
    <t>มิมี่กิจกรรมปฐมนิเทศ</t>
  </si>
  <si>
    <t>วิช</t>
  </si>
  <si>
    <t>อชิโยธา</t>
  </si>
  <si>
    <t>วิช กิจกรรมสอบค้าบ</t>
  </si>
  <si>
    <t>อิ่งดอย ย ยยยย ย</t>
  </si>
  <si>
    <t xml:space="preserve">สอบบบบบบบบบบบบ </t>
  </si>
  <si>
    <t>Bank Ch.E.</t>
  </si>
  <si>
    <t>Bible Ch.E.</t>
  </si>
  <si>
    <t xml:space="preserve">Sense </t>
  </si>
  <si>
    <t>Panda Ch.E.</t>
  </si>
  <si>
    <t>Yen Auto E.</t>
  </si>
  <si>
    <t>Bank, Bible, Sense, Panda, and I met during our Hands-on course and started hanging out in our following activities</t>
  </si>
  <si>
    <t>I don't particularly remember the names of my seniors, but I find seniors from FEN10104 rather memorable.</t>
  </si>
  <si>
    <t>I do not remember their names for most of them do not have their name signs shown today.</t>
  </si>
  <si>
    <t>ปูเป้ Ene</t>
  </si>
  <si>
    <t>ชมพู่PE</t>
  </si>
  <si>
    <t>เป็ก ENE</t>
  </si>
  <si>
    <t xml:space="preserve">ชื่อโยโย่ รู้จักจากกิจกรรมปฐมนิเทศของคณะวิศวะ </t>
  </si>
  <si>
    <t>พี่ไอซ์ พี่บีเฟิส พี่โชคดี ENE</t>
  </si>
  <si>
    <t>ชื่อบีเฟิส รู้จักจากกิจกรรมปฐมนิเทศวิศวะเพราะพี่เขาช่วยทำแบบสอบถาม</t>
  </si>
  <si>
    <t>หอม หมู pe</t>
  </si>
  <si>
    <t>โฟกัส ตอนระหว่างรอมาห้องประชุม คุยแล้วสนุกดี</t>
  </si>
  <si>
    <t>พี่ปิ่น เคมี พี่หนุน โยธา พี่โบนัส อุต</t>
  </si>
  <si>
    <t>พี่โบนัส ตอนไปถ่านรูป</t>
  </si>
  <si>
    <t xml:space="preserve"> </t>
  </si>
  <si>
    <t>แตม PE</t>
  </si>
  <si>
    <t>หนูดี PE</t>
  </si>
  <si>
    <t>เนย PE</t>
  </si>
  <si>
    <t>พอใจ PE</t>
  </si>
  <si>
    <t>ผักกาด PE</t>
  </si>
  <si>
    <t>เปียโน PE หอม PE หมู PE</t>
  </si>
  <si>
    <t>พอใจ เป็นสาวเชียงใหม่เลยประทับใจมาก</t>
  </si>
  <si>
    <t>พี่เฟย PE พี่ปิ่น CHE พี่หนุน CE</t>
  </si>
  <si>
    <t>พี่เฟย PE รู้จักตอนเช้าเพราะพี่เขามาพัดให้เลยชวนคุย</t>
  </si>
  <si>
    <t>Batman eie</t>
  </si>
  <si>
    <t>Aom eie</t>
  </si>
  <si>
    <t>enjoy eie</t>
  </si>
  <si>
    <t xml:space="preserve">JANE </t>
  </si>
  <si>
    <t>Pem ene</t>
  </si>
  <si>
    <t xml:space="preserve">Batman eie from  Running activity </t>
  </si>
  <si>
    <t xml:space="preserve">P'Kan ene give me some advice </t>
  </si>
  <si>
    <t>P'ice ene / P'befrist ene/P'kan ene</t>
  </si>
  <si>
    <t>เนปจูน cpe</t>
  </si>
  <si>
    <t>พัตเตอร์ me</t>
  </si>
  <si>
    <t>แตม cpe</t>
  </si>
  <si>
    <t xml:space="preserve">ปลื้ม เป็นเพื่อนเก่าจากรรเก่า </t>
  </si>
  <si>
    <t>พี่พัตเตอร์ com pre-freshy camp</t>
  </si>
  <si>
    <t>พี่น้ำ cpe พี่เจเจ cpe พี่กรณ์ cpe</t>
  </si>
  <si>
    <t>1.เลอ tme</t>
  </si>
  <si>
    <t>2.น้ำหวาน tme</t>
  </si>
  <si>
    <t>3.อาอู๋ tme</t>
  </si>
  <si>
    <t>4.ฟิล์ม cpe</t>
  </si>
  <si>
    <t>5.เต tme</t>
  </si>
  <si>
    <t>อาอู๋ มาจากโรงเรียนเดียวกันแล้วมานี่ก็ได้เจอกันในคณะสาขาเดียวกัน แล้วยังมาวันประถมนิเทศด้วยกันอีกเลยค่อนค้างน่าประทับใจ</t>
  </si>
  <si>
    <t>1.พี่ฟิว tme 2.พี่ออโต้ tme  3.พี่โอเว่น tme</t>
  </si>
  <si>
    <t>พี่โอเว่น เพราะ เป็นพี่ที่ตอนแรกที่ขึ้นมาที่ห้อง tme เลยครับแล้วช่วยตอบคำถามเกี่ยวกับการลงทะเบียนครับ</t>
  </si>
  <si>
    <t>Wei Chem En</t>
  </si>
  <si>
    <t>Mai Chem En</t>
  </si>
  <si>
    <t>Floyd Chem En</t>
  </si>
  <si>
    <t>Grace Chem En</t>
  </si>
  <si>
    <t>Panda Chem En</t>
  </si>
  <si>
    <t>Nammon Chem En</t>
  </si>
  <si>
    <t xml:space="preserve">Mai, same activity group, have fun and we connect easily </t>
  </si>
  <si>
    <t>Didn't make friend</t>
  </si>
  <si>
    <t xml:space="preserve">Didn't make friend </t>
  </si>
  <si>
    <t>Leeshin cpe</t>
  </si>
  <si>
    <t>Pooh cpe</t>
  </si>
  <si>
    <t>Best ธรรมชาติ</t>
  </si>
  <si>
    <t>Nice ธรรมชาติ</t>
  </si>
  <si>
    <t>Angie ธรรมชาติ</t>
  </si>
  <si>
    <t xml:space="preserve">Best leeshin pooh </t>
  </si>
  <si>
    <t>Num cpe cream cpe</t>
  </si>
  <si>
    <t>Kong cpe thanut cpe</t>
  </si>
  <si>
    <t>ออย วิศวกรรมระบบควบคุมและเครื่องมือวัด</t>
  </si>
  <si>
    <t>ปริ้น วิศวกรรมระบบควบคุมและเครื่องมือวัด</t>
  </si>
  <si>
    <t>แพนเค้น วิศวกรรมระบบควบคุมและเครื่องมือวัด</t>
  </si>
  <si>
    <t>ฟ้า วิศวกรรมระบบควบคุมและเครื่องมือวัด</t>
  </si>
  <si>
    <t>ออย รู้จักเพราะเข้าแถวข้างๆกัน</t>
  </si>
  <si>
    <t>อาร์ท เอย นํ้าหวาน วิศวกรรมระบบควบคุมและเครื่องมือวัด</t>
  </si>
  <si>
    <t>อาร์ท รู้จักจากการเข้าร่วมกิจกรรมปฐมนิเทศ</t>
  </si>
  <si>
    <t>เติ้ล INC</t>
  </si>
  <si>
    <t>แก้มINC</t>
  </si>
  <si>
    <t>เกรซ AE</t>
  </si>
  <si>
    <t>เฟรม CHE</t>
  </si>
  <si>
    <t>แก้ม เพื่อนข้างๆในคาบปฐม</t>
  </si>
  <si>
    <t>พี่หยก ได้คุยกับรุ่นพี่ในห้องปฐมนิเทศ</t>
  </si>
  <si>
    <t>พี่หยกChe พี่เอย AE พี่ปิ๊ก AE พี่พี AE</t>
  </si>
  <si>
    <t>Bokie INC</t>
  </si>
  <si>
    <t>Share about what we like as food and movie</t>
  </si>
  <si>
    <t>About where the court basketball is and play together when open semester</t>
  </si>
  <si>
    <t>Aoey INC
Baiyok INC
Moo INC</t>
  </si>
  <si>
    <t>ญาดา เครื่องมือ</t>
  </si>
  <si>
    <t>อันนา เคมี</t>
  </si>
  <si>
    <t>ฟินดี้ รู้จักจากกิจกรรม hand on เพื่อนคอยแนะนำกิจกรรมต่าง ๆ และสิ่งต่าง ๆ ที่เราต้องทำตลอด มีอะไรคอยบอกเพื่อน ๆ ทำให้ได้รู้ว่าต้องทำอะไรบ้าง</t>
  </si>
  <si>
    <t>พี่อาย เครื่องกล , พี่ไอซ์ คอม , พี่ปอนด์ เครื่องกล</t>
  </si>
  <si>
    <t>พี่ปอนด์ จากกิจกรรมปฐมนิเทศ ชอบพูดว่า เอาเรื่อง</t>
  </si>
  <si>
    <t>อิม เครื่องกล</t>
  </si>
  <si>
    <t>โอม อุตสาหการ</t>
  </si>
  <si>
    <t>ภู อุตสาหการ</t>
  </si>
  <si>
    <t>Rc สิ่งแวดล้อม</t>
  </si>
  <si>
    <t>จีน เป็นรูมเมทหอใน</t>
  </si>
  <si>
    <t>พี่ปิ๊ก ME พี่บิว Env พี่ขนุน PE</t>
  </si>
  <si>
    <t>พี่ปิ๊กพาเดินไปฐานกิจกรรม</t>
  </si>
  <si>
    <t>ต้น PE</t>
  </si>
  <si>
    <t>ภูมิ PE</t>
  </si>
  <si>
    <t>ต้น รู้จักจากตอนมาสัมภาษณ์</t>
  </si>
  <si>
    <t>พี่บิงโก พี่มะเหมี่ยว พี่เเม็ก</t>
  </si>
  <si>
    <t>พี่บิงโก รู้จักผ่านรุ่นพี่MCE</t>
  </si>
  <si>
    <t>แอ้ม ปลาทู อีฟ เบล รุ้ง ทิพย์ ฟ้า ปีใหม่ ปิง มุก พลอย คริสตัล เมย์ แอม</t>
  </si>
  <si>
    <t xml:space="preserve">แอ้ม ENV </t>
  </si>
  <si>
    <t xml:space="preserve">เบล ENV </t>
  </si>
  <si>
    <t>รุ้ง ENV</t>
  </si>
  <si>
    <t>ปีใหม่ ENV</t>
  </si>
  <si>
    <t>อีฟ ENV</t>
  </si>
  <si>
    <t>พลอย ENV inter</t>
  </si>
  <si>
    <t>ชื่อเบล รู้จักการการเข้ากลุ่มสาขาแล้วก็เริ่มสนิทกันหลังหลังจากที่เรียนปรับพื้นฐานของHANG ON</t>
  </si>
  <si>
    <t>จ๊ะจ๋า โยธา พี่ตี๋ สิ่งแวดล้อม พี่ต้นหอม INC</t>
  </si>
  <si>
    <t>พี่ต้นหอม inc รู้จักตอนเข้าค่าย ตอนช่วงมัธยมปลายตอนช่วงแข่งทำ ตอนช่วงมัธยมปลายตอนช่วงแข่งทำโปรเจกต์มีพี่ต้นหอมที่คอยช่วยอยู่ข้างข้างแล้วทำให้งานราบรื่นเป็นอย่างดี</t>
  </si>
  <si>
    <t>อชิ เครื่องกล</t>
  </si>
  <si>
    <t>เจ๋งเครื่องกล</t>
  </si>
  <si>
    <t>ท้อป คอม</t>
  </si>
  <si>
    <t>เนปจุน คอม</t>
  </si>
  <si>
    <t>ปลื้อ คอม</t>
  </si>
  <si>
    <t>นน ได้จากไปปฐมนิเทศ</t>
  </si>
  <si>
    <t>พี่ปอน พี่บอส พี่สานพิณ เครื่องกล</t>
  </si>
  <si>
    <t>พี่ปอนด์ จากการตะโกนเสียงดัง</t>
  </si>
  <si>
    <t>ดัง semi</t>
  </si>
  <si>
    <t>แพท อุต</t>
  </si>
  <si>
    <t>โม เครื่องกล รู้จักจากโรงเรียนเก่า</t>
  </si>
  <si>
    <t>พี่โชคดี ene พี่ซ็อกเก้อ ene พี่มีน</t>
  </si>
  <si>
    <t>พี่มีน รู้จักจากfirst meet ene พี่รหัส</t>
  </si>
  <si>
    <t>ดีเซล-โยธา</t>
  </si>
  <si>
    <t>มิน-โยธา</t>
  </si>
  <si>
    <t>แดน-โยธา</t>
  </si>
  <si>
    <t>วิน-โยธา</t>
  </si>
  <si>
    <t>เปป-ไฟฟ้า</t>
  </si>
  <si>
    <t>เปป-ได้พูดคุยแลกเปลี่ยนกันว่ามาจากไหนทำไรเจอใครแล้วบ้างพูดถูกคอสนุกสนาน</t>
  </si>
  <si>
    <t>พี่ท็อป พี่เมษา พี่มีน</t>
  </si>
  <si>
    <t>พี่มีน-ดูแลดีแจกขนมใจดีมาก</t>
  </si>
  <si>
    <t>1 เจ วิศวคอม 2 บาส วิศววัสดุ 3.ฟีม วิศวอุต 4ต้า วิศวไฟฟ้า 5.กอล์ฟ วิศวเครื่องกล</t>
  </si>
  <si>
    <t xml:space="preserve">1 เจ วิศวคอม </t>
  </si>
  <si>
    <t xml:space="preserve">2 บาส วิศววัสดุ </t>
  </si>
  <si>
    <t xml:space="preserve"> 3.ฟีม วิศวอุต </t>
  </si>
  <si>
    <t xml:space="preserve">4ต้า วิศวไฟฟ้า </t>
  </si>
  <si>
    <t>5.กอล์ฟ วิศวเครื่องกล</t>
  </si>
  <si>
    <t>6ป๋อ วิศวอิเล็ก</t>
  </si>
  <si>
    <t>เจ วิศวคอมดอชบอล</t>
  </si>
  <si>
    <t>พี่โชค อิเล็ก พี่เฟย โยธา พี่ต้า ไฟฟ้า</t>
  </si>
  <si>
    <t>พี่โชค อิเล็ก ดอชบอล</t>
  </si>
  <si>
    <t>เป่า cpe</t>
  </si>
  <si>
    <t>เมๆ cpe</t>
  </si>
  <si>
    <t>เพิ่ม ce</t>
  </si>
  <si>
    <t>เพิ่ม กิจกรรมฐาน</t>
  </si>
  <si>
    <t xml:space="preserve">เบนซ์ ene กาน ene </t>
  </si>
  <si>
    <t>พี่โชค ชวนพาไปกินข้าว</t>
  </si>
  <si>
    <t>อ๋อง INC</t>
  </si>
  <si>
    <t>รู้จักอ๋องช่วงบ่ายของวันนี้ รู้สึกว่าเพื่อนเป็นคนตลกมากก ตอนแรกเศร้าที่ไม่มีเพื่อนเลยแต่ได้นั่งข้างเพื่อน เพื่อนเป็นคนดีมากก</t>
  </si>
  <si>
    <t>พี่หงหวา INC  พี่อาร์ท INC พี่โบนัส ChE</t>
  </si>
  <si>
    <t>รู้สึกพี่หงหวาน่ารักแล้วก็เฟรนด์ลี่ แบ้วก็ดูแลรุ่นน้องดีมากมสก</t>
  </si>
  <si>
    <t>เอก ไฟฟ้า</t>
  </si>
  <si>
    <t>เฟิร์ส จำภาคไม่ได้</t>
  </si>
  <si>
    <t>ออกัส อิเล็ก</t>
  </si>
  <si>
    <t>โบนัส คอม</t>
  </si>
  <si>
    <t>ปิงๆ เคมี</t>
  </si>
  <si>
    <t>เฟิร์ส รู้จักจากกิจกรรมดึงกระดาษ เห็นเพื่อนนั่งคนเดียวแล้วคุยถูกคอ</t>
  </si>
  <si>
    <t>พี่กาฟิว เคมี พี่กัส เคมี พี่ซี เคมี</t>
  </si>
  <si>
    <t>พี่แก้ม รู้จักจากกิจกรรมเวลา</t>
  </si>
  <si>
    <t>ฟาง TME</t>
  </si>
  <si>
    <t>แพท TME</t>
  </si>
  <si>
    <t>ได๋ TME</t>
  </si>
  <si>
    <t>มาร์ค TME</t>
  </si>
  <si>
    <t>ได๋  กิจกรรมปฐมนิเทศ ทักกันตอนเช้า เป็นคนน่ารัก</t>
  </si>
  <si>
    <t>1.พี่โอเวน 2.พี่ซือ 3.พี่พลอย</t>
  </si>
  <si>
    <t xml:space="preserve">พี่พลอย พูดจาย่ารักมากๆ </t>
  </si>
  <si>
    <t>มาร์ก เต้ มั้ง บิว เนย เนย ดิส</t>
  </si>
  <si>
    <t xml:space="preserve">มาร์ก เครื่องกล </t>
  </si>
  <si>
    <t>เนส เครื่องกล</t>
  </si>
  <si>
    <t>มาร์ก รู้จักผ่านแอป เจอตัวจริง มีความคิดที่เก่ง</t>
  </si>
  <si>
    <t>พี่ปอน พี่โจนัท พี่ลีโอ</t>
  </si>
  <si>
    <t>กิจกรรมปฐมนิเทศ พี่เขาเสียงดังดี</t>
  </si>
  <si>
    <t>ฟิว โยธา</t>
  </si>
  <si>
    <t>รู้จักจากเข้าร่วมค่าย civil camp</t>
  </si>
  <si>
    <t>พี่ไลออน โยธา  พี่ดรีม โยธา  พี่บีม โยธา</t>
  </si>
  <si>
    <t>พี่บีม สนิทจากเข้าค่าย civil camp คุยด้วยแล้วสนุก</t>
  </si>
  <si>
    <t>Ai CPE</t>
  </si>
  <si>
    <t>Chot CPE</t>
  </si>
  <si>
    <t>Ree ISEE</t>
  </si>
  <si>
    <t>Petch ISEE</t>
  </si>
  <si>
    <t>I got to know Ai because we sat next to each other and did activities together all day.</t>
  </si>
  <si>
    <t>I got to know P'Kong because he took care of us throughout the day and was always there to help.</t>
  </si>
  <si>
    <t>P’kong. P’Nam.  P’Pai</t>
  </si>
  <si>
    <t>1.1เปียนโนINC 1.2ฟางINC 1.3โอมINC 1.4โบ้ทINC 1.5หลุยINC</t>
  </si>
  <si>
    <t xml:space="preserve">1.1เปียนโนINC </t>
  </si>
  <si>
    <t>1.2ฟางINC</t>
  </si>
  <si>
    <t xml:space="preserve"> 1.3.โมจิ อยู่โยธา</t>
  </si>
  <si>
    <t>1.4โอม INC</t>
  </si>
  <si>
    <t>ทิพ เครื่องกล</t>
  </si>
  <si>
    <t>หลุย lNC</t>
  </si>
  <si>
    <t>โอม เป็นคนแรกที่รู้จักในภาค</t>
  </si>
  <si>
    <t>พี่หงหว่าINC พี่อาร์ทINC พี่พี่ดิศโยธา</t>
  </si>
  <si>
    <t>พี่ดิศ เป็นรุ่นพี่ที่สอนวิชาcalให้ค่ะ ทำให้เข้าใจมากขึ้นเลยค่ะ</t>
  </si>
  <si>
    <t>เกรท เคมี</t>
  </si>
  <si>
    <t>กาก้า เคมี</t>
  </si>
  <si>
    <t>วิคเตอร์ เคมี</t>
  </si>
  <si>
    <t>ต้า เคมี</t>
  </si>
  <si>
    <t>พี่ให้เล่นเกมจำชื่อเพื่อนในแถว</t>
  </si>
  <si>
    <t>พี่กาฟิว พี่ตามฝัน พี่ไออุ่น</t>
  </si>
  <si>
    <t>พี่กาฟิวเอนเตอแทนเก่งมาก พี่ตามฝันเลี้ยงขนม</t>
  </si>
  <si>
    <t>แจน วิศวกรรมโยธา</t>
  </si>
  <si>
    <t>ใบข้าว วิศวกรรมเครื่องมือและวัสดุ</t>
  </si>
  <si>
    <t>ซีแกรม วิศวกรรมคอมพิวเตอร์</t>
  </si>
  <si>
    <t>ไออิณ วิศวกรรมเครื่องมือและวัสดุ</t>
  </si>
  <si>
    <t>ปิง วิศกรรมสิ่งแวดล้อม</t>
  </si>
  <si>
    <t>ใบข้าว เพราะ ใบข้าวสดใส น่ารัก เจอกันตอนเข้ากิจกรรมปฐมนิเทศวันแรก</t>
  </si>
  <si>
    <t>พี่สายพิณ พี่อาย วิศวกรรมเครื่องกล พี่ฟิว วิศวกรรมเครื่องมือและวัสดุ</t>
  </si>
  <si>
    <t>พี่ฟิว รู้จักจากกิจกรรมปฐมนิเทศ</t>
  </si>
  <si>
    <t>นนTME มอสTME คิวTME ตี๋TME ส้มโอTME</t>
  </si>
  <si>
    <t>คิวTME</t>
  </si>
  <si>
    <t>ตี๋TME</t>
  </si>
  <si>
    <t>ส้มโอTME</t>
  </si>
  <si>
    <t>มอส ได้รู้ตัดตากกิจกรรมวันที่25 กรกฏาคม</t>
  </si>
  <si>
    <t>โอเว่น มังกร เปรม</t>
  </si>
  <si>
    <t>พี่โอเว่น จากกิจกรรมhand on</t>
  </si>
  <si>
    <t>ENV ปลาทู</t>
  </si>
  <si>
    <t>ทิพ ENV</t>
  </si>
  <si>
    <t>ฟ้า ENV</t>
  </si>
  <si>
    <t>ปิง ENV</t>
  </si>
  <si>
    <t>มุก ENV</t>
  </si>
  <si>
    <t>พลอย รุ้ง เบล จีน่า แอม แอ้ม เมย์ คริสตัล ENV</t>
  </si>
  <si>
    <t>ปลาทู รุ้จักจากตอนมาสอบวัดระดับคฯิตกะอีงกิดค่ะ เป่นคนแรกที่เมคเฟรน</t>
  </si>
  <si>
    <t xml:space="preserve">พี่ตี๋ ENV จ้ะจ๋า โยธา </t>
  </si>
  <si>
    <t>ตี๋ ENV จากกิจกรรมปฐมนิเทศ</t>
  </si>
  <si>
    <t>1.1แพม 1.2แจน 1.3ไมนา 1.4เหมือนฝัน 1.5ใบข้าว</t>
  </si>
  <si>
    <t>แพม ภาคเครื่องมือและวัสดุ</t>
  </si>
  <si>
    <t>แจน ภาคโยธา</t>
  </si>
  <si>
    <t>ไมนา ภาคสิ่งแวดล้อม</t>
  </si>
  <si>
    <t>ไมนา รู้จักจากกิจกรรมรับน้องวันแรก เพื่อนเป็นคนเดียวที่ชวนคุย</t>
  </si>
  <si>
    <t>พี่อาย ภาคเครื่องกล พี่ฟิว ภาคเครื่องมือและวัสดุ พี่สายพิณ ภาคเครื่องกล</t>
  </si>
  <si>
    <t>พี่ฟิว พี่หัวหน้าสาขาเครื่องมือ พี่ชวนคุยเก่งดูแล้วน้องดี</t>
  </si>
  <si>
    <t>Ufa isee</t>
  </si>
  <si>
    <t>จ๊จ๊า isee</t>
  </si>
  <si>
    <t>น้ำอิงisee</t>
  </si>
  <si>
    <t>ยินดีที่ได้รู้จัก</t>
  </si>
  <si>
    <t>พี่ มะเมี้ยว ไม่รู้จักแล้ว</t>
  </si>
  <si>
    <t>พี่ มะเมี้ยว พูดไเดีมากค่าา</t>
  </si>
  <si>
    <t>จีน เคื่องกล</t>
  </si>
  <si>
    <t>กานต์ อิเล็ก</t>
  </si>
  <si>
    <t>บุ๊ค อิเล็ก</t>
  </si>
  <si>
    <t>ไปรท์ ไฟฟ้ากำลัง</t>
  </si>
  <si>
    <t>เฟียร์ ไฟฟ้ากำลัง</t>
  </si>
  <si>
    <t>จีน จากกิจกรรมนัดเพื่อน</t>
  </si>
  <si>
    <t>แบงค์  ปัน เขม ไฟฟ้าอิเล็กทรอนิกส์</t>
  </si>
  <si>
    <t xml:space="preserve"> ปฐมนิเทศวิศวะ  เล่นเกมด้วยกัน</t>
  </si>
  <si>
    <t>อู๋ CPE</t>
  </si>
  <si>
    <t>โฟล์ค AE</t>
  </si>
  <si>
    <t>น้ำมนต์ PE รู้จักจากตอนเรียน Hands on เพราะยืนอยูาข้างเพื่อนของเพื่อนของเพื่อนแล้วเป็นเพื่อนอุตคนเดียวในกลุ่มภาคเครื่อง</t>
  </si>
  <si>
    <t>พี่เปา ME พี่ถุงข้าว ME พี่ตูน ME</t>
  </si>
  <si>
    <t>พี่เปา ME จากตอนรอเดินมาห้องประชุม แล้วพี่เขาเสียงดังมาก</t>
  </si>
  <si>
    <t>ชั่ง ภาควิชาเครื่องมือและวัสดุ</t>
  </si>
  <si>
    <t>ฮาน ภาควิชาเครื่องมือและวัสดุ</t>
  </si>
  <si>
    <t>มาร์ค ภาควิชาเครื่องมือและวัสดุ</t>
  </si>
  <si>
    <t>อิน ภาควิชาเครื่องมือและวัสดุ</t>
  </si>
  <si>
    <t>หมิง ภาควิชาเครื่องมือและวัสดุ</t>
  </si>
  <si>
    <t>ชั่ง รู้จักกันได้จากไปเรียนHands Onด้วยกัน เหตุการที่ประทับใจคือ ชั่งช่วยสอนการใช้Solid workให้</t>
  </si>
  <si>
    <t>พี่ซือ พี่โอเว่น พี่เชน ภาควิชาเครื่องมือและวัสดุ</t>
  </si>
  <si>
    <t>พี่ซือ รู้จักเพราะพี่ซือเป็นประธานสาขา เหตุการที่ประทับใจ พี่ซือเฟรนลี่เป็นกันเองกันน้องๆมากครับ</t>
  </si>
  <si>
    <t>เป้ย (MEN) ผักกาด (MEN) มอส (MEN) ริน (เมคคา) น้ำขิง (APE)</t>
  </si>
  <si>
    <t>เป้ย (เครื่องมือและวัสดุ)</t>
  </si>
  <si>
    <t>ผักกาด (เครื่องมือและวัสดุ)</t>
  </si>
  <si>
    <t>มอส (เครื่องมือและวัสดุ)</t>
  </si>
  <si>
    <t>ริน (เมคคาทรอนิกส์)</t>
  </si>
  <si>
    <t>น้ำขิง (เครื่องมือและวัสดุ)</t>
  </si>
  <si>
    <t>เนย (MEN) ปลาย (MEN)</t>
  </si>
  <si>
    <t>เป้ย -&gt; รู้จักจากการอยู่ในกลุ่มกิจกรรมกลุ่มเดียวกัน เมื่อวันที่ 25</t>
  </si>
  <si>
    <t>พี่โอเว่น พี่เฟิร์น พี่มังกร</t>
  </si>
  <si>
    <t>พี่โอเว่น -&gt; รู้จักจากใน Hand on</t>
  </si>
  <si>
    <t>เมฆ ไฟฟ้า</t>
  </si>
  <si>
    <t>เรนโบว ไฟฟ้า</t>
  </si>
  <si>
    <t>โอม คอม</t>
  </si>
  <si>
    <t>ก๊อบแก๊บ ไฟฟ้าอิเล็ก</t>
  </si>
  <si>
    <t>ปฐมนิเทศวิศวะ เล่นกิจกรรมด้วยกัน</t>
  </si>
  <si>
    <t>แบงค์ เขม ปัน ไฟฟ้าอิเล็กทรอนิกส์</t>
  </si>
  <si>
    <t>ปฐมนิเทศวิศวะ เล่นเกมด้วยกัน</t>
  </si>
  <si>
    <t>โด๋ TME</t>
  </si>
  <si>
    <t>เตย TME</t>
  </si>
  <si>
    <t>วิว TME</t>
  </si>
  <si>
    <t>โด๋ จากกิจกรรม 12 นาฬิกาเป็นที่ประทับใจในการให้ความร่วมมือและเป็นกันเอง</t>
  </si>
  <si>
    <t>พี่เฟิร์ส พี่ซือ พี่โอเว่น</t>
  </si>
  <si>
    <t>พี่เฟิร์ส จากกิจกรรมปฐมนิเทศเป็นรุ่นพี่ที่พึ่งพาและสนุกสนาน มอบคำแนะนำที่ดีมากๆให้</t>
  </si>
  <si>
    <t>ภพ</t>
  </si>
  <si>
    <t>บิว AME</t>
  </si>
  <si>
    <t>ดิส ME</t>
  </si>
  <si>
    <t>มาค ME</t>
  </si>
  <si>
    <t>ภพ CE</t>
  </si>
  <si>
    <t>นน เจอกันที่ค่ายคุยกัน</t>
  </si>
  <si>
    <t>1. พี่พิมมี่ 2.พี่ปอด 3.พี่ลีโอ</t>
  </si>
  <si>
    <t>พี่พิมมี่ รุ่นพี่แซวพี่พิมมี่กันเล่นว่าปีศาจหมู</t>
  </si>
  <si>
    <t>ฟลุ๊ค INC</t>
  </si>
  <si>
    <t>แม็ก INC</t>
  </si>
  <si>
    <t>อาร์ม INC</t>
  </si>
  <si>
    <t>ฟลุ๊ค แม็ก เจอกันที่ Hand on essential</t>
  </si>
  <si>
    <t>พี่น้ำหวาน inc พี่เอย inc พี่มิ inc</t>
  </si>
  <si>
    <t>พี่มิ inc เจอกันตอนรวมคณะ</t>
  </si>
  <si>
    <t>อชิ ce</t>
  </si>
  <si>
    <t>วิช ce</t>
  </si>
  <si>
    <t>ไปป์ ce</t>
  </si>
  <si>
    <t>กร ce</t>
  </si>
  <si>
    <t>คุเน ce</t>
  </si>
  <si>
    <t>วิช ได้เจอที่12นาฬิกา เพื่อนเป็นกันเองเฟรนรี่</t>
  </si>
  <si>
    <t>มะเหมี่ยว วิน มะนาว</t>
  </si>
  <si>
    <t>พี่มะเหมี่ยว พี่เขาตลก</t>
  </si>
  <si>
    <t>มาย CHE</t>
  </si>
  <si>
    <t>กอหญ้า CHE</t>
  </si>
  <si>
    <t>เบน CHE</t>
  </si>
  <si>
    <t>รู้จักเบนเพราะ เห็นว่าเป็นลูกครึ่งญี่ปุ่นเลยคุยกันถามว่าเป็นที่จังหวัดอะไรเล่าให้ฟังว่าได้ไป1month training ที่ญี่ปุ่นมา</t>
  </si>
  <si>
    <t>กาฟิวด์ che ตามฝัน che ไออุ่น che</t>
  </si>
  <si>
    <t>พี่กาฟิวน่ารักมากคอยดูแลพาเดินไปถ่ายรูปไปตึกต่างๆ</t>
  </si>
  <si>
    <t>มายด์ ChE</t>
  </si>
  <si>
    <t>เบน ChE</t>
  </si>
  <si>
    <t>รู้จักเบนเพราะเป็นคนญี่ปุ่นเลยเลยเล่าว่าไปเทรนนิ่งที่ญี่ปุ่นมา</t>
  </si>
  <si>
    <t>พี่กาฟิวด์ พี่ไออุ่น พี่ตามฝัน พี่ออม ChEทุกคน</t>
  </si>
  <si>
    <t>พี่ๆเอาขนมมาให้กิน ประทับใจมากตอนที่หิวที่สุดมีคนยื่นมือมาช่วย</t>
  </si>
  <si>
    <t>INC</t>
  </si>
  <si>
    <t>INC ตี๋</t>
  </si>
  <si>
    <t>INC ออย</t>
  </si>
  <si>
    <t>INC วิน</t>
  </si>
  <si>
    <t>INC เกม</t>
  </si>
  <si>
    <t>INC ภูมิ</t>
  </si>
  <si>
    <t>INC เพชร</t>
  </si>
  <si>
    <t>มาย กิจกรรม นาฬิกาเป็นกิจกรรมหาเพื่อน</t>
  </si>
  <si>
    <t>พี่มีมี่INC พี่อาร์ท พี่น้ำหวาน</t>
  </si>
  <si>
    <t>พี่อาร์ท จากกิจกรรมปฐมนิเทศน์</t>
  </si>
  <si>
    <t>นะโม โยธา อินเตอร์</t>
  </si>
  <si>
    <t>ลัก โยธา ปกติ</t>
  </si>
  <si>
    <t>จีน โยธา ปกติ</t>
  </si>
  <si>
    <t>ปัน โยธา ปกติ</t>
  </si>
  <si>
    <t>โต๋ โยธา ปกติ</t>
  </si>
  <si>
    <t>นะโม เพื่อนค่าcivil camp ครั้งที่20</t>
  </si>
  <si>
    <t>พี่แชมป์ โยธา —</t>
  </si>
  <si>
    <t>ตอนมานั่งรอหน้าคณะ มั้ง</t>
  </si>
  <si>
    <t>เเอม CPE HDS</t>
  </si>
  <si>
    <t>ฟางข้าว CPE HDS</t>
  </si>
  <si>
    <t>เบส CPE HDS</t>
  </si>
  <si>
    <t>ครีม CPE HDS</t>
  </si>
  <si>
    <t>จะจ๋า CPE HDS</t>
  </si>
  <si>
    <t>ฟางข้าว รู้จักจากการไม่สามารถหาเพื่อน CPE ภาคปกติเจอ</t>
  </si>
  <si>
    <t>พี่ปาย พี่ฟลุ๊ค พี่กันต์ CPE</t>
  </si>
  <si>
    <t>ยังไม่รู้จักรุ่นพี่คนใดคนหนึ่งเป็นการส่วนตัว</t>
  </si>
  <si>
    <t>เตชิน วิศวะเครื่องกล</t>
  </si>
  <si>
    <t>ต้อง INC</t>
  </si>
  <si>
    <t>นาคิน ENE</t>
  </si>
  <si>
    <t>เตชิน เครื่องกล คุยสนุก เป็นกันเอง</t>
  </si>
  <si>
    <t>กวิน INC ตูน INC พีท INC</t>
  </si>
  <si>
    <t>คุยสนุกเป็นกันเอง</t>
  </si>
  <si>
    <t>แพรวา วิศวกรรมเคมี</t>
  </si>
  <si>
    <t>ติว วิศวกรรมคอมพิวเตอร์</t>
  </si>
  <si>
    <t>ตุน วิศวกรรมคอมพิวเตอร์</t>
  </si>
  <si>
    <t>ฟลุ๊ค วิศวกรรมระบบควบคุมและเครื่องมือวัด</t>
  </si>
  <si>
    <t>ติน วิศวกรรมคอมพิวเตอร์</t>
  </si>
  <si>
    <t>รู้จักกับแพรวาเพราะเป็นเพื่อนของคนที่รู้จักจึงมีโอกาสได้พบกันบ่อยและได้ทำความรู้จักกัน</t>
  </si>
  <si>
    <t>พี่สแตมป์ (วิทยาการหุ่นยนต์ภาคสนาม) พี่เต้ (วิศวกรรมคอมพิวเตอร์) พี่ต้นน้ำ (วิศกรรมเครื่องกล)</t>
  </si>
  <si>
    <t>พี่สแตมป์ รู้จักกันตอนมาเข้าค่าย FIBO แล้วได้พี่คอยช่วยแนะนำภาควิชา</t>
  </si>
  <si>
    <t>เพชรพลอย CE</t>
  </si>
  <si>
    <t>เเพรวา CE</t>
  </si>
  <si>
    <t>กีฟ CE</t>
  </si>
  <si>
    <t>ปรายฟ้า CE</t>
  </si>
  <si>
    <t>พั้น CE</t>
  </si>
  <si>
    <t>เพชรพลอย รู้จักจากการเข้าฐานเล่นเกม</t>
  </si>
  <si>
    <t>หนูจำไม่ได้ค่ะ:-:</t>
  </si>
  <si>
    <t>มีรุ่นพี่ที่เข้าฐาน ทำให้กินจกรรมสนัก แต่หนูจำชื่อไม่ได้ค่ะ:-:</t>
  </si>
  <si>
    <t>หอม ผลิต</t>
  </si>
  <si>
    <t>โอม ยานยนต์</t>
  </si>
  <si>
    <t>ลีโอ ยานยนต์</t>
  </si>
  <si>
    <t>ก้อง ยานยนต์</t>
  </si>
  <si>
    <t>กิจกรรม12นาฬิกา</t>
  </si>
  <si>
    <t xml:space="preserve">โจนัส ลีโอ เต้ </t>
  </si>
  <si>
    <t xml:space="preserve">โจนัส พูดเก่ง  </t>
  </si>
  <si>
    <t>คริสตัล env</t>
  </si>
  <si>
    <t>พลอย env</t>
  </si>
  <si>
    <t>เจียเจีย env</t>
  </si>
  <si>
    <t>แอม env</t>
  </si>
  <si>
    <t>จอม env</t>
  </si>
  <si>
    <t>พลอย ทักมาเมคเฟรนในไอจีแล้วบังเอิญยืนอยู่ข้างๆตอนถ่ายรูป</t>
  </si>
  <si>
    <t>พี่ตี๋ env พี่หวานenv พี่รัก</t>
  </si>
  <si>
    <t>พี่ตี๋มาตอนปฐมนิเทศมหาลัย ใส่หมวกกันน็อคมา</t>
  </si>
  <si>
    <t>ใบเฟิร์น ภาควิชา ไฟฟ้า</t>
  </si>
  <si>
    <t>เเก้มบุ๋ม ภาควิชา เคมี</t>
  </si>
  <si>
    <t>ธันวา ภาควิชา ระบบควบคุมและเครื่องมือวัด</t>
  </si>
  <si>
    <t>ซิล ภาควิชา เครื่องกล</t>
  </si>
  <si>
    <t>ปาย ภาควิชา คอมพิวเตอร์</t>
  </si>
  <si>
    <t>เพื่อนใบเฟิร์น เจอจากกิจกรรมปฐมนิเทศคณะวิศวะ ที่เป็นฐานลำเลียงลูกบอล เพื่อนนั่งอยู่ข้างหลังแล้วได้คุย เมคเฟรนกัน</t>
  </si>
  <si>
    <t>พี่กาฟิว ภาคเคมี , พี่ไอซ์ ภาคคอมพิวเตอร์ , พี่พิณ ภาคเครื่องกล</t>
  </si>
  <si>
    <t>พี่กาฟิวส์ รู้จักจากพี่มาเล่นใบ้คำด้วยกัน สนุกมาก</t>
  </si>
  <si>
    <t>เหมย ENE</t>
  </si>
  <si>
    <t>เล่อเทียน TME</t>
  </si>
  <si>
    <t>อิน CE inter</t>
  </si>
  <si>
    <t>นัท CE</t>
  </si>
  <si>
    <t>Japan SEM</t>
  </si>
  <si>
    <t>Japan คุยด้วยสนุกดี</t>
  </si>
  <si>
    <t>พี่เอพริล พี่ดาด้า พี่กระปุก</t>
  </si>
  <si>
    <t>พี่เอพริล พี่รหัสผม</t>
  </si>
  <si>
    <t>นัด โยธา</t>
  </si>
  <si>
    <t>เซล โยธา</t>
  </si>
  <si>
    <t>ชีพ แมคคา</t>
  </si>
  <si>
    <t>แน็ก โยธา</t>
  </si>
  <si>
    <t>จากการได้เล่นฟุตบอลด้วยกันตอนเย็น</t>
  </si>
  <si>
    <t>พี่ฟิล์ม โยธา ไลอ้อน โยธา จิน โยธา</t>
  </si>
  <si>
    <t>รู้จักจากถ่ายภาพนักศึกษา</t>
  </si>
  <si>
    <t>บัว วิศวกรรมคอมพิวเตอร์</t>
  </si>
  <si>
    <t>ดิว วิศวะกรรมโยธา</t>
  </si>
  <si>
    <t>นิว วิศวกรรมสิ่งแวดล้อม</t>
  </si>
  <si>
    <t>ข้าวฟ่าง วิศวกรรมคอมพิวเตอร์</t>
  </si>
  <si>
    <t>บัว จากถ่ายรูปรวมภาควิชา เพราะชวนคุยกันแล้วไปเดินเที่ยวรอกิจกรรมช่วงบ่าย</t>
  </si>
  <si>
    <t>1.พี่เปา ME จำคนอื่นไม่ได้แล้ว</t>
  </si>
  <si>
    <t>พี่เปาเป็นคนแรกที่เข้ามาหาตอนกิจกรรมนาฬิกา</t>
  </si>
  <si>
    <t>ณัฐ ENE</t>
  </si>
  <si>
    <t>Bonus ENE</t>
  </si>
  <si>
    <t>เพีลส์ ENE</t>
  </si>
  <si>
    <t>ณัฐ ENE ก็เป็นคนที่พูดเยอะดีแต่ก็เป็นการปรับทัศนคติหรือแลกเปลี่ยนความคิดที่ดีครับ</t>
  </si>
  <si>
    <t>พี่มอส ENE พี่กระปุก ENE พี่ปิง ENE</t>
  </si>
  <si>
    <t>พี่มอส พี่สายรหัส ขอบคุณที่ให้ตังค์ครับ</t>
  </si>
  <si>
    <t>อันเต (ภาควิชาวัสดุ)</t>
  </si>
  <si>
    <t>ปลื้ม (ภาควิชาวิศวกรรมศาสตร์ สาขาวัสดุ)</t>
  </si>
  <si>
    <t>หยก (ภาควิชาวิศวกรรมศาสตร์ สาขาวัสดุ)</t>
  </si>
  <si>
    <t>โฟกัส (ภาควิชาวิศวกรรมศาสตร์ สาขาคอมพิวเตอร์)</t>
  </si>
  <si>
    <t>ภูมิ (ภาควิชาวิศวกรรมศาสตร์ สาขาคอมพิวเตอร์)</t>
  </si>
  <si>
    <t>ตั๊บ (ภาควิชาวิศวกรรมศาสตร์ สาขาเครื่องกล)</t>
  </si>
  <si>
    <t>อันเต เจอตอนปฐมนิเทศ</t>
  </si>
  <si>
    <t>โอเว่น(การผลิต) ฟิว(วัสดุ) เฟิร์ส(วัสดุ)</t>
  </si>
  <si>
    <t>พี่โอเว่น กิจกรรมปฐมนิเทศวิศวะ</t>
  </si>
  <si>
    <t>ออย ภาควิชาวิศวกรรมระบบควบคุมเเละเครื่องมือวัด</t>
  </si>
  <si>
    <t>ปัง ภาควิชาวิศวกรรมระบบควบคุมเเละเครื่องมือวัด</t>
  </si>
  <si>
    <t>ตี๋ ภาควิชาวิศวกรรมระบบควบคุมเเละเครื่องมือวัด</t>
  </si>
  <si>
    <t>เฟิส ภาควิชาวิศวกรรมระบบควบคุมเเละเครื่องมือวัด</t>
  </si>
  <si>
    <t>รู้จักออยจากการคุยกันในไอจีเเละเจอกันตอนเรียน hand on</t>
  </si>
  <si>
    <t>อาร์ท น้ำหวาน หงส์ ภาควิชาวิศวกรรมระบบควบคุมเเละเครื่องมือวัด</t>
  </si>
  <si>
    <t>พี่เเจ๊กกี้ รู้จักเพราะ hand on</t>
  </si>
  <si>
    <t>ลัค โยธา</t>
  </si>
  <si>
    <t>ฟอส โยธา</t>
  </si>
  <si>
    <t>เซ้น โยธา</t>
  </si>
  <si>
    <t>นะโม โยธา</t>
  </si>
  <si>
    <t>จีน รู้จักจากกิจกรรมปฐมนิเทศวิศวะ</t>
  </si>
  <si>
    <t>พี่ตะวัน พี่เกม พี่สุข</t>
  </si>
  <si>
    <t>พี่ตะวัน รู้จักจากกิจกรรมปฐมนิเทศวิศวะบางมด</t>
  </si>
  <si>
    <t xml:space="preserve">โอม วิศวกรรมสิ่งแวดล้อม </t>
  </si>
  <si>
    <t>ใบบุญ วิศวกรรมสิ่งแวดล้อม</t>
  </si>
  <si>
    <t>โฟร์ค วิศวกรรมสิ่งแวดล้อม</t>
  </si>
  <si>
    <t>กอล์ฟ วิศวกรรมสิ่งแวดล้อม</t>
  </si>
  <si>
    <t>โอม รำคาญเพื่อนข้างหลังด้วยกัน</t>
  </si>
  <si>
    <t>พี่หวาน พี่เฟียส วิศวกรรมสิ่งแวดล้อม</t>
  </si>
  <si>
    <t>พี่เฟียส เป็นประธาน</t>
  </si>
  <si>
    <t>วัด จาก inc</t>
  </si>
  <si>
    <t>ออย จาก inc</t>
  </si>
  <si>
    <t>ปัง จาก inc</t>
  </si>
  <si>
    <t>Q จาก inc</t>
  </si>
  <si>
    <t>ปิ้น จาก inc</t>
  </si>
  <si>
    <t>วัด ตอนเข้าแถวก่อนไป ถ่ายรูป ได้ dap up</t>
  </si>
  <si>
    <t>พี่น้ำหวาน อยู่ดีๆ ก็โดน เสียนตำ ตอน ปล่อยไปพัก</t>
  </si>
  <si>
    <t>Sofie Chem en</t>
  </si>
  <si>
    <t>Pok chem en</t>
  </si>
  <si>
    <t>Pong chem en</t>
  </si>
  <si>
    <t>Pleum chem en</t>
  </si>
  <si>
    <t>Mai chem en</t>
  </si>
  <si>
    <t xml:space="preserve">Pok,we met each others on 26/7 activities, we ate lunch together </t>
  </si>
  <si>
    <t>Pong, same as pok</t>
  </si>
  <si>
    <t xml:space="preserve">Idk about this </t>
  </si>
  <si>
    <t>โฟ สิ่งแวดล้อม</t>
  </si>
  <si>
    <t>โฟค สิ่งแวดล้อม</t>
  </si>
  <si>
    <t>กอฟ สิ่งแวดล้อม</t>
  </si>
  <si>
    <t>โฟ รำคานเพื่อนข้างหลังที่พุดมาเหมือนกัน</t>
  </si>
  <si>
    <t xml:space="preserve">พี่เฟียส พี่หวาน </t>
  </si>
  <si>
    <t>พี่หวาน เพราะเดินรอเพื่อนด้วยกัน</t>
  </si>
  <si>
    <t>pai env</t>
  </si>
  <si>
    <t>que env</t>
  </si>
  <si>
    <t>new env</t>
  </si>
  <si>
    <t>tarn env</t>
  </si>
  <si>
    <t>jiajia env</t>
  </si>
  <si>
    <t xml:space="preserve">jiajia because she help me all of work and met before the activities even started </t>
  </si>
  <si>
    <t>I don’t even know one of 2year senior yet</t>
  </si>
  <si>
    <t>ปาย ENV</t>
  </si>
  <si>
    <t>ตาล ENV</t>
  </si>
  <si>
    <t>พิก ENV</t>
  </si>
  <si>
    <t>มาร์ค รู้จักมาร์คในกิจกรรมปฐมนิเทศ ได้เล่นเกมชาเย็นกัน</t>
  </si>
  <si>
    <t>ไม่รู้จักเลยครับ</t>
  </si>
  <si>
    <t>เสาร์ CE</t>
  </si>
  <si>
    <t>ซูกัส SME</t>
  </si>
  <si>
    <t>เสาร์ นั่งข้างกันเลยคุย</t>
  </si>
  <si>
    <t xml:space="preserve">มาร์ค พีช แพท  </t>
  </si>
  <si>
    <t>มาร์ค ฐานกิจกรรม</t>
  </si>
  <si>
    <t>มาร์ค env</t>
  </si>
  <si>
    <t>หนูแหวน env</t>
  </si>
  <si>
    <t>ตาล env</t>
  </si>
  <si>
    <t>พิก env</t>
  </si>
  <si>
    <t>มาร์ค env รู้จักจากคิว แล้วเล่นชาเย็นด้วยกันสนุกจัด</t>
  </si>
  <si>
    <t>Pai Inc</t>
  </si>
  <si>
    <t>Sea ce</t>
  </si>
  <si>
    <t>Nice Env</t>
  </si>
  <si>
    <t>Angal Env</t>
  </si>
  <si>
    <t>Eat  cereal with nice</t>
  </si>
  <si>
    <t>Play game with angal</t>
  </si>
  <si>
    <t>P'Peem Env  P'preaw Ie</t>
  </si>
  <si>
    <t>PP CPE</t>
  </si>
  <si>
    <t>Kay CE</t>
  </si>
  <si>
    <t>Peach EE</t>
  </si>
  <si>
    <t>Caesar MCE</t>
  </si>
  <si>
    <t>Nice ENV</t>
  </si>
  <si>
    <t>PP. I met him by chance through a mutual friend in the Beyond group.</t>
  </si>
  <si>
    <t>Keeta ENV. She’s an older acquaintance I already knew, and we met at a camp during an event.</t>
  </si>
  <si>
    <t>Keeta ENV
MorMor CHE
Tim ICT</t>
  </si>
  <si>
    <t xml:space="preserve"> I met many new friends today and many of them are in my department </t>
  </si>
  <si>
    <t>Alex AE</t>
  </si>
  <si>
    <t>ICQ AE</t>
  </si>
  <si>
    <t xml:space="preserve">PLUEM AE </t>
  </si>
  <si>
    <t xml:space="preserve">I chose alex because my first impression with him is he invited me to play basketball with him in afternoon break and im so sweet </t>
  </si>
  <si>
    <t>P Ainam because she is my senior when I study and Mattayom 5 and I met her and I greeted him.</t>
  </si>
  <si>
    <t>Plug He is handsome</t>
  </si>
  <si>
    <t>เก้า ไฟฟ้า</t>
  </si>
  <si>
    <t>บอส สิ่งแวดล้อม</t>
  </si>
  <si>
    <t>ไทม์ อุตสาหการ</t>
  </si>
  <si>
    <t>เกื้อ เคมี</t>
  </si>
  <si>
    <t>ฟลุ๊ค วัดคุม</t>
  </si>
  <si>
    <t>ดีดี โยธา</t>
  </si>
  <si>
    <t>รู้จัก เก้าจาก การเล่น บอล</t>
  </si>
  <si>
    <t>พี่นัท ภาควัดคุมจาก กิจกรรมเล่นลูกบอล</t>
  </si>
  <si>
    <t>รู้จักบอสได้จากการดึงกระดาษข้างหลัง</t>
  </si>
  <si>
    <t>คิว</t>
  </si>
  <si>
    <t>คิว TME</t>
  </si>
  <si>
    <t>เพชร TME</t>
  </si>
  <si>
    <t>เหนือ TME</t>
  </si>
  <si>
    <t>เหนือ ได้อยู่กลุ่มเดียวกันและเล่นแต่ละฐานด้วยกัน</t>
  </si>
  <si>
    <t>พี่เฟิร์ส พี่โอเว่น พี่ฟิวส์</t>
  </si>
  <si>
    <t>พี่เฟิร์สจากการแนะนำภาควิชา</t>
  </si>
  <si>
    <t>เซฟ วิศวกรรมคอมพิวเตอร์ ปกติ</t>
  </si>
  <si>
    <t>ตู๋ วิศวกรรมคอมพิวเตอร์ นานาชาติ</t>
  </si>
  <si>
    <t>บีม วิศวะกรรมโยธา ปกติ</t>
  </si>
  <si>
    <t>เติ้ล วิศวกรรมโยธา ปกติ</t>
  </si>
  <si>
    <t>เมฆ วิศวกรรมคอมพิวเตอร์ นานาชาติ</t>
  </si>
  <si>
    <t>เซฟ เพื่อนคนแรกในสาขาที่รู้จัก</t>
  </si>
  <si>
    <t>ปาย , นา , ฟลุค</t>
  </si>
  <si>
    <t>ปาย ช่วยทำแบบสอบถาม</t>
  </si>
  <si>
    <t xml:space="preserve">pp cpe </t>
  </si>
  <si>
    <t>kay ce</t>
  </si>
  <si>
    <t>pai inc</t>
  </si>
  <si>
    <t>jele env</t>
  </si>
  <si>
    <t>nana env</t>
  </si>
  <si>
    <t xml:space="preserve">pp do activities </t>
  </si>
  <si>
    <t xml:space="preserve">p’preaw she help me in activities </t>
  </si>
  <si>
    <t>p’preaw ie p’peem env</t>
  </si>
  <si>
    <t>ใบบุน env</t>
  </si>
  <si>
    <t>โอม env</t>
  </si>
  <si>
    <t>บุน env</t>
  </si>
  <si>
    <t>โฟ้คenv</t>
  </si>
  <si>
    <t>ฟ้าคenv</t>
  </si>
  <si>
    <t>สันธนาการ โคตรโหด</t>
  </si>
  <si>
    <t>พี่โอ้ต พี่เเอ๋ว พี่เเจ๋ว</t>
  </si>
  <si>
    <t>ชวนไปกินเหล้าโคตรโหด</t>
  </si>
  <si>
    <t>kungnang (EIE)</t>
  </si>
  <si>
    <t>Ye (EIE)</t>
  </si>
  <si>
    <t>Bua (EIE)</t>
  </si>
  <si>
    <t>Grace (EIE)</t>
  </si>
  <si>
    <t>Dell (EIE)</t>
  </si>
  <si>
    <t>Kungnang ( a good time with her..and she helps me everything that I don't know..)</t>
  </si>
  <si>
    <t>Bua ( talk about major and university)</t>
  </si>
  <si>
    <t>โชคดี ชัมน พี่ไอช์ (EIE)</t>
  </si>
  <si>
    <t>เตย ภาควิศวกรรมอิเล็กทรอนิกส์</t>
  </si>
  <si>
    <t>ไทร ภาควิศวกรรมอิเล็กทรอนิคส์</t>
  </si>
  <si>
    <t>ฟ้า ภาควิศกรรมอุตสาหกรรม</t>
  </si>
  <si>
    <t>โอม วิศวกรรมสิ่งแวดล้อม</t>
  </si>
  <si>
    <t>ไทม์ วิศวกรรมเคมี</t>
  </si>
  <si>
    <t>เตย รู้จักจากกิจกรรมfirst  meet เพื่อนเป็นคนที่น่ารักและดูแลดี คุยกันแล้วถูกคอ คุยสนุก</t>
  </si>
  <si>
    <t>1. พี่กาน ภาควิศวกรรมอิเล็กทรอนิคส์ 2.พี่ไอซ์ ภาควิศวกรรมอิเล็กทรอนิคส์3.พี่ซัน วิศวดรรมอิเล็กทรอนิคส์</t>
  </si>
  <si>
    <t xml:space="preserve">พี่ซัน รู้จักจากกิจกรรมfirst meet ene เป็นคนที่มีเอเนอจี้ดี สนุก </t>
  </si>
  <si>
    <t>วิน CE</t>
  </si>
  <si>
    <t>แน้ค CE</t>
  </si>
  <si>
    <t>เจอจากค่ายcivil camp ละรู้สึกคุยด้วยได้สนุกมากๆ</t>
  </si>
  <si>
    <t>พี่แชมป์ CE พี่มินา inc พี่เพลง ME</t>
  </si>
  <si>
    <t>พี่มินา inc เจอจากค่าย inc camp พี่เขานิสัยดีคอยช่วยเหลิอและสอนตลอด</t>
  </si>
  <si>
    <t>1.1 Din AE 1.2 Yacht AE 1.3 Pluem AE 1.4 Q AE 1.5 Non AE</t>
  </si>
  <si>
    <t xml:space="preserve">1.1 Din AE </t>
  </si>
  <si>
    <t>1.2 Yacht</t>
  </si>
  <si>
    <t xml:space="preserve">1.3 Pluem AE </t>
  </si>
  <si>
    <t>1.4 Q AE</t>
  </si>
  <si>
    <t>1.5 Non AE</t>
  </si>
  <si>
    <t>1.6 Shawn AE</t>
  </si>
  <si>
    <t>Din I met him at engineering hands on 101 I'm working together and watching football thailand national team same with me</t>
  </si>
  <si>
    <t>Wa ME , Yesterday I have activity about changing the time of dialy routine and she help me this activity.</t>
  </si>
  <si>
    <t>Gam AE
Tin AE
Kittiphat AE</t>
  </si>
  <si>
    <t>Good</t>
  </si>
  <si>
    <t>Pup AE</t>
  </si>
  <si>
    <t>Nut AE</t>
  </si>
  <si>
    <t>Joe AE</t>
  </si>
  <si>
    <t>Tol AE</t>
  </si>
  <si>
    <t>Toh AE</t>
  </si>
  <si>
    <t>Phun AE</t>
  </si>
  <si>
    <t>Nut, We eat kfc together</t>
  </si>
  <si>
    <t>P.Aoey P.Baiyok ,She help me a lot thing, suggest me about the department</t>
  </si>
  <si>
    <t>Good,P.Baiyok P.Aoey P.Prae AE They are kind and suggest me.</t>
  </si>
  <si>
    <t>เอิร์ธ ภาคเคมี</t>
  </si>
  <si>
    <t>เป ภาคเคมี</t>
  </si>
  <si>
    <t>มาย ภาคเคมี</t>
  </si>
  <si>
    <t>ซี ภาคเคมี</t>
  </si>
  <si>
    <t>โต้ ภาคเคมี</t>
  </si>
  <si>
    <t>ซี กิจกรรมเรือ เหตุการณ์ที่ประทับใจคือสนุกมากก</t>
  </si>
  <si>
    <t>พี่กาฟิว พี่แก้ม พี่หมี</t>
  </si>
  <si>
    <t>พี่กาฟิว กิจกรรมถ่ายรูปภาควิชา เอ็นจอย สนุกเป็นกันเอง บูธเอเนอจี้ไม่อ่อม</t>
  </si>
  <si>
    <t>ออม, ปลากระป๋อง, ต้าอู๋, ไทม์ และฟิล์ม &amp; ดัง</t>
  </si>
  <si>
    <t>ปลากระป๋อง ภาควิชาอุตสาหการ</t>
  </si>
  <si>
    <t>ออม ภาควิชาอุตสาหการ</t>
  </si>
  <si>
    <t>ต้าอู๋ ภาควิชาอุตสาหการ</t>
  </si>
  <si>
    <t>ดัง ภาควิชาอุตสาหการ</t>
  </si>
  <si>
    <t>ดัง ปลากระป๋อง คุยสนุก</t>
  </si>
  <si>
    <t>มะเมี่ยว CHEM, บิว MCE และ นาย ENE</t>
  </si>
  <si>
    <t>พี่นาย เริ่ดมาก</t>
  </si>
  <si>
    <t>เจเล่ วิศวกรรมสิ่งเเวดล้อม</t>
  </si>
  <si>
    <t>จีน วิศวกรรมโยธา</t>
  </si>
  <si>
    <t>ไอซ์ วิศวกรรมเครื่องกล</t>
  </si>
  <si>
    <t>ช้างต้น วิศวกรรมสิ่งเเวดล้อม</t>
  </si>
  <si>
    <t>จีน รู้จักจากฐานกิจกรรมยิงเรือ</t>
  </si>
  <si>
    <t xml:space="preserve">มีน เฟียร์ ภูมิ วิศวกรรมสิ่งเเวดล้อม  </t>
  </si>
  <si>
    <t>มีน เเตกขนมเเละพาขึ้นไปดูกิจกรรมปฐมนิเทศ</t>
  </si>
  <si>
    <t>Shin Computer Engineering</t>
  </si>
  <si>
    <t>Num Computer Engineering</t>
  </si>
  <si>
    <t>Tun Computer Engineering</t>
  </si>
  <si>
    <t>Pun Computer Engineers</t>
  </si>
  <si>
    <t>Phupa Computer Engineering</t>
  </si>
  <si>
    <t>Just sit next to each other while waiting for opening ceremony to start</t>
  </si>
  <si>
    <t>I'm hot and he give me a fan</t>
  </si>
  <si>
    <t xml:space="preserve">Fluk Ply Tanthai Computer Engineering </t>
  </si>
  <si>
    <t>อัฟซา ENV ภาค Eng</t>
  </si>
  <si>
    <t xml:space="preserve">ดาตา ENV </t>
  </si>
  <si>
    <t>มาร์ค ENV Eng</t>
  </si>
  <si>
    <t>คิว ENV</t>
  </si>
  <si>
    <t>ไดม่อน cv /เทสchm /นิว env /จอม env / เปาโล ee</t>
  </si>
  <si>
    <t>เปาโล จากกิจกรรมนาฬิกา ได้อยู่ amเหมือนกัน แล้วเจอกันอีกในฐาน้รืิแล้วนั่งข้างกัน แลกไอจีกันแลเวเจอฟอลร่วมเพื่อนเปาโล เลยคุยกันต่อว่าจรู้จักกันได้ไง เพื่อนก็น่ารักดี</t>
  </si>
  <si>
    <t>เฟียร์ env / ตี๋ env/ จ๊ะจ๋า cv</t>
  </si>
  <si>
    <t>ตี๋ env เจอกันในค่ายก่อนหน้าเมื่ิหลายปีก่อน แล้วพี่เค้ามาเรียนที่นี่ เราก็สนใจอล้วก็อยากเรียนเหมือนกัน พี่มาเป็นพิธีกรก็เก่งมาก ชื่นชมแล้วก็ประทับใจ</t>
  </si>
  <si>
    <t>เก็ท วิศวกรรมเคมี</t>
  </si>
  <si>
    <t>เอิ้ดส์ วิศวกรรมเคมี</t>
  </si>
  <si>
    <t>ไท้ วิศวกรรมเคมี</t>
  </si>
  <si>
    <t>แม็ค วิศวกรรมเคมี</t>
  </si>
  <si>
    <t>เก็ท รู้จักกันที่ค่ายของวิศวกรรมเคมี</t>
  </si>
  <si>
    <t>พี่ซี วิศวกรรมเคมี  พี่นโม วิศวกรรมเคมี  พี่น้ำหนึ่ง วิศวกรรมเคมี</t>
  </si>
  <si>
    <t>พี่ซี รู้จักผ่านกิจกรรมภายในภาควิชา</t>
  </si>
  <si>
    <t>ต้นข้าว ออม ปัน โฟกัส ราเชล</t>
  </si>
  <si>
    <t>เซมิคอนดักเตอร์</t>
  </si>
  <si>
    <t>ต้นข้าว จากกิจกรรมfirst meet เพื่อนเป็นคนศีลเสมอกันมากตลกโบ๊ะบ๊ะ</t>
  </si>
  <si>
    <t>พี่กาน จากภาคอิเล็กทรอนิก พี่ฟ้าจากวิทยาเคมี พี่ลัคกี้ภาคอิเล็กทรอนิก</t>
  </si>
  <si>
    <t>จากกิจกรรมfirst meet รุ่นพี่มารับตอนลงรถ</t>
  </si>
  <si>
    <t>Ball CPE INTER</t>
  </si>
  <si>
    <t>Nuea CHE</t>
  </si>
  <si>
    <t>Stang CPE</t>
  </si>
  <si>
    <t>Pay  CHE</t>
  </si>
  <si>
    <t>Ball We met because I asked to sit at the same table in the cafeteria. That simple moment led to us getting to know each other and becoming friends.</t>
  </si>
  <si>
    <t>I can’t remember sorry</t>
  </si>
  <si>
    <t>อาม</t>
  </si>
  <si>
    <t>อาม โยธา</t>
  </si>
  <si>
    <t>ปลื้ม โยธาอินเตอร์</t>
  </si>
  <si>
    <t>เพิ่ม โยธา</t>
  </si>
  <si>
    <t>เฟิน โยธา</t>
  </si>
  <si>
    <t>เจอกันตอนกินข้าว</t>
  </si>
  <si>
    <t>พี่แชม โยธา พี่เบส เครื่องมือวัสดุ พี่มีน ny</t>
  </si>
  <si>
    <t>กิจกรรม kmutt on tour</t>
  </si>
  <si>
    <t>Peak CPE Inter</t>
  </si>
  <si>
    <t>Pay CHE</t>
  </si>
  <si>
    <t xml:space="preserve">Plai CPE </t>
  </si>
  <si>
    <t>Peak, I met him at activity day on 25th of Saturday. I helped him find his true activity group because he lost it.</t>
  </si>
  <si>
    <t>I don’t remember any senior</t>
  </si>
  <si>
    <t>พอใจ CE</t>
  </si>
  <si>
    <t>ปิงปิง TME</t>
  </si>
  <si>
    <t>พอใจ รู้จักกันตอนเข้าฐาน</t>
  </si>
  <si>
    <t>พี่แพมBM พี่ปิง พี่กานต์ ene</t>
  </si>
  <si>
    <t>พี่แพมเจอกันตอนเข้าฐาน พี่แพมเข้ามาทักทายชวนคุย</t>
  </si>
  <si>
    <t>ปก CHE</t>
  </si>
  <si>
    <t>เฟิร์ส CHE</t>
  </si>
  <si>
    <t>เหว่ย CHE</t>
  </si>
  <si>
    <t>วาจา CHE</t>
  </si>
  <si>
    <t>เฟร์ส จอนกิจกรรมมี่พี่ๆจัด</t>
  </si>
  <si>
    <t>การ์ฟิล อิมเมจ เต</t>
  </si>
  <si>
    <t>การ์ฟิล ตอนถ่ายรูป</t>
  </si>
  <si>
    <t xml:space="preserve">Win civil engineer </t>
  </si>
  <si>
    <t xml:space="preserve">Mean civil engineer </t>
  </si>
  <si>
    <t xml:space="preserve">Dan civil engineer </t>
  </si>
  <si>
    <t xml:space="preserve">Nut civil engineer </t>
  </si>
  <si>
    <t xml:space="preserve">Disel civil engineer </t>
  </si>
  <si>
    <t>Mean he’s kind people,I talk a lot with him so now he’s my new lovely friends.</t>
  </si>
  <si>
    <t>Jin. I found her while i waited in the line.</t>
  </si>
  <si>
    <t>Jaja I found her while i waited in the line.</t>
  </si>
  <si>
    <t>หนูดี เคมี</t>
  </si>
  <si>
    <t>นุกนิก คอม</t>
  </si>
  <si>
    <t>อร คอม</t>
  </si>
  <si>
    <t>หญิง คอม จากกิจธรรมฐาน</t>
  </si>
  <si>
    <t>เฟีย สิ่งแวดล้อม จ๊ะจ๋า โยธา ตี๋ สิ่งแวดล้อม</t>
  </si>
  <si>
    <t>เฟีย สิ่งแวดล้อม พิธีกร</t>
  </si>
  <si>
    <t>เฟรม โยธา</t>
  </si>
  <si>
    <t>ปั้น โยธา</t>
  </si>
  <si>
    <t>โต๋ โยธา</t>
  </si>
  <si>
    <t>ฟิต โยธา</t>
  </si>
  <si>
    <t>เจอกันวันนี้สนุกมาก</t>
  </si>
  <si>
    <t>จำชื่อไม่ได้ครับ</t>
  </si>
  <si>
    <t>แต่ก้สนุกมากครับ</t>
  </si>
  <si>
    <t>อัฟซา env</t>
  </si>
  <si>
    <t>หนูแหวน เห็นตอนปฐมนิเทศครั้งแรด แต่ไม่/ด้คุยหรือเจอกันตรงๆ เพิ่งมารู้จักจากกิจกรรมรับน้อง เป็นคนที่เฟรนลี่แล้วก็ดูมีแพชชั่น</t>
  </si>
  <si>
    <t>ไม่มี หรือไม่ก็จำไม่ได้ค่ะ🥲</t>
  </si>
  <si>
    <t>จำไม่ได้ค่ะ แต่พี่ๆน่ารักทุกคนค่ะ</t>
  </si>
  <si>
    <t>fluke ice Namo toner shina</t>
  </si>
  <si>
    <t xml:space="preserve">Ice compuer engineering </t>
  </si>
  <si>
    <t>Namo Compuer engineering</t>
  </si>
  <si>
    <t>toner industrials engineering</t>
  </si>
  <si>
    <t>ShinA Civil engineering</t>
  </si>
  <si>
    <t xml:space="preserve">Indy mechanical engineering </t>
  </si>
  <si>
    <t xml:space="preserve">Toner, We ate lunch together </t>
  </si>
  <si>
    <t>P gear Pre freshy CPE hes very active</t>
  </si>
  <si>
    <t>Nam,fluke,Gun cpe</t>
  </si>
  <si>
    <t>Nemo CPE</t>
  </si>
  <si>
    <t>Safe CPE</t>
  </si>
  <si>
    <t>Mark ENV</t>
  </si>
  <si>
    <t>Nemo I met him in the first day of com camp 
and we have a same team and it was fun</t>
  </si>
  <si>
    <t xml:space="preserve">Game CPE I met him from CPE camp and he is funny and kind </t>
  </si>
  <si>
    <t>P’Pai CPE, P’Nam CPE, P’Fluke CPE</t>
  </si>
  <si>
    <t>มิน โยธาปก</t>
  </si>
  <si>
    <t>แดน โยธาปก</t>
  </si>
  <si>
    <t>นัท โยธาปก</t>
  </si>
  <si>
    <t>ดีเซล โยธาปก</t>
  </si>
  <si>
    <t>เจอจากกิจกรรมhandon ได้ลองทำงานร่วมกันครับเลยสนิทกัน</t>
  </si>
  <si>
    <t>พี่จิน พี่จ๊ะจ้า</t>
  </si>
  <si>
    <t>พี่จิน เคยเจอครับ</t>
  </si>
  <si>
    <t>เฟิร์ส Inc</t>
  </si>
  <si>
    <t>ภูมิ Inc</t>
  </si>
  <si>
    <t>เท็ด inc</t>
  </si>
  <si>
    <t>ปริ้น Inc</t>
  </si>
  <si>
    <t>นีโน่ Inc</t>
  </si>
  <si>
    <t>เฟิร์ส ชวนกันไปเตะบอล</t>
  </si>
  <si>
    <t>มิมี่ inc , พี่mee Inc , พี่hongwhaa Inc</t>
  </si>
  <si>
    <t>มิมี่ กิจกรรมปฐมนิเทศ</t>
  </si>
  <si>
    <t>1.1นนท์ เครื่องกล 1.2เนย เครื่องกล 1.3เต้ เครื่องกล 1.4ดิส เครื่องกล 1.5มั้ง เครื่องกล</t>
  </si>
  <si>
    <t>นนท์ จากวันสัมภาษณ์</t>
  </si>
  <si>
    <t>ปอนด์ โจนัท ลีโอ</t>
  </si>
  <si>
    <t>พี่ปอนด์ จากกิจกรรมปฐมนิเทศ รับน้อง</t>
  </si>
  <si>
    <t>อัลฟ่า ภาคอุสาหกรรม</t>
  </si>
  <si>
    <t>ปอน ภาคอุสาหกรรม</t>
  </si>
  <si>
    <t>มีน ภาคอุสาหกรรม</t>
  </si>
  <si>
    <t>หมูหยอง ภาคอุสาหกรรม</t>
  </si>
  <si>
    <t>ซีซ่า ภาคอุสาหกรรม</t>
  </si>
  <si>
    <t>หมูหยอง เจอจากปฐมนิเทศ</t>
  </si>
  <si>
    <t>พี่มะเหมี่ยว พี่ตี๋ พี่ลัคกี้</t>
  </si>
  <si>
    <t>พี่ตี๋ เจอจากปฐมนิเทศ</t>
  </si>
  <si>
    <t>ชารีบ mce</t>
  </si>
  <si>
    <t>กิตisee</t>
  </si>
  <si>
    <t>บอส isee</t>
  </si>
  <si>
    <t>ไทม์ isee</t>
  </si>
  <si>
    <t>นาย isee</t>
  </si>
  <si>
    <t>ออโต้ รู้จักตอนไปวิ่ง</t>
  </si>
  <si>
    <t>พี่ปิงปอง PE พี่สปาย ME พี่มะเหมี่ยว PE</t>
  </si>
  <si>
    <t>พี่มะเหมี่ยว จากการปฐมนิเทศ</t>
  </si>
  <si>
    <t>ตอตตอน ame</t>
  </si>
  <si>
    <t xml:space="preserve">บีม ame </t>
  </si>
  <si>
    <t>กัปตัน ame</t>
  </si>
  <si>
    <t>คอส me</t>
  </si>
  <si>
    <t>ซี ame</t>
  </si>
  <si>
    <t>คอตตอน ไปเตะบอลกันจ้าาา</t>
  </si>
  <si>
    <t>พี่อาย พี่ภูมิ  พี่แบด</t>
  </si>
  <si>
    <t>อาย เป้นmcงานวันเสา</t>
  </si>
  <si>
    <t>They have a good personality and good communicate to everyone</t>
  </si>
  <si>
    <t>Nettar mechanical engineering</t>
  </si>
  <si>
    <t>Toner Automation engineering</t>
  </si>
  <si>
    <t>Nop mechanical engineering</t>
  </si>
  <si>
    <t>Noof Automation engineering</t>
  </si>
  <si>
    <t>Boss Automation engineering</t>
  </si>
  <si>
    <t>Toner i met him at first activity</t>
  </si>
  <si>
    <t>Tinn he clarified the detail of event</t>
  </si>
  <si>
    <t>Champ Tinn Kham</t>
  </si>
  <si>
    <t>Late submission of assignments</t>
  </si>
  <si>
    <t>วี ภาคคอมพิวเตอร์</t>
  </si>
  <si>
    <t>ภูผา ภาคคอมพิวเตอร์</t>
  </si>
  <si>
    <t>มุก ภาคคอมพิวเตอร์</t>
  </si>
  <si>
    <t>โบวล ภาคอิเล็กทรอนิกส์</t>
  </si>
  <si>
    <t>เอแคล ภาคคอมพิวเตอร์</t>
  </si>
  <si>
    <t>ภูผา รู้จักกิจกรรมฐานปาบอล ภูผาวิ่งเก่งมาก แรงเยอะปาบอลโคตรไกล โดนหัวทุกคน</t>
  </si>
  <si>
    <t xml:space="preserve">พี่กานต์ ภาคอิเล็กทรอนิกส์ พี่เบ้น ภาคอิเล็กทรอนิกส์ พี่แพม ภาคอิเล็กทรอนิกส์ </t>
  </si>
  <si>
    <t>พี่กานต์ รู้จักตั้วแต่รับน้องene นิสัยดี คุยเก่ง พูดมาก อยู่ด้วยสบายใจ พึ่งพาได้ ดูแลน้องดี</t>
  </si>
  <si>
    <t>ฟีฟ่า CPE</t>
  </si>
  <si>
    <t>ปลาย CPE</t>
  </si>
  <si>
    <t>พี CPE</t>
  </si>
  <si>
    <t>โอม CPE</t>
  </si>
  <si>
    <t>ปลาย CPE รู้จักเพื่อนผ่านการนั่งคุยกันก่อนเริ่มกิจกรรมในห้อง Slope</t>
  </si>
  <si>
    <t>พี่ปาย CPE พี่ฟลุ๊ค CPE พี่กันต์ CPE</t>
  </si>
  <si>
    <t>พี่ปาย CPE รู้จักพี่ผ่านการที่พี่ดูแลน้องๆระหว่างกิจกรรมปฐมนิเทศ</t>
  </si>
  <si>
    <t>Peem ENE</t>
  </si>
  <si>
    <t>Aom EIE</t>
  </si>
  <si>
    <t>Gi ENE</t>
  </si>
  <si>
    <t>Peem Night-party</t>
  </si>
  <si>
    <t>Haven’t asked the name</t>
  </si>
  <si>
    <t>ค่ะ</t>
  </si>
  <si>
    <t>Mon AME</t>
  </si>
  <si>
    <t>Nisa EE</t>
  </si>
  <si>
    <t>Ball EE</t>
  </si>
  <si>
    <t>Nawa EE</t>
  </si>
  <si>
    <t>Ammy EE</t>
  </si>
  <si>
    <t>จากการอยู่บ้านเดียวกัน ของแต่ละฐานค่า ประทับใจที่เพื่อนเรนนลี่นิสัยดี น่ารักมากเลยค่าา</t>
  </si>
  <si>
    <t>1. P’กานต์ ENE 2. Pกานต์ENE 3. P”Sun ENE</t>
  </si>
  <si>
    <t>ประทับใจที่เขานิสัยดีเป็นกันเองมากๆเลยค่ะ</t>
  </si>
  <si>
    <t>พอใจ วิศวกรรมเครื่องกล</t>
  </si>
  <si>
    <t>ตั๊บ วิศวกรรมเครื่องกล</t>
  </si>
  <si>
    <t>กีวี่ วิศวกรรมยานยนต์</t>
  </si>
  <si>
    <t>นินิว วิศวกรรมเครื่องกล</t>
  </si>
  <si>
    <t>น้ำ วิศวกรรมอุตสาหการ</t>
  </si>
  <si>
    <t>น้ำ เจอจากกิจกรรมดึงแผ่นกระดาษ ความประทับใจคือได้พูดคุยแลกเปลี่ยนกันอย่างเป็นกันเอง และทำให้พบว่าเป็ยคนจังหวัดเดียวกัน</t>
  </si>
  <si>
    <t>พี่เปา พี่บอส พี่อาย พี่ปอนด์ วิศวกรรมเครื่องกล/ยานยนต์</t>
  </si>
  <si>
    <t>พี่เปา จากกิจกรรมรอเข้าปฐมนิเทศ พี่มีเสียงที่เสียงดังฟังชัด</t>
  </si>
  <si>
    <t>ฟ้าใส ภาควิชาวิศวกรรมโยธา</t>
  </si>
  <si>
    <t>ยีน ภาควิชาวิศวกรรมเครื่องกล</t>
  </si>
  <si>
    <t>บีม ภาควิชาวิศวกรรมอิเล็กทรอนิกส์และโทรคมนาคม</t>
  </si>
  <si>
    <t>ภู ภาควิชาวิศวกรรมเครื่องกล</t>
  </si>
  <si>
    <t>มุก ภาควิชาวิศวกรรมคอมพิวเตอร์</t>
  </si>
  <si>
    <t>เอ็ม ภาควิชาอิเล็กทรอนิกส์และโทรคมนาคม</t>
  </si>
  <si>
    <t>ฟ้าใส ได้รู้จักเพื่อนตอนที่กำลังยืนตอนแถวที่โรงอาหาร เพื่อนเข้ามาทักทาย และชวนพูดคุยด้วย</t>
  </si>
  <si>
    <t>พี่ซัน พี่ปัน พี่เฟิร์ส</t>
  </si>
  <si>
    <t>พี่ซัน ผมเรียกพี่เขามาเพื่อถามชื่อเขาและชื่อเพื่อนของพี่เขาอีก2คน เพื่อนำมาตอบแบบฟอร์มนี้</t>
  </si>
  <si>
    <t>cgram-cpe</t>
  </si>
  <si>
    <t>Jaja-cpe</t>
  </si>
  <si>
    <t>Fifa-cpe</t>
  </si>
  <si>
    <t>Ai-cpe</t>
  </si>
  <si>
    <t>Pluem-cpe</t>
  </si>
  <si>
    <t>Pluem: at the first day at engineering’s orientation day, we did a lot of activities together.</t>
  </si>
  <si>
    <t xml:space="preserve">P’กองกอย: we met at the base activity, he helped our group in the activity </t>
  </si>
  <si>
    <t>-P’Nam-cpe
-P’Kong-cpe
-P’tanti-cpe</t>
  </si>
  <si>
    <t xml:space="preserve">1.1 มิ่ง 1.2 ฝ้าย 1.3 แจน 1.4 เคน  1.5 อุ้ม </t>
  </si>
  <si>
    <t>ภาควิชาวิศวกรรมสิ่งแวดล้อม</t>
  </si>
  <si>
    <t>ภาควิศวกรรมโยธา</t>
  </si>
  <si>
    <t>ฝ้าย ได้รู้จักเพราะได้ปฐมนิเทศ มีโอกาสได้เจอตอนเล่นเกมละก็ได้คุยกันยาวๆเลย</t>
  </si>
  <si>
    <t>พี่แสตม พี่ใบพู พี่น้ำหนุน</t>
  </si>
  <si>
    <t>พี่แสตม ใจดีเป็นกัน้องพผุดเก่ง คิยช่วยเหลือ</t>
  </si>
  <si>
    <t>ยูฟ่า ภาคอุตสาหการ</t>
  </si>
  <si>
    <t>โฟค ภาคเครื่องกล</t>
  </si>
  <si>
    <t>บิว ภาควัสดุ</t>
  </si>
  <si>
    <t>ข้าวโอ๊ต ภาคโยธา</t>
  </si>
  <si>
    <t>เเอ้ม ภาคสิ่ง้้วดล้อม</t>
  </si>
  <si>
    <t>โฟครู้จักจากเรียนเเฮนออนเพื่อนช่วยงาน</t>
  </si>
  <si>
    <t>ตี๋ Env จ๋า โยธา</t>
  </si>
  <si>
    <t xml:space="preserve">ตี๋ env เป้นmc </t>
  </si>
  <si>
    <t>โม คอม</t>
  </si>
  <si>
    <t>ต้นน้ำ คอม</t>
  </si>
  <si>
    <t>เฟื่อง สิ่งแวดล้อม</t>
  </si>
  <si>
    <t>เม คอม</t>
  </si>
  <si>
    <t>มุกหอม คอม</t>
  </si>
  <si>
    <t>เม เล่นดอร์ดบอลด้วยกัน</t>
  </si>
  <si>
    <t>พี่มะเหมี่ยวเสียงพูดเพราะมาก</t>
  </si>
  <si>
    <t>พี่ไอซ์ คอม พี่ก้อง คอม พี่ปาย คอม</t>
  </si>
  <si>
    <t>โอ้ต โยธา</t>
  </si>
  <si>
    <t xml:space="preserve">อุ้ม โยธา </t>
  </si>
  <si>
    <t>โอ้ต เคยรู้จักกันมาก่อนแต่ไม่เคยคุยกัน แล้วได้มารู้จักกันที่นี่แล้วพากันไปหาเพื่อนใหม่ ระหว่างทำกิจกรรมหลายวันมานี้</t>
  </si>
  <si>
    <t>พี่ไลออน พี่ดรีม พี่บีม โยธา</t>
  </si>
  <si>
    <t>คุยระหว่างทำกิจกรรม</t>
  </si>
  <si>
    <t>บอส inc</t>
  </si>
  <si>
    <t xml:space="preserve">ฟาง inc </t>
  </si>
  <si>
    <t>Captain ce</t>
  </si>
  <si>
    <t>ไอเฟล ene</t>
  </si>
  <si>
    <t>ฟางข้าว inc</t>
  </si>
  <si>
    <t>Captain เพื่อนเก่ากินกาแฟ</t>
  </si>
  <si>
    <t>ฟางข้าว เพื่อนคนแรกที่เจอ</t>
  </si>
  <si>
    <t>Hero จากค่าย tue</t>
  </si>
  <si>
    <t xml:space="preserve">ต้นกล้า AE </t>
  </si>
  <si>
    <t>แองจี้ env</t>
  </si>
  <si>
    <t xml:space="preserve">เติ้ล inc </t>
  </si>
  <si>
    <t>บีเอม end</t>
  </si>
  <si>
    <t>ฟาง inc</t>
  </si>
  <si>
    <t xml:space="preserve">ชื่อต้นกล้า AE เจอกันที่ค่ายติวเวลคัมครั้งที่ 20 เขาดูอะไรที่คล้ายเราถึงจะคนละแนวก็เถอะ เวลาถามอะไรเขาตอบได้ฉะฉานมาก </t>
  </si>
  <si>
    <t>1. มาร์ค คณะอุตสาหการ ( ไม่ก็เมคคาแหละ ) 2. พี่มิ้งมอยจากวิศวะเคมี 3.(</t>
  </si>
  <si>
    <t>รุ่นพี่มิ้งมอย จากวิศวะเคมี เจอจากค่ายติวเวลคัมครั้งที่ 20 เขาเอ่อดีดมากเลย แต่อยู่ด้วยแล้วสนุก✨✨</t>
  </si>
  <si>
    <t>นิว ene</t>
  </si>
  <si>
    <t>ภีม pe</t>
  </si>
  <si>
    <t>เพอส</t>
  </si>
  <si>
    <t>นิว รู้จักจากกิจกรรมสอบวัดระดับ</t>
  </si>
  <si>
    <t>พี่แพม รู้จักจากกิจกรรมene first meeting และเป็นพี่รหัสสุดสวยของผมคั๊บ</t>
  </si>
  <si>
    <t>พี่เบนส์ รู้จักจากกิจกรรมene first meeting และเป็นคนสอนพวกผมคั๊บ</t>
  </si>
  <si>
    <t>จิน ce ขี่รถเป็น</t>
  </si>
  <si>
    <t>พั้นซ์ ce คุยสนุก เป็นกันเอง</t>
  </si>
  <si>
    <t>มิ่ง ENV คุยสนุก เฟรนลี่</t>
  </si>
  <si>
    <t>อุ้ม ce เป็นกันเอง คุยสนุก</t>
  </si>
  <si>
    <t xml:space="preserve">นาโน ce ชวนคุยเก่ง </t>
  </si>
  <si>
    <t>พั้นซ์ เจอในแถวตอนปฐมนิเทศ เป็นกันเองดี ไม่เกร็ง</t>
  </si>
  <si>
    <t>พี่แอมวิศวไฟฟ้า</t>
  </si>
  <si>
    <t>เป็นกันเอง ช่วยเหลือตอนเข้าฐาน</t>
  </si>
  <si>
    <t>Tran AE</t>
  </si>
  <si>
    <t>Beejill  AE</t>
  </si>
  <si>
    <t>Pat AE</t>
  </si>
  <si>
    <t>nun AE</t>
  </si>
  <si>
    <t>She is a good, lovely and kind person.</t>
  </si>
  <si>
    <t>She is kind and kind to help.</t>
  </si>
  <si>
    <t>Hongwha,O,namwan inc</t>
  </si>
  <si>
    <t>มีนา ภาคอุต</t>
  </si>
  <si>
    <t>มิ้งค์ ภาคอุต</t>
  </si>
  <si>
    <t>ไหม ภาคเคมี</t>
  </si>
  <si>
    <t>โซเฟีย ภาคเคมี</t>
  </si>
  <si>
    <t>มีนา นั่งข้างกัน แล้วเพื่อนฝากโทรศัพท์ไว้ ทั้งๆที่ยังไม่รู้กัน</t>
  </si>
  <si>
    <t>พี่ปิ่น พี่เหมี่ยว พี่ขนุน (จำภาคไม่ได้)</t>
  </si>
  <si>
    <t>พี่กร เล่นกิจกรรมนาฬิกา พี่เจ็บมือแต่ก็ยังเขียนให้</t>
  </si>
  <si>
    <t>เมย์ ภาคสิ่งแวดล้อม</t>
  </si>
  <si>
    <t>ฟ้า ภาคสิ่งแวดล้อม</t>
  </si>
  <si>
    <t>สายรุ้ง ภาคสิ่งแวดล้อม</t>
  </si>
  <si>
    <t>อีฟ ภาคสิ่งแวดล้อม</t>
  </si>
  <si>
    <t>จีน่า ภาคสิ่งแวดล้อม</t>
  </si>
  <si>
    <t>เมย์ประทับใจมากๆๆเจอกันหน้าลิฟต์แล้วถามก้ได้รุ้ว่าอยุ่สิ่งแวดล้อมเหมือนกันแฮปปี้มากๆๆๆ</t>
  </si>
  <si>
    <t>1.จ๊ะจ๋า ce 2. คีตา env 3. ภูมิ env</t>
  </si>
  <si>
    <t>พี่จ๊ะจ๋า ตอนนั้นแบตจะหมดพี่เขาเอาพาวเวอแบงของพี่เขามาให้ค่ะ แต่พี่เขาก็กำลังใช้อยู่ด้วย</t>
  </si>
  <si>
    <t>จีน่า env</t>
  </si>
  <si>
    <t>ปลาทูenv</t>
  </si>
  <si>
    <t>รุ้งenv</t>
  </si>
  <si>
    <t>เบลenv</t>
  </si>
  <si>
    <t>ปิงenv</t>
  </si>
  <si>
    <t>อิ้ฟenv</t>
  </si>
  <si>
    <t>จีน่ารู้จักจากกิจกรรมhands on</t>
  </si>
  <si>
    <t>พี่จ๊ะจ๋าce  พี่ลูกแก้วche พี่ภูมิ env</t>
  </si>
  <si>
    <t>พี่จ๊ะจ๋าce  ให้ยืมพาวเวอร์แบงค์ในงานปฐมนิเทศวิศวะ</t>
  </si>
  <si>
    <t>Aom</t>
  </si>
  <si>
    <t>City EIE</t>
  </si>
  <si>
    <t>OHM EIE</t>
  </si>
  <si>
    <t>Batman EIE</t>
  </si>
  <si>
    <t>City ene first meet</t>
  </si>
  <si>
    <t>P'mook ene first meet</t>
  </si>
  <si>
    <t>P'mook P'ice P'Phai</t>
  </si>
  <si>
    <t>เปา เครื่องกล</t>
  </si>
  <si>
    <t>ก้อง เครื่องกล</t>
  </si>
  <si>
    <t>ลีโอ เคคื่องกล</t>
  </si>
  <si>
    <t>โต้ เครื่องกล</t>
  </si>
  <si>
    <t>เปา ปฐมนิเทศที่มหาลัย</t>
  </si>
  <si>
    <t xml:space="preserve">ต้า ตี้ โต้     </t>
  </si>
  <si>
    <t xml:space="preserve">ต้า ถ่ายรุป     </t>
  </si>
  <si>
    <t>Tle INC</t>
  </si>
  <si>
    <t>Jib INC</t>
  </si>
  <si>
    <t>Sit close together, then talk to each other</t>
  </si>
  <si>
    <t>Ask to sit together</t>
  </si>
  <si>
    <t>Yok INC
Aoey INC
Tonhom</t>
  </si>
  <si>
    <t xml:space="preserve">Iq civil engineer </t>
  </si>
  <si>
    <t xml:space="preserve">Jet civil engineer </t>
  </si>
  <si>
    <t xml:space="preserve">Prince civil engineer </t>
  </si>
  <si>
    <t xml:space="preserve">Plum civil engineer </t>
  </si>
  <si>
    <t xml:space="preserve">Chompoo civil engineer </t>
  </si>
  <si>
    <t xml:space="preserve">C civil engineer </t>
  </si>
  <si>
    <t>Iq fight with bus driver</t>
  </si>
  <si>
    <t>Frenn in 12clock game</t>
  </si>
  <si>
    <t>แจกขนม Jaja หมี ohm</t>
  </si>
  <si>
    <t>Ok!</t>
  </si>
  <si>
    <t>แตงกวา env</t>
  </si>
  <si>
    <t>เฝื่อง env</t>
  </si>
  <si>
    <t>พาพลอย env</t>
  </si>
  <si>
    <t>เมฆ ME</t>
  </si>
  <si>
    <t>หนูแหวน เจอกันในห้องน้ำหญิง</t>
  </si>
  <si>
    <t>จ๊ะจ๊า Civil engineering เดินมาแจกขนม</t>
  </si>
  <si>
    <t>พี่จ๊ะจ๊า Civil engineering 
พี่ตี๋ ENV
พี่เฟียร์ ENV</t>
  </si>
  <si>
    <t>ฟ้า ปิง มุก พลอย ปีใหม่</t>
  </si>
  <si>
    <t>ฟ้า วิศวกรรมสิ่งแวดล้อมล้อม</t>
  </si>
  <si>
    <t>ปิง วิศวกรรมสิ่งแวดล้อม</t>
  </si>
  <si>
    <t>มุก วิศวกรรมสิ่งแวดล้อม</t>
  </si>
  <si>
    <t>พิม วิศวกรรมโยธา พอใจ วิศวกรรมเครื่องกล</t>
  </si>
  <si>
    <t>ฟ้า จากกิจกรรมปฐมนิเทศ กินข้าวที่ KFC แล้วเจอกัน เฟรนลี่มากเลยได้รู้จักกันเพราะชีบอกว่ายิ้มน่ารัก</t>
  </si>
  <si>
    <t>พี่จ๊ะจ๋า โยธา , พี่ตี๋ สิ่งแวดล้อม , พี่สปาย อุตสาหการ</t>
  </si>
  <si>
    <t>พี่จ๊ะจ๋า โยธา รู้จักจากกิจกรรมปฐมนิเทศวิศวะ พาไปเข้าห้องนํ้าน่ารักกกกก</t>
  </si>
  <si>
    <t xml:space="preserve">Win itce </t>
  </si>
  <si>
    <t xml:space="preserve">Poo ce </t>
  </si>
  <si>
    <t>Maprod ce</t>
  </si>
  <si>
    <t xml:space="preserve">Arm ce </t>
  </si>
  <si>
    <t>Actity 1 Play game</t>
  </si>
  <si>
    <t>Activity 1 play a minigame</t>
  </si>
  <si>
    <t>Mameow mc 
Beam ny
Mooham itce</t>
  </si>
  <si>
    <t>พั้น วิศวกรรมโยธา</t>
  </si>
  <si>
    <t>ฝ้าย วิศวกรรมโยธา</t>
  </si>
  <si>
    <t>อีฟ วิศวกรรมสิ่งแวดล้อม</t>
  </si>
  <si>
    <t>ซี วิศวกรรมโยธา</t>
  </si>
  <si>
    <t>ใบตอง วิศวกรรมสิ่งแวดล้อม</t>
  </si>
  <si>
    <t>พั้น นั่งฟังการบรรยายแล้วทักกัน และคุยถูกคอ</t>
  </si>
  <si>
    <t>พี่แบม พี่น้ำหวาน วิศวกรรมสิ่งแวดล้อม</t>
  </si>
  <si>
    <t>พี่น้ำหวาน ถ่ายรูปรวมสาขาและได้รู้จักเพราะเข้าไปคุยด้วย</t>
  </si>
  <si>
    <t>เมศ ame</t>
  </si>
  <si>
    <t xml:space="preserve">แอลม่อน me </t>
  </si>
  <si>
    <t xml:space="preserve">มอนเต้ame </t>
  </si>
  <si>
    <t xml:space="preserve"> เตเต้PE</t>
  </si>
  <si>
    <t>แฮมame</t>
  </si>
  <si>
    <t>เตเต้ เขาเลี้ยงไอติม</t>
  </si>
  <si>
    <t>แอคชั่นame เก้าame ปิ่นme</t>
  </si>
  <si>
    <t>พี่เก้า เต้นมันสุดละคนนี้</t>
  </si>
  <si>
    <t>ฝ้าย ce คุยเก่งน่ารักคุคิ</t>
  </si>
  <si>
    <t>จิน ce เฟรนลี่น่ารัก</t>
  </si>
  <si>
    <t>ลูกน้ำ ce คุยเก่งสุดยอด</t>
  </si>
  <si>
    <t>โอ๊ต ce พูดเก่งมากๆ</t>
  </si>
  <si>
    <t>พลอย ce คุยเก่งเฟรนลี่</t>
  </si>
  <si>
    <t>ปอ ce คุยเก่งมากๆ</t>
  </si>
  <si>
    <t>ลูกน้ำ เพื่อนชวนฉันไปกินข้าวตลอดเลย</t>
  </si>
  <si>
    <t xml:space="preserve">พี่ไข่มุก ce พี่เเชมป์ ce พี่เพชร ce </t>
  </si>
  <si>
    <t>พี่ไข่มุกคอยช่วยเรื่องมหาลัยมาตลอดด</t>
  </si>
  <si>
    <t>Win ITCE</t>
  </si>
  <si>
    <t>Captain CE</t>
  </si>
  <si>
    <t>Pu CE</t>
  </si>
  <si>
    <t>Maprod CE</t>
  </si>
  <si>
    <t>Arm CE</t>
  </si>
  <si>
    <t>Activity 1Play game</t>
  </si>
  <si>
    <t>Mameow env
Mooham ITCE
Mean NY</t>
  </si>
  <si>
    <t>อาซีENV</t>
  </si>
  <si>
    <t>รองหลุยส์INC</t>
  </si>
  <si>
    <t>ยีนINC</t>
  </si>
  <si>
    <t>โอมENV</t>
  </si>
  <si>
    <t>รองหลุยส์ เจอกันตอนทำกิจกรรมนาฬิกา</t>
  </si>
  <si>
    <t>พี่ตี๋ENV พี่นิวENV พี่คีตาCE</t>
  </si>
  <si>
    <t>พี่คีตา ฐานเรือระเบิดพี่energy เหลือล้นมาก</t>
  </si>
  <si>
    <t>ลูกน้ำ โยธา</t>
  </si>
  <si>
    <t>ข้าวโอ๊ต โยธา</t>
  </si>
  <si>
    <t>ครีม วิดวะเคมี</t>
  </si>
  <si>
    <t>แพนเค้ก วิดวะเคมี</t>
  </si>
  <si>
    <t>เนส วิดวะเคมี</t>
  </si>
  <si>
    <t>เพื่อนคนที่ชื่อครีม คุยกันสนุก เล่าหรือถามถึงรร.ที่มากับจังหวัด และกินข้าวกลางวันด้วยกัน</t>
  </si>
  <si>
    <t>พี่เพชร โยธา พี่ไข่มุก โยธา พี่ลูกพลัม โยธา</t>
  </si>
  <si>
    <t>พี่เพชรโยธา ให้ไม่ปิงปองมาเนื่องจากไม้ของดิฉันพัง</t>
  </si>
  <si>
    <t>บีม โยธา,เฟิร์น โยธา,นะโม โยธา,ไอซ์ เคมี,ปลื้ม เคมี</t>
  </si>
  <si>
    <t>เฟิร์น โยธา</t>
  </si>
  <si>
    <t>บีม ถ่ายรูปตอนเช้าเจอกันเลยคุยด้วยคับ</t>
  </si>
  <si>
    <t>พี่ดิษ พี่บิงโก พี่แสตม</t>
  </si>
  <si>
    <t>พี่บิงโก นิสัยดีเอาใจใส่น้องครับ</t>
  </si>
  <si>
    <t>Shawn, Plume, Kawfang, fifa, Alex</t>
  </si>
  <si>
    <t>Shawn INC</t>
  </si>
  <si>
    <t>Plume INC</t>
  </si>
  <si>
    <t>Kawfang INC</t>
  </si>
  <si>
    <t>Alex INC</t>
  </si>
  <si>
    <t>Fifa INC</t>
  </si>
  <si>
    <t>Kawfang, I met her on the orientation event yesterday. She's extremely extroverted</t>
  </si>
  <si>
    <t>None of them were 2nd year</t>
  </si>
  <si>
    <t>Mimi INC, Hong INC, Namwan INC</t>
  </si>
  <si>
    <t>Education service staff</t>
  </si>
  <si>
    <t>แต้ง Env</t>
  </si>
  <si>
    <t>RC Env</t>
  </si>
  <si>
    <t>โอม Env</t>
  </si>
  <si>
    <t>คิว Env</t>
  </si>
  <si>
    <t>ข้าวหอม Env</t>
  </si>
  <si>
    <t>แต้ง เจอกันตอนปฐมนิเทศ</t>
  </si>
  <si>
    <t>ตี๋ Env นิว Env คีตา Env</t>
  </si>
  <si>
    <t>คีตา ฐานเรือระเบิด</t>
  </si>
  <si>
    <t>Poly ae</t>
  </si>
  <si>
    <t>Non ae</t>
  </si>
  <si>
    <t>Pat ae</t>
  </si>
  <si>
    <t>Tan ar</t>
  </si>
  <si>
    <t>Pai ae</t>
  </si>
  <si>
    <t xml:space="preserve">Poly to communicate with other friends </t>
  </si>
  <si>
    <t xml:space="preserve">P’smo take a photo in departmenttogether </t>
  </si>
  <si>
    <t xml:space="preserve">Hong art numwan </t>
  </si>
  <si>
    <t>ทิพ ME</t>
  </si>
  <si>
    <t>แอ้ม ENV</t>
  </si>
  <si>
    <t>ฟ้า ENV รู้จักกันเพราะเพื่อนในกลุ่มพูดไปเรื่อยแบบไปเรื่อยสุด เป็นกันเองมาก น่ารักสุดๆ</t>
  </si>
  <si>
    <t>พี่จ๊ะจ๋า โยธา ,พี่ตี๋ ENV ,พี่สปาย อุต</t>
  </si>
  <si>
    <t>พี่จ๊ะจ๋า พี่เขาพาไปเข้าห้องน้ำ</t>
  </si>
  <si>
    <t>Deejing (CPE)</t>
  </si>
  <si>
    <t>Ai (CPE)</t>
  </si>
  <si>
    <t>BJ (CPE)</t>
  </si>
  <si>
    <t>Namo (CPE)</t>
  </si>
  <si>
    <t>Daniel (CPE)</t>
  </si>
  <si>
    <t>Deejing eating food together.</t>
  </si>
  <si>
    <t>P.Fluke orientation days. (CPE)</t>
  </si>
  <si>
    <t>P.Nam, P.Gun and P.Ply</t>
  </si>
  <si>
    <t>Dew env</t>
  </si>
  <si>
    <t>ปลื้ม env</t>
  </si>
  <si>
    <t>ชมพู่</t>
  </si>
  <si>
    <t>ฟ้าใส</t>
  </si>
  <si>
    <t>จิ can't remember department</t>
  </si>
  <si>
    <t>จิ ฟ้าใส ชมพู่ are the first group of people I befriend with so they are memorable to me</t>
  </si>
  <si>
    <t>I can't remember anyone form 2nd-year</t>
  </si>
  <si>
    <t>ทิ้บ ENV</t>
  </si>
  <si>
    <t>พลอย ENV</t>
  </si>
  <si>
    <t>ทิ้บ env เจอกันตอนมางานปฐมนิเทศรวม ละตอนแรกมันใสๆมากแอ้บๆๆมากกก มาสนิทกันตอนงานสโมวิดวะ</t>
  </si>
  <si>
    <t>พี่จ๊ะจ๋า โยธา , พี่ตี๋ สิ่งแวดล้อม , พี่สปาย อุต</t>
  </si>
  <si>
    <t>พี่จ๊ะจ๋าโยธาแจกขนมฟินๆ</t>
  </si>
  <si>
    <t>ภูมิ pe</t>
  </si>
  <si>
    <t>ภูมิ ce</t>
  </si>
  <si>
    <t>เดฟ men</t>
  </si>
  <si>
    <t>ดีเซล ce</t>
  </si>
  <si>
    <t>เจอเดฟ ที่กิจกรรมนาฬิกาชีวิต</t>
  </si>
  <si>
    <t>พี่มีน env ภูมิ env เฟียร์env</t>
  </si>
  <si>
    <t>กิจกรรมฐานเมื่อวันที่25 สะพาน</t>
  </si>
  <si>
    <t>แตงโม PE</t>
  </si>
  <si>
    <t>ราเชล SEM</t>
  </si>
  <si>
    <t>อู๋ TME</t>
  </si>
  <si>
    <t>อู๋ TME เพื่อนเฟรนลี่มาก</t>
  </si>
  <si>
    <t>พี่มะเหมี่ยว พี่ขนุน พี่เจเจ (จำสาขาไม่ได้ค่ะ🙏🏻🥹)</t>
  </si>
  <si>
    <t>มะเหมี่ยว เป็นพิธีกร พูดดีมาก</t>
  </si>
  <si>
    <t>ตะวัน me</t>
  </si>
  <si>
    <t>เทนนิส inc</t>
  </si>
  <si>
    <t>โอม inc</t>
  </si>
  <si>
    <t>Baggin โยธา</t>
  </si>
  <si>
    <t>กู้ดไน้ inc</t>
  </si>
  <si>
    <t>เบลล่า inc</t>
  </si>
  <si>
    <t>ตะวัน me รู้จักจากการเล่นดึงกระดาษ</t>
  </si>
  <si>
    <t>ไอซ์ Inc ทีม Fibo บอส cs</t>
  </si>
  <si>
    <t>ไอซ์ Inc จากการพี่เค้าพาไปกินข้าว</t>
  </si>
  <si>
    <t>ดิว</t>
  </si>
  <si>
    <t>ปูน CHE</t>
  </si>
  <si>
    <t>เหนือ CHE</t>
  </si>
  <si>
    <t>โซฮอล์ CHE</t>
  </si>
  <si>
    <t>ปัง CHE</t>
  </si>
  <si>
    <t>ต้นคูณ CHE</t>
  </si>
  <si>
    <t>ไทด์ CHE</t>
  </si>
  <si>
    <t>ปูน CHE เจอกันตอนสอบHonor</t>
  </si>
  <si>
    <t>ไออุ่น CHE กาฟิว CHE อิมเมจ CHE</t>
  </si>
  <si>
    <t>ไออุ่น CHE แจกขนม</t>
  </si>
  <si>
    <t>Pat CE</t>
  </si>
  <si>
    <t>prew CE</t>
  </si>
  <si>
    <t>Pakin CE</t>
  </si>
  <si>
    <t>Jet CE</t>
  </si>
  <si>
    <t>Plam CE</t>
  </si>
  <si>
    <t>AJ CE</t>
  </si>
  <si>
    <t>Jet talk about football.</t>
  </si>
  <si>
    <t>Frenn in 12 clock game.</t>
  </si>
  <si>
    <t>Jaja CE หมี CE เพรช CE</t>
  </si>
  <si>
    <t>บีม env</t>
  </si>
  <si>
    <t>มิก env</t>
  </si>
  <si>
    <t>ชม env</t>
  </si>
  <si>
    <t>ธัน cpe</t>
  </si>
  <si>
    <t>เบส cpe รู้จักกันจากกิจกรรมปฐมนิเทศมหาวิทยาลัย</t>
  </si>
  <si>
    <t>จำไม่ได้เลยค่ะ😔</t>
  </si>
  <si>
    <t>มาโปรด โยธา</t>
  </si>
  <si>
    <t>กัปตัน โยธา</t>
  </si>
  <si>
    <t>เชอแมน โยธาอิน</t>
  </si>
  <si>
    <t>ปริน ไฟฟ้า</t>
  </si>
  <si>
    <t>มาโปรด รุ้จักจากกิจกรรม</t>
  </si>
  <si>
    <t>พี่ออย ปริณ จากกิจกรรม</t>
  </si>
  <si>
    <t>ออย จากเล่นกิจกรรม</t>
  </si>
  <si>
    <t>แต้ง ENV</t>
  </si>
  <si>
    <t>เวียร์ ENV-inter</t>
  </si>
  <si>
    <t>ต้น ENV</t>
  </si>
  <si>
    <t>เจอกันตอนวันแรกๆ ก็เลยได้มาอยู่ด้วยกัน</t>
  </si>
  <si>
    <t>พี่คีตา ENV, พี่นิว ENV และพี่แบม PE</t>
  </si>
  <si>
    <t>พี่คีตา ฐานเรือระเบิด พี่คีตาช่วยบิ้วให้กิจกรรมสนุก</t>
  </si>
  <si>
    <t>Namo Compter Engineering</t>
  </si>
  <si>
    <t>Fifa Computer engineering</t>
  </si>
  <si>
    <t>Ice computer engineering</t>
  </si>
  <si>
    <t>Fluke computer engineering</t>
  </si>
  <si>
    <t>Leo Electrical engineering</t>
  </si>
  <si>
    <t>Namo Eating food together</t>
  </si>
  <si>
    <t>P Pai Orientation very active</t>
  </si>
  <si>
    <t>P Nam CPE P Gun CPE P Fluke CPE</t>
  </si>
  <si>
    <t>กิต ภาคอุต</t>
  </si>
  <si>
    <t>นายภาค อุต</t>
  </si>
  <si>
    <t>น๊อต อิเล็ค</t>
  </si>
  <si>
    <t>บอส ภาคอุต</t>
  </si>
  <si>
    <t>ช้าง ภาคอุต</t>
  </si>
  <si>
    <t>น๊อต ได้รู้จักกากกิจกรรมดึงกระดาษด้านหลัง อยู่ทีมเดียวกันช่วยกันรุ่มแย่งกระดาษคนอื่น</t>
  </si>
  <si>
    <t>ปิงปอง pe สปา me เฟรม pe</t>
  </si>
  <si>
    <t>ช้าง รู้จักจากกิจกรรมเรือแล้วได้นั่งใกล้ๆกันได้คำเดียวกัน แล้วก็ได้รู้ว่าอยู่ถสาขาเดียวกัน</t>
  </si>
  <si>
    <t>ฟ้า วิศวะสิ่งแวดล้อม</t>
  </si>
  <si>
    <t>เคย์ CE</t>
  </si>
  <si>
    <t>พลุ CPE</t>
  </si>
  <si>
    <t>ฟ้า ENV เจอจากเพื่อนอยู่บ้านเดียวกัน น่ารักมากๆ</t>
  </si>
  <si>
    <t>1.พี่สายพิณ ME 2.พี่โชคดีENE 3.พี่ไอซ์ ENE</t>
  </si>
  <si>
    <t>พี่สายพิณME เจอจากกิจกรรม 12 นาฬิกา</t>
  </si>
  <si>
    <t>Pai AE</t>
  </si>
  <si>
    <t>Nun AE</t>
  </si>
  <si>
    <t>Beejill AE</t>
  </si>
  <si>
    <t>I met her at the orientation event</t>
  </si>
  <si>
    <t>He was always willing to teach me things I didn't understand and he was very friendly</t>
  </si>
  <si>
    <t>Hongwha AE 
O INC 
Namwan INC</t>
  </si>
  <si>
    <t>ม่อน โยธา</t>
  </si>
  <si>
    <t>กาตูน โยธา</t>
  </si>
  <si>
    <t>เปรม โยธา</t>
  </si>
  <si>
    <t>เฟื่องฟู โยธา</t>
  </si>
  <si>
    <t>ม่อน เป็นคนดีเพราะอยู่ด้วย</t>
  </si>
  <si>
    <t>พี่ปอน เครื่องกล</t>
  </si>
  <si>
    <t>พี่มีนเป็นคนดีพราะให้ขนม</t>
  </si>
  <si>
    <t>ก้าก้า เคมี</t>
  </si>
  <si>
    <t>ค๊อป เคมี</t>
  </si>
  <si>
    <t>ออโต้ เคมี</t>
  </si>
  <si>
    <t>เจน อุตสา</t>
  </si>
  <si>
    <t>เจน เดินผ่านหน้าประตู</t>
  </si>
  <si>
    <t>กาฟิว เคมี ไออุ่น จำไม่ได้</t>
  </si>
  <si>
    <t>กาฟิว พาเดินไปที่ต่างๆ</t>
  </si>
  <si>
    <t>ฟ้าenv</t>
  </si>
  <si>
    <t>ทิพenv</t>
  </si>
  <si>
    <t>จีน่าenv</t>
  </si>
  <si>
    <t>เหมยอิเล็ก</t>
  </si>
  <si>
    <t>เหมยอิเล็กเจอกันวันที่25เพื่อนมาทัก</t>
  </si>
  <si>
    <t>พี่หมีโยธาพี่ตี๋envพี่จ๊ะจ๋าโยธา</t>
  </si>
  <si>
    <t>พี่ตี๋envเป็นรุ่นพี่ภาคเจอกันปฐมนิเทศ</t>
  </si>
  <si>
    <t xml:space="preserve">แต้ง สิ่งแวดล้อม </t>
  </si>
  <si>
    <t>โอ เครื่องกล</t>
  </si>
  <si>
    <t>ต้อง เคมี</t>
  </si>
  <si>
    <t>ลัคกี้ สิ่งแวดล้อม</t>
  </si>
  <si>
    <t>แต้ง กิจกรรมปฐมนิเทศได้ชวนเดินเที่ยวในรั้วมหาวิทยาลัย</t>
  </si>
  <si>
    <t>พี่โจนัท พี่บอส พี่ปอน จากเครื่องกล</t>
  </si>
  <si>
    <t>พี่โจนัทพาเพื่อนในภาควิชามารู้จักกัน</t>
  </si>
  <si>
    <t>ต้นข้าว</t>
  </si>
  <si>
    <t>ไบ เคมี</t>
  </si>
  <si>
    <t xml:space="preserve">หง เคมี </t>
  </si>
  <si>
    <t>ภูกิต เคมี</t>
  </si>
  <si>
    <t>อาเสี่ย เคมี</t>
  </si>
  <si>
    <t>ต้นข้าว ดิสคอด ตลกดี</t>
  </si>
  <si>
    <t>พี่ตามขวัญ พี่ไออุ่น พี่กาฟิวส์</t>
  </si>
  <si>
    <t>พี่กาฟิวส์ เลี้ยงขนม</t>
  </si>
  <si>
    <t>ภูมัย วิศวกรรมโยธา</t>
  </si>
  <si>
    <t>มาโปรด วิศวกรรมโยธา</t>
  </si>
  <si>
    <t>อาร์ม วิศวกรรมโยธา</t>
  </si>
  <si>
    <t>เติ้ล วิศวกรรมระบบและเครื่องมือวัด</t>
  </si>
  <si>
    <t>เบรฟ วิศวกรรมโยธา</t>
  </si>
  <si>
    <t>อาร์ม จากกิจกรรมดึงกระดาษ</t>
  </si>
  <si>
    <t>พี่มีน พี่เฟีย พี่ภูมิ วิศวกรรมสิ่งแวดล้อม</t>
  </si>
  <si>
    <t>พี่คีตา จากกิจกรรมเรือ ประทับใจการสาธิตของพี่ๆ</t>
  </si>
  <si>
    <t>ซิตี้ EIE</t>
  </si>
  <si>
    <t xml:space="preserve">ชมพู่ </t>
  </si>
  <si>
    <t>จิ ENE</t>
  </si>
  <si>
    <t>ออม EIE</t>
  </si>
  <si>
    <t>Dream EIE</t>
  </si>
  <si>
    <t>ซิตี้ EIE รู้จักกันจากภายนอกมาก่อน แล้วได้มีโอกาสมาเรียนภาควิชาเดียวกัน เพื่อนเป็นคนดีช่วยเหลือกัน</t>
  </si>
  <si>
    <t>พี่บีเฟิร์ส พี่ไอซ์ พี่เบนซ์ ENE</t>
  </si>
  <si>
    <t>พี่ไอซ์ โดนเนียนเอาป้ายชื่อไปในเกมหาป้ายชื่อ เรียบร้อยโดน special ครับ 5555</t>
  </si>
  <si>
    <t>เจเล่(Jelle) วิศวะสิ่งแวดล้อม</t>
  </si>
  <si>
    <t>ไก่ต๊อก(Kaitok) CPE</t>
  </si>
  <si>
    <t>คอปเตอร์(Copter) CPE</t>
  </si>
  <si>
    <t>กัน(Gun) CPE</t>
  </si>
  <si>
    <t>นัท(Nut) CPE</t>
  </si>
  <si>
    <t>Jelle, I met him during Kmutt Orientation day. we happened to sit next to each other and we found ourselves funny to each other</t>
  </si>
  <si>
    <t>P'Klong, I find him funny</t>
  </si>
  <si>
    <t>P'Fluk CPE, P'Klong CPE, P'Nam CPE</t>
  </si>
  <si>
    <t>อันดา กิจกรรมปฐมนิเทศ นั่งคุยด้วยกัน</t>
  </si>
  <si>
    <t>พี่เพื่อน วัดคุม/พี่ปิ๊ก วัดคุม/พี่มุก โยธา</t>
  </si>
  <si>
    <t>พี่เพื่อน กิจกรรมเข้าฐาน เป็นพี่กลุ่มเลยคุยกัน</t>
  </si>
  <si>
    <t>พรู  CE</t>
  </si>
  <si>
    <t>ปลายฟ้า CE</t>
  </si>
  <si>
    <t>เจียๆ  ENV</t>
  </si>
  <si>
    <t>เนปจูน CE</t>
  </si>
  <si>
    <t>กิ๊ฟ CE</t>
  </si>
  <si>
    <t>พรู รู้จักเพราะนั่งข้างกัน</t>
  </si>
  <si>
    <t>คีตา ENVลูกปลา ENV พิ้ง ENV</t>
  </si>
  <si>
    <t>พี่คีตา ENV เพราะเป็นพี่สตาฟ ฐานเรือ วันที่25</t>
  </si>
  <si>
    <t>โนเกีย cpe</t>
  </si>
  <si>
    <t>ปาย CPE</t>
  </si>
  <si>
    <t>Night CPE</t>
  </si>
  <si>
    <t>โนเกีย เจอในกิจกรรมปฐมนิเทศเพราะคุยเก่งมากกกก</t>
  </si>
  <si>
    <t>วันนี้มีพี่น้ำ (น้าม) พี่ปาย พี่ฟลุ๊ค พี่กันต์ พี่ก้อง พี่ข้าวฟ่าง พี่แทนไท</t>
  </si>
  <si>
    <t>พี่น้ำเพราะพี่เค้าส่งรายชื่อมาให้ดู🤣🤣🤣🤣🤣🤣</t>
  </si>
  <si>
    <t>Enfield civil</t>
  </si>
  <si>
    <t>Bookie civil</t>
  </si>
  <si>
    <t>Sherman civil</t>
  </si>
  <si>
    <t xml:space="preserve">Mada civil </t>
  </si>
  <si>
    <t>Kim civil</t>
  </si>
  <si>
    <t>Meen civil</t>
  </si>
  <si>
    <t>Sherman , I met him in CE first meet we talk a lot of things he actually is my first friend in this university</t>
  </si>
  <si>
    <t xml:space="preserve">P Fuji , before I came here in here it’s half a activity in this university he is inspired me in this faculty </t>
  </si>
  <si>
    <t xml:space="preserve">P fuji P kaitoon </t>
  </si>
  <si>
    <t>พัตเตอร์ ME</t>
  </si>
  <si>
    <t>เนม CPE</t>
  </si>
  <si>
    <t>ท้อป เพื่อนเลอฟ</t>
  </si>
  <si>
    <t xml:space="preserve">พี่น้ำ พูดเก่ง    </t>
  </si>
  <si>
    <t>พี่น้ำ พี่ปาย พี่ฟลุ๊ค</t>
  </si>
  <si>
    <t>Mi envi</t>
  </si>
  <si>
    <t>Beam envi</t>
  </si>
  <si>
    <t>Ceila envi</t>
  </si>
  <si>
    <t>Crystal envi</t>
  </si>
  <si>
    <t>Nava elec</t>
  </si>
  <si>
    <t>Mi we sit next to each other</t>
  </si>
  <si>
    <t>No I don't know anyone from year 2</t>
  </si>
  <si>
    <t>I can't remember</t>
  </si>
  <si>
    <t>Non AE</t>
  </si>
  <si>
    <t>Nine AE</t>
  </si>
  <si>
    <t>Pluem AE</t>
  </si>
  <si>
    <t>ICQ He put tung tung tung sahor form his bag.</t>
  </si>
  <si>
    <t>Bullet I met him during this day.</t>
  </si>
  <si>
    <t>Bullet and Plug I met them to day.</t>
  </si>
  <si>
    <t>หนูแหวน</t>
  </si>
  <si>
    <t>ยอร์ช</t>
  </si>
  <si>
    <t xml:space="preserve"> นิว </t>
  </si>
  <si>
    <t xml:space="preserve">หมวย </t>
  </si>
  <si>
    <t>ไบเบิ้ล</t>
  </si>
  <si>
    <t>Bible from activity find the clock time</t>
  </si>
  <si>
    <t xml:space="preserve">Lucky from the activity hit the boat </t>
  </si>
  <si>
    <t xml:space="preserve">ใบหยก CHE , เอย </t>
  </si>
  <si>
    <t>แก้ม ภาควิชาวัดคุม</t>
  </si>
  <si>
    <t>อุ้ม โยธา</t>
  </si>
  <si>
    <t>ทรอมพ์ เครื่องกล</t>
  </si>
  <si>
    <t>พีช วิศวะสิ่งแวดล้อม</t>
  </si>
  <si>
    <t>แลค วิศวะคอม</t>
  </si>
  <si>
    <t>โมน่า จากกิจกรรมสะพาน</t>
  </si>
  <si>
    <t>แก้ม อิเล็กทรอนิกส์ ทอง โยธา โจเซฟ เครื่องกล</t>
  </si>
  <si>
    <t>แก้ม อิเล็กทรอนิกส์ พี่เป็นคนนำเข้าฐาน</t>
  </si>
  <si>
    <t>สแตมป์ ไฟฟ้า</t>
  </si>
  <si>
    <t>จอร์ท โยธา</t>
  </si>
  <si>
    <t>จอร์ท เพราะตอนเจอครั้งแรกละถูกใจท่าเดินมันกวนตีนมากและเป็นคนใต้ที่อยู่กรุงเทพตั้งแต่เกิดมันเลยพูดใต้แบบทองแดง</t>
  </si>
  <si>
    <t>ไม่ได้ทำความรู้จัก</t>
  </si>
  <si>
    <t>วิช CE</t>
  </si>
  <si>
    <t>ไปป์ CE</t>
  </si>
  <si>
    <t>กร CE</t>
  </si>
  <si>
    <t>ทอม CE</t>
  </si>
  <si>
    <t>วิช รู้จักจากค่าย TueWel 20th เป็นเพื่อนคนแรกที่มานั่งด้วยกัน</t>
  </si>
  <si>
    <t>พี่อิงดอย Phymed พี่โฟส ME พี่เตชิน PE</t>
  </si>
  <si>
    <t>พี่โฟส จากค่าย TueWel 20th รู้จักเพราะพี่เป็นพี่ติวค่ายวิชา Phy</t>
  </si>
  <si>
    <t>พี SEM</t>
  </si>
  <si>
    <t>ที SEM</t>
  </si>
  <si>
    <t xml:space="preserve">ดอน SEM </t>
  </si>
  <si>
    <t>คิว SEM</t>
  </si>
  <si>
    <t>โคจัง SEM</t>
  </si>
  <si>
    <t>นานะ SEM</t>
  </si>
  <si>
    <t>พี First meet ene</t>
  </si>
  <si>
    <t>พี่ดอน ene พี่พีene พี่โชคดี ene</t>
  </si>
  <si>
    <t>พี่โชคดี เจอกันที่ตี๋น้อยคับ</t>
  </si>
  <si>
    <t>พลอย ME</t>
  </si>
  <si>
    <t>รู้จักต้าหลิวจากฐานแรกพลอยช่วยติดกระดาษที่หลังเสื้อให้ แล้วก็พากันไปรู้จักกับเพื่อนๆคนอื่น กินข้าวด้วยกัน ทำกิจกรรมด้วยกันจนจบวัน 🥰🥰</t>
  </si>
  <si>
    <t>พี่เปาme พี่ปอนด์me พี่แบ้ดme พี่กุ้ดme</t>
  </si>
  <si>
    <t>พี่เปาme เอนเนอจี้สุดยอดเริ่ดๆบุ้สๆ</t>
  </si>
  <si>
    <t>ฟิว ce</t>
  </si>
  <si>
    <t>น้ำซีce</t>
  </si>
  <si>
    <t>โอ๊ตce</t>
  </si>
  <si>
    <t>เต้ce</t>
  </si>
  <si>
    <t>ปอ ce</t>
  </si>
  <si>
    <t>โอ๊ต  จากปฐมนิเทศ</t>
  </si>
  <si>
    <t>ยังไม่ได้ทำความรู้จักกับรุ่นพี่</t>
  </si>
  <si>
    <t>มิ่ง env</t>
  </si>
  <si>
    <t>จืดจาง โยธา</t>
  </si>
  <si>
    <t>บอล โบธา</t>
  </si>
  <si>
    <t>เฟิส โยธา</t>
  </si>
  <si>
    <t>เจเจ โยธา</t>
  </si>
  <si>
    <t>ใบ้ตย env</t>
  </si>
  <si>
    <t>มิ่ง env มันโกหกว่าอยู่โยธา เลยรุ้จักกะน</t>
  </si>
  <si>
    <t>รุ่นพี่ไม่เข้าถึง</t>
  </si>
  <si>
    <t>จืดจาง โยธา เพื่อนน่ารักดี</t>
  </si>
  <si>
    <t>Icq AE</t>
  </si>
  <si>
    <t>Nine AE, Non AE, Tonmai AE, Folk AE</t>
  </si>
  <si>
    <t>Icq, He brought triple t plushie on orientation day.</t>
  </si>
  <si>
    <t>Ice, I met him during Hand-on engineering session.</t>
  </si>
  <si>
    <t>Plug INC, Ice INC, Bullet INC</t>
  </si>
  <si>
    <t>จิน ภาควิชาวิศวกรรมโยธา</t>
  </si>
  <si>
    <t>เฟย์ ภาควิชาวิศวกรรมโยธา</t>
  </si>
  <si>
    <t>ลูกน้ำ ภาควิชาวิศวกรรมโยธา</t>
  </si>
  <si>
    <t>พลอย ภาควิชาวิศวกรรมโยธา</t>
  </si>
  <si>
    <t>นั้งรอไปถ่ายรูป</t>
  </si>
  <si>
    <t>พี่ขนุนโยธา พี่แชมป์โยธา พี่จ๊ะจ๋าโยธา</t>
  </si>
  <si>
    <t>พี่เค้าเป็นmc จึงประทับใจ</t>
  </si>
  <si>
    <t>ฟาง ภาคระบบควบคุมและเครื่องมือวัด</t>
  </si>
  <si>
    <t>หลุยส์ ภาคระบบควบคุมและเครื่องมือวัด</t>
  </si>
  <si>
    <t>ยีน ภาคระบบควบคุมและเครื่องมือวัด</t>
  </si>
  <si>
    <t>เปียโน ภาคระบบควบคุมและเครื่องมือวัด</t>
  </si>
  <si>
    <t>ม่อน ภาคระบบควบคุมและเครื่องมือวัด</t>
  </si>
  <si>
    <t>หลุยส์ รู้จักตอนออกมาหน้าหอนอกแล้วถามว่าอยู่คณะอะไร อ่าวสรุปอยู่คณะเดียวกัน สาขาเดียวกัน แล้วก็ได้อยู่ด้วยกันตลอดเกือบทั้งกิจกรรม</t>
  </si>
  <si>
    <t>พี่หมี ภาคระบบควบคุมและเครื่องมือวัด พี่หงหว่า ภาคระบบควบคุมและเครื่องมือวัด พี่ตี๋ วิศวะกรรมสิ่งแวดล้อม</t>
  </si>
  <si>
    <t>พี่หงหว่า รู้จักตอนทำกิจกรรมในภาค</t>
  </si>
  <si>
    <t xml:space="preserve">folk env </t>
  </si>
  <si>
    <t>kaohom env</t>
  </si>
  <si>
    <t>baiboon env</t>
  </si>
  <si>
    <t>ohm env</t>
  </si>
  <si>
    <t>ton env</t>
  </si>
  <si>
    <t xml:space="preserve">folk we met at line application from line group, we shared information and crucial details </t>
  </si>
  <si>
    <t xml:space="preserve">bank ce we met at 7-11 and he recommended me to have lunch </t>
  </si>
  <si>
    <t xml:space="preserve">bank ce, sun ce, shutter che </t>
  </si>
  <si>
    <t xml:space="preserve">Sky cpe </t>
  </si>
  <si>
    <t>Chain cpe</t>
  </si>
  <si>
    <t>Noodee cpe</t>
  </si>
  <si>
    <t>Nokia cpe</t>
  </si>
  <si>
    <t>Dar cpe</t>
  </si>
  <si>
    <t>Chain,Sky,Noodee,Nokia,and Da listen orientation at slope600</t>
  </si>
  <si>
    <t>I have met Sky he sits near me and we start talking</t>
  </si>
  <si>
    <t>I haven’t talked with any 2nd-year senior yet</t>
  </si>
  <si>
    <t>Janit baiboon kaohom josh ohm</t>
  </si>
  <si>
    <t>Janit env</t>
  </si>
  <si>
    <t>Baiboon env</t>
  </si>
  <si>
    <t>Kaohom env</t>
  </si>
  <si>
    <t>Josh CE</t>
  </si>
  <si>
    <t>Ohm env</t>
  </si>
  <si>
    <t>Baiboon play football together</t>
  </si>
  <si>
    <t>Bank CE we met at 7-eleven today</t>
  </si>
  <si>
    <t xml:space="preserve">Bank CE Sun CE </t>
  </si>
  <si>
    <t>แม็กซ์</t>
  </si>
  <si>
    <t>แม็กซ์ ภาควิชาวิศวกรรมเครื่องกล</t>
  </si>
  <si>
    <t>บีม ภาควิชาวิศวกรรมอิเล็กทรอนิกส์</t>
  </si>
  <si>
    <t>กาฟิว ภาควิชาวิศวกรรมอิเล็กทรอนิกส์</t>
  </si>
  <si>
    <t>บีม ภาควิชาวิทยาศาสตร์เคมี</t>
  </si>
  <si>
    <t>ตอง ภาควิชาวิศวกรรมคอมพิวเตอร์</t>
  </si>
  <si>
    <t>แม็กซ์ จากกิจกรรมถ่ายรูป</t>
  </si>
  <si>
    <t>บีม  ปลื้ม ภีม ภาควิชาวิทยาศาสตร์เคมี</t>
  </si>
  <si>
    <t>บีม แนะนำมหาวิทยาลัยให้ฟัง</t>
  </si>
  <si>
    <t>เป CHE</t>
  </si>
  <si>
    <t>กัปตัน CE</t>
  </si>
  <si>
    <t>วิน CE อินเตอร์</t>
  </si>
  <si>
    <t>กัปตัน จากค่ายติวเวล รู้จักกันเพราะชวนวิ่ง</t>
  </si>
  <si>
    <t>พี่มีน NY , แก้ม  INC , จ่ะจ๋า CE</t>
  </si>
  <si>
    <t>จ่ะจ๋า CE พี่เป็นพี่คุมละใส่ช็อปโคตรเท่</t>
  </si>
  <si>
    <t xml:space="preserve">Dream Electronics &amp; Telecommunications Engineering </t>
  </si>
  <si>
    <t xml:space="preserve">Grace Electronics &amp; Telecommunications Engineering </t>
  </si>
  <si>
    <t xml:space="preserve">June Chemical Engineering </t>
  </si>
  <si>
    <t>Yu Computer Engineering</t>
  </si>
  <si>
    <t xml:space="preserve">Thomas Electronics &amp; Telecommunications Engineering </t>
  </si>
  <si>
    <t>I met my first thai fri which is from my mahor</t>
  </si>
  <si>
    <t>I met P' Thomas during today's faculty activity. They shared useful advice about studying engineering and university life, and they made me feel welcome.</t>
  </si>
  <si>
    <t xml:space="preserve">Sekhu-Electronics and Telecommunications 
Thomas-Electronics and Telecommunications 
Andre-Electronics and Telecommunications </t>
  </si>
  <si>
    <t>เจด พั้น น้ำซี น้อยหน่า โมจิ</t>
  </si>
  <si>
    <t>เจด โยธา</t>
  </si>
  <si>
    <t>น้อยหน่า โยธา</t>
  </si>
  <si>
    <t>โมจิ โยธา</t>
  </si>
  <si>
    <t>เนปจูน คอยช่วยเหลือและอยู่ข้างๆ</t>
  </si>
  <si>
    <t>พี่จ๋า พี่หมี พี่แม็ค</t>
  </si>
  <si>
    <t>รุ่นพี่ใจดีทั้งหมด เปนกันเอง</t>
  </si>
  <si>
    <t>ชม ภาควิศวกรรมสิ่งแวดล้อม</t>
  </si>
  <si>
    <t>มิ ภาควิศวกรรมสิ่งแวดล้อม</t>
  </si>
  <si>
    <t>เซร่า ภาควิศวกรรมสิ่งแวดล้อม</t>
  </si>
  <si>
    <t>แพรวา ภาควิศวกรรมโยธา</t>
  </si>
  <si>
    <t>จี้ ภาควิชาวิศวกรรมสิ่งแวดล้อม</t>
  </si>
  <si>
    <t>พบเจอในกิจกรรมปฐมนิเทศเพื่อนมาทัก</t>
  </si>
  <si>
    <t>ฉันไม่รู้เพราะไม่ได้ไปทำความรู้จัก</t>
  </si>
  <si>
    <t>ปิง env</t>
  </si>
  <si>
    <t>มุก env</t>
  </si>
  <si>
    <t>รุ้ง env</t>
  </si>
  <si>
    <t>เอิร์ธ อุตสา</t>
  </si>
  <si>
    <t>ตี๋ สิ่งแวดล้อม ตอนปฐมนิเทศ</t>
  </si>
  <si>
    <t>จ๊ะจ๋า โยธา กิจกรรมปฐมนิเทศ</t>
  </si>
  <si>
    <t>หมี โยธา ปฐมนิเทศ</t>
  </si>
  <si>
    <t>นิว วิศวะสิ่งแวดล้อม</t>
  </si>
  <si>
    <t>โบนัส วิศวะคอม</t>
  </si>
  <si>
    <t>กิม วิศวะโยธา</t>
  </si>
  <si>
    <t>ฟางข้าว วิศวะอุตสา</t>
  </si>
  <si>
    <t xml:space="preserve">พิมพ์ ไฟฟ้า </t>
  </si>
  <si>
    <t>นิว เจอตอนรับบัตรชื่อเพื่อนทักก่อนแล้ว เพื่อนเดินไปส่งตอนเลิกกิจกรรมน่ารักมาก</t>
  </si>
  <si>
    <t>1.ข้าวหอม โยธา  2.แพรว tme 3.ครีม เคมี</t>
  </si>
  <si>
    <t>ข้าวหอมเพื่อนฝากพาวเวอร์แบงค์ไว้</t>
  </si>
  <si>
    <t xml:space="preserve"> ภีม อุตสา</t>
  </si>
  <si>
    <t>ใบ สิ่งเเวดล้อม</t>
  </si>
  <si>
    <t>นิว สิ่งเเวดล้อม</t>
  </si>
  <si>
    <t>พิมพ์ กิจกรรมยิงเรือ  เพื่อนเดิมมาด้วยกันตอนเข้าร่วมกิจกรรม</t>
  </si>
  <si>
    <t>พี่ข้าวหอมโยธา  พี่เเพรวTME  ครีมเคมี</t>
  </si>
  <si>
    <t>พี่ข้าวหอม มีน้ำใจเพื่อนฝากพาวร์เเบงค์</t>
  </si>
  <si>
    <t>บลู โยธา</t>
  </si>
  <si>
    <t xml:space="preserve">จำไม่ได้ครับ สนุกมาเลยครับ </t>
  </si>
  <si>
    <t>ไกด์ ภาควิชาเครื่องกล</t>
  </si>
  <si>
    <t>บีม ภาควิชาเครื่องกฃ</t>
  </si>
  <si>
    <t>กัปตัน ภาควิชาเครื่องกล</t>
  </si>
  <si>
    <t>ซี ภาควิชาเครื่องกล</t>
  </si>
  <si>
    <t>ครอส ภาควิชาเครื่องกล</t>
  </si>
  <si>
    <t>ไกด์ เตะฟุตบอลด้วยกัน</t>
  </si>
  <si>
    <t>พี่บูม พี่อาย พี่บอส</t>
  </si>
  <si>
    <t>พี่อาย ตลกและกิจกรรมสนุก</t>
  </si>
  <si>
    <t>ซิก ENV</t>
  </si>
  <si>
    <t>Pluem env</t>
  </si>
  <si>
    <t>มิน พบกันตอนรวมหลังพักเที่ยงแล้วได้มานั่งข้างกันตอนฟังกิจกรรม</t>
  </si>
  <si>
    <t>พี่หมี เจอตอนเข้าห้องน้ำแล้วระหว่างรอเพื่อนก็ได้คุยด้วย</t>
  </si>
  <si>
    <t>พี่หมีโยธา ปาย ฟ้า</t>
  </si>
  <si>
    <t>บิ๊ก วิศวะโยธาภาคปกติ</t>
  </si>
  <si>
    <t>เฟม วิศวะคอมพิวเตอร์ภาคปกติ</t>
  </si>
  <si>
    <t>สกาย วิศวกรรมคอมพิวเตอร์ภาคปกติ</t>
  </si>
  <si>
    <t>ด้า วิศวกรรมคอมพิวเตอร์</t>
  </si>
  <si>
    <t>โอม วิศวกรรมเคมีภาคปกติ</t>
  </si>
  <si>
    <t>เฟม กิจกรรมปฐมนิเทศของคณะวิศวกรรมศาสตร์วันที่ 25</t>
  </si>
  <si>
    <t>พี่กัส พี่กัส พี่กัส</t>
  </si>
  <si>
    <t>พี่กัสพาทำกิจกรรมนาฬิกา</t>
  </si>
  <si>
    <t xml:space="preserve">ราเชล ภาคอิเล็กโทรนิกส์ </t>
  </si>
  <si>
    <t>ฮาน ภาควัสดุควบคุม</t>
  </si>
  <si>
    <t>ซูกัส ภาคอิเล็กทรอนิกส์</t>
  </si>
  <si>
    <t>ออม ภาคเครื่องกล</t>
  </si>
  <si>
    <t>แท ภาคอิเล็กทรอนิกส์</t>
  </si>
  <si>
    <t>ฮาน ได้รู้จักจากรับน้อง เจอหน้ากันแล้วรุ้สึกสปาก</t>
  </si>
  <si>
    <t>พี่โชคดี ภาคอิเล็กทรอนิกส์ พี่กานต์ ภาคอิเล็กทรอนิกส์ พี่ฟ้ามุ่ย วิทยา</t>
  </si>
  <si>
    <t>พี่โชคดี มาเป็นพี่เทค</t>
  </si>
  <si>
    <t>Auto INC</t>
  </si>
  <si>
    <t>Pan ISEE</t>
  </si>
  <si>
    <t>Pleum INC</t>
  </si>
  <si>
    <t>Ikkyu inc</t>
  </si>
  <si>
    <t>อิคคิวร้องคอรัสให้ฟังตอนปฐมนิเทศวันที่2</t>
  </si>
  <si>
    <t>พี่ทอม ช่วยเดินมาไปฐานดึงป้าย</t>
  </si>
  <si>
    <t>O inc , aom inc,mink inc</t>
  </si>
  <si>
    <t>เบส ภาควัดคุม</t>
  </si>
  <si>
    <t>บอส ภาควัดคุม</t>
  </si>
  <si>
    <t>ใบข้าว ภาควัดคุม</t>
  </si>
  <si>
    <t>อั่ม ภาคแมคคาทอนิก</t>
  </si>
  <si>
    <t>ไอส์ ภาควัดคุม</t>
  </si>
  <si>
    <t>เบส ได้เจอกันจากฐานนาฬิกาแล้วได้เจอกันตอนเล่นกิจกรรมหาคู่</t>
  </si>
  <si>
    <t xml:space="preserve">พี่นำ้หวาน ภาควัดคุม </t>
  </si>
  <si>
    <t>พี่นำ้หวาน เจอตอนถามพี่เพื่อจะได้รู้พี่อยู่ภาคอะไร</t>
  </si>
  <si>
    <t>เจเจ ce</t>
  </si>
  <si>
    <t>แพรวา ce</t>
  </si>
  <si>
    <t>เพชรพลอย ce</t>
  </si>
  <si>
    <t>ฟลุต เครื่องมือวัด</t>
  </si>
  <si>
    <t>เจเจ รับน้องวันที่26</t>
  </si>
  <si>
    <t xml:space="preserve">นึกไม่ออกครับบ   </t>
  </si>
  <si>
    <t xml:space="preserve">นึกไม่ออกครับ   </t>
  </si>
  <si>
    <t>บีม ce</t>
  </si>
  <si>
    <t>การ์มิน ee</t>
  </si>
  <si>
    <t>เติ้ล ce</t>
  </si>
  <si>
    <t>เฟิร์ส ce</t>
  </si>
  <si>
    <t>ปั้น ce</t>
  </si>
  <si>
    <t>เติ้ล ได้เล่นเกมกิจกรรมด้วยกัน</t>
  </si>
  <si>
    <t>พี่จ๊ะจ๋า  พี่ไลอ้อน พี่ฟิล์ม</t>
  </si>
  <si>
    <t>พี่จ๊ะจ๋า พี่เลี้ยงในกิจกรรม</t>
  </si>
  <si>
    <t>Boki INC</t>
  </si>
  <si>
    <t>Fandee INC</t>
  </si>
  <si>
    <t>Boki we eat lunch together at KFC</t>
  </si>
  <si>
    <t xml:space="preserve">Praew we met at clock activity yesterday. </t>
  </si>
  <si>
    <t>Aoey automation engineer</t>
  </si>
  <si>
    <t>ฟลุ๊ค ระบบควบคุมและเครื่องมือวัด</t>
  </si>
  <si>
    <t>ปุน ระบบควบคุมและเครื่องมือวัด</t>
  </si>
  <si>
    <t>เจได ระบบควบคุมและเครื่องมือวัด</t>
  </si>
  <si>
    <t>ปลื้ม ระบบควบคุมและเครื่องมือวัด</t>
  </si>
  <si>
    <t>จา อุตสาหกรรม</t>
  </si>
  <si>
    <t>ภูมิ โยธา</t>
  </si>
  <si>
    <t>กัน เมคคาทรอนิกส์</t>
  </si>
  <si>
    <t>ผมไม่รู้จักครับ</t>
  </si>
  <si>
    <t>ชื่อโปร่งใส อากาศ ออกซิเจน</t>
  </si>
  <si>
    <t>ออกซิเจน มีไว้ให้หายใจครับ</t>
  </si>
  <si>
    <t>แอ้น เคมี</t>
  </si>
  <si>
    <t>พี อิเล็ค</t>
  </si>
  <si>
    <t>กาน อิเล็ค</t>
  </si>
  <si>
    <t>นานะ อิเล็ค</t>
  </si>
  <si>
    <t>เคนดาวร้าย อิเล็ค</t>
  </si>
  <si>
    <t>Q อิเล็ค</t>
  </si>
  <si>
    <t>ดอนดาวร้าย อิเล็ค</t>
  </si>
  <si>
    <t>ดร ประทับใจให้ยืมpowerbank</t>
  </si>
  <si>
    <t>พี่ นิว ภาคอิเล็ค พี่แอ้น ภาคเคมี พี่เฟิส อืเลิค</t>
  </si>
  <si>
    <t>พี่นิว ซื้อโดนัทให้กิน</t>
  </si>
  <si>
    <t>เฟิน CE</t>
  </si>
  <si>
    <t>เป้ยเป้ย CHE</t>
  </si>
  <si>
    <t>พู่กัน EE</t>
  </si>
  <si>
    <t>เฟิน จากกิจกรรมปฐมนิเทศ เพราะมีอะไรที่ชอบเหมือนกัน และเอเนอจี้เข้ากันได้</t>
  </si>
  <si>
    <t>พี่ข้าวหอม CE พี่มีน Envi พี่แชมป์ CE</t>
  </si>
  <si>
    <t>พี่ข้าวหอมน่ารัก ให้ความช่วยเหลือ</t>
  </si>
  <si>
    <t xml:space="preserve">Noey mechanical engineering </t>
  </si>
  <si>
    <t xml:space="preserve">Netta mechanical engineering </t>
  </si>
  <si>
    <t xml:space="preserve">Tai computer engineering </t>
  </si>
  <si>
    <t xml:space="preserve">T control system and strument engineer </t>
  </si>
  <si>
    <t xml:space="preserve">Neno control system and strument engineering </t>
  </si>
  <si>
    <t xml:space="preserve">Nop mechanical engineering </t>
  </si>
  <si>
    <t xml:space="preserve">Boss control and system instrument engineering </t>
  </si>
  <si>
    <t xml:space="preserve">Netta  we met when we are going to to eat lunch and he is very friendly </t>
  </si>
  <si>
    <t>Puen she is my childhood her house near me</t>
  </si>
  <si>
    <t xml:space="preserve">Puen , Art, hongonwhuh control system and instrument engineering </t>
  </si>
  <si>
    <t>อาร์มรู้จักตอนมาถ่ายรูปภาคด้วยกันเเล้วชวนไปกินข้าว</t>
  </si>
  <si>
    <t>1พี่ข้าวหอม โยธา 2พี่เเชมป์ โยธา 3พี่มีน สิ่งเเวดล้อม</t>
  </si>
  <si>
    <t>พี่ข้าวหอมรู้จักตอนนั่งรอเข้าปฐมนิเทศ เหงาเลยชวนคุย</t>
  </si>
  <si>
    <t>ปอนด์  TME</t>
  </si>
  <si>
    <t>กัญญา TME</t>
  </si>
  <si>
    <t>ก้อง me</t>
  </si>
  <si>
    <t>นาม TME</t>
  </si>
  <si>
    <t>เเพม TME</t>
  </si>
  <si>
    <t>ปอนด์ รู้จักจากการเดินมาทักตอนยังไม่เจอคนอื่นจากตอนกิจกรรมตรวจสุขภาพหลัง</t>
  </si>
  <si>
    <t>พี่ฟิว TME พี่เฟิร์ส MEN  พี่สายดี me</t>
  </si>
  <si>
    <t>พี่ฟิว รู้จักจากการเจอกันวันปฐมนิเทศเป็นคนเล่าเรื่องเเละเเนะนำ</t>
  </si>
  <si>
    <t>เอมมี่ สิ่งเเวดล้อม</t>
  </si>
  <si>
    <t>ข้าวสวย เเมคคา</t>
  </si>
  <si>
    <t>เเป้งหอม ไฟฟ้า</t>
  </si>
  <si>
    <t>กิจกรรม น่าฬิกา</t>
  </si>
  <si>
    <t>จำไม่ได้จริงๆครับ</t>
  </si>
  <si>
    <t>ที sem</t>
  </si>
  <si>
    <t>กาน sem</t>
  </si>
  <si>
    <t>เคน sem</t>
  </si>
  <si>
    <t>โด้ sem</t>
  </si>
  <si>
    <t>เคน กิจกรรม วันที่25</t>
  </si>
  <si>
    <t>พี่โชคดี ene พี่ไผ่ ene พี่พี ene</t>
  </si>
  <si>
    <t>พี่โชคดี เจอกันที่ ตี๋น้อยครับ</t>
  </si>
  <si>
    <t>เบส แมคคา</t>
  </si>
  <si>
    <t>กิจกรรมฐาน เพื่อนดี</t>
  </si>
  <si>
    <t>1.พี่เพชร 2.พี่เต 3.พี่โต</t>
  </si>
  <si>
    <t>พี่ๆนิสัยดีมากคับ</t>
  </si>
  <si>
    <t xml:space="preserve">Sao cilvil engineer </t>
  </si>
  <si>
    <t>Phop cilvil engineer</t>
  </si>
  <si>
    <t>Dew cilvil engineer</t>
  </si>
  <si>
    <t xml:space="preserve">Daung cilvil engineer </t>
  </si>
  <si>
    <t>Print cilcvil engineer</t>
  </si>
  <si>
    <t xml:space="preserve">I met sao when i go playing basketball </t>
  </si>
  <si>
    <t>P’khaohom i leave my power with her</t>
  </si>
  <si>
    <t xml:space="preserve">1.Mean environment engineering
2.jam INC
3.phoom environment engineering </t>
  </si>
  <si>
    <t>Pat  (INC-AE)</t>
  </si>
  <si>
    <t>Beejill (INC-AE)</t>
  </si>
  <si>
    <t>Nun (INC-AE)</t>
  </si>
  <si>
    <t>Tran (INC-AE)</t>
  </si>
  <si>
    <t>Pai (INC-AE)</t>
  </si>
  <si>
    <t>Share the snacks</t>
  </si>
  <si>
    <t xml:space="preserve">Let's talk and navigate </t>
  </si>
  <si>
    <t>Hong art numwhan. INC</t>
  </si>
  <si>
    <t>นมสด วิศวดรรมเคมี</t>
  </si>
  <si>
    <t>โอม วิศวกรรมเครื่องกล</t>
  </si>
  <si>
    <t>ต้า วิศวกรรมเคมี</t>
  </si>
  <si>
    <t>เทส วิศวกรรมเคมี</t>
  </si>
  <si>
    <t>ไทป์ วิศวกรรมเคมี</t>
  </si>
  <si>
    <t>นมสด จากกิจกรรมปฐมนิเทศ อยู่ๆเดินมาทักเฟรนลี่</t>
  </si>
  <si>
    <t>พี่ไออุ่น พี่ซี พี่นะโม พี่กาฟิว</t>
  </si>
  <si>
    <t>พี่กาฟิว กิจกรรมปฐมนิเทศ เอนเนอร์จี้เกิน</t>
  </si>
  <si>
    <t>เปรี้ยว ce</t>
  </si>
  <si>
    <t>เดฟ tme</t>
  </si>
  <si>
    <t>กิ๊ฟ ce</t>
  </si>
  <si>
    <t>ปรายฟ้าce</t>
  </si>
  <si>
    <t>เนปจูนce</t>
  </si>
  <si>
    <t xml:space="preserve">เปรี้ยวเรียน hands on </t>
  </si>
  <si>
    <t>พี่จ๊ะจ๋าce , พี่อัลมอนee ,พี่หมีce</t>
  </si>
  <si>
    <t>พี่หมี ปฐมนิเทศ</t>
  </si>
  <si>
    <t>เบลล์ เป็นเพื่อนที่น่ารักมากๆ</t>
  </si>
  <si>
    <t>รุ้ง สิ่งแวดล้อม</t>
  </si>
  <si>
    <t>เบลล์ สิ่งแวดล้อม</t>
  </si>
  <si>
    <t>เบลล์ คอยทักมาถาม ทักมาบอกว่าอยู่ไหน ชวนไปกินข้าว เพื่อนน่ารักใจดีมากๆๆ</t>
  </si>
  <si>
    <t>พี่จ๊ะจ๋า โยธา พี่ซือme พี่คีตาenv</t>
  </si>
  <si>
    <t>พี่จ๊ะจ๋าให้คำปรึกษาได้ดีมากๆค่ะ</t>
  </si>
  <si>
    <t>Pat Inc</t>
  </si>
  <si>
    <t>Ploy INC AE)</t>
  </si>
  <si>
    <t>Beejill(INC AE)</t>
  </si>
  <si>
    <t>Tran(INC AE)</t>
  </si>
  <si>
    <t>Pai(INC AE)</t>
  </si>
  <si>
    <t>Tran  Very cute and has a good personality.</t>
  </si>
  <si>
    <t>Hong wha Very cute and has a good personality.</t>
  </si>
  <si>
    <t>Art( INC )Hong wha(INC)</t>
  </si>
  <si>
    <t>โอม อุตสาการ</t>
  </si>
  <si>
    <t>โอม รู้จักจากกิจกรรม 12นาฬิกา</t>
  </si>
  <si>
    <t>ตามฝัน ออม โตโต้</t>
  </si>
  <si>
    <t>ตามฝัน จากการแจกขนม</t>
  </si>
  <si>
    <t>Chin CPE</t>
  </si>
  <si>
    <t>Pooh CPE</t>
  </si>
  <si>
    <t>Nan CPE</t>
  </si>
  <si>
    <t>Thanwa CPE</t>
  </si>
  <si>
    <t>Pao (2nd-year student and i forgot what is her department, idk maybe EIE 😂✌️)</t>
  </si>
  <si>
    <t>It's shin, the activity moment we met is Build the Bridge. He greeted me first and he is the first CPE student i met.</t>
  </si>
  <si>
    <t>It's Pao, tge activity we met is Clock game?. she is funny and crazy person lol.</t>
  </si>
  <si>
    <t>Paai CPE,Naam CPE, Gunn CPE</t>
  </si>
  <si>
    <t>โฟก ยานยนต์</t>
  </si>
  <si>
    <t>เฟียต ยานยนต์</t>
  </si>
  <si>
    <t>ปลื้ม ยานยนต์</t>
  </si>
  <si>
    <t>เปรม เครื่องกล</t>
  </si>
  <si>
    <t>เติ้ล เครื่องกล</t>
  </si>
  <si>
    <t>เติ้น ได้คุยกันตอนทำกิจกรรม</t>
  </si>
  <si>
    <t>จำไม่ได้ฟังไม่รู้เรื่อง</t>
  </si>
  <si>
    <t>ตะโกนเสียงดังมาก</t>
  </si>
  <si>
    <t>Atom TME</t>
  </si>
  <si>
    <t>Pat TME</t>
  </si>
  <si>
    <t>องศา รู้จักจากกิจกรรมปฐมนิเทศภาคในวันที่ 25 ที่มีกิจกรรมให้หาเพื่อนและแลก contact และ make friends กัน</t>
  </si>
  <si>
    <t>ยุทธ์ ฟองเบียร์ Earth (fibo,fibo,kosen)</t>
  </si>
  <si>
    <t>กอน cpe ดูแลดี เข้าใจเด็ก</t>
  </si>
  <si>
    <t>แม็ก เซมิ</t>
  </si>
  <si>
    <t>เฟิส เซมิ</t>
  </si>
  <si>
    <t>บีม เซมิ</t>
  </si>
  <si>
    <t>รับน้อง สานสัมพันธ์</t>
  </si>
  <si>
    <t>พี่ภู พี่ซัน พี่โรจ</t>
  </si>
  <si>
    <t>พี่ซัน รุ่นใหญ่หนองแขม</t>
  </si>
  <si>
    <t>ตี๋ ภาค วัสดุ</t>
  </si>
  <si>
    <t>ต้นข้าว ภาค เคมี</t>
  </si>
  <si>
    <t>อิฐ ภาค เคมี</t>
  </si>
  <si>
    <t>ภัทร (จำภาคไม่ได้)</t>
  </si>
  <si>
    <t>ภู ภาค เคมี</t>
  </si>
  <si>
    <t>กิจกรรมฐาน นิสัยดี</t>
  </si>
  <si>
    <t>พี่ตามฝัน พี่ไออุ่น พี่กาฟิว</t>
  </si>
  <si>
    <t>พี่ตามฝัน ปฐมนิเทศ แจกขนม</t>
  </si>
  <si>
    <t>แตงกวา สิ่งแวดล้อม</t>
  </si>
  <si>
    <t>กิมมี่ สิ่งแวดล้อม</t>
  </si>
  <si>
    <t>มีน่า สิ่งแสดล้อม</t>
  </si>
  <si>
    <t>ปันปัน สิ่งแวดล้อม</t>
  </si>
  <si>
    <t>แตงกวา รู้จักกันตอนมาสอบเคมีแต่อยู่กันคนละกลุ่มตอนทำกิจกรรม;-;</t>
  </si>
  <si>
    <t>1.พี่จ๊ะจ๋า โยธา 2.พี่เฟียร์ สิ่งแวดล้อม 3.พี่ตี๋ สิ่งแวดล้อม</t>
  </si>
  <si>
    <t>พี่เฟียร์เข้ามาถามชื่อแล้วบแกว่าเป็นพี่รหัสแต่ไม่เชื่อหรอก</t>
  </si>
  <si>
    <t>ก้อง ENV</t>
  </si>
  <si>
    <t>เจนนิส ENV</t>
  </si>
  <si>
    <t>จอร์ช CV</t>
  </si>
  <si>
    <t>เชอร์แมน CE</t>
  </si>
  <si>
    <t>รู้จักเจนนิสจากการไปถ่ายรูปรวมตอนเช้า ประทับใจในความเก่งของเพื่อน</t>
  </si>
  <si>
    <t>พี่แชมป์ CE หวาน ENV เฟียENV</t>
  </si>
  <si>
    <t>แชมป์ CV รู้จักจากตอนที่ไป kmutt on tour  ขี้เล่นนิสัยดี</t>
  </si>
  <si>
    <t>ดั้มเป้อ CE</t>
  </si>
  <si>
    <t>เอิร์ท CHE</t>
  </si>
  <si>
    <t>ต้นกล้า CPE</t>
  </si>
  <si>
    <t>ปลื้ม จากฐานที่2 ฐานดึงกระดาษ</t>
  </si>
  <si>
    <t>เปา ME ปอน ME ต้นอ้อ ME</t>
  </si>
  <si>
    <t>เปา ME ช่วงรอปฐมนิเทศช่วงบ่าย</t>
  </si>
  <si>
    <t>แพท โยธา</t>
  </si>
  <si>
    <t>น้ำซีโยธา</t>
  </si>
  <si>
    <t>บอส เซมิ</t>
  </si>
  <si>
    <t>ม่อน อยู่ด้วยกันทั้งกิจกรรม</t>
  </si>
  <si>
    <t>พี่จ๊ะจ๋าโยธา พี่อัลมอนด์ไฟฟ้า พี่หมีโยธา</t>
  </si>
  <si>
    <t>พี่จ๊ะจ๋าอยู่รอถ่ายรูป</t>
  </si>
  <si>
    <t>ซี ปลายฟ้า กิฟ ต้นข้าว เปรี้ยว</t>
  </si>
  <si>
    <t>ซี โยธาอินเตอร์</t>
  </si>
  <si>
    <t>ปลายฟ้า โยธาภาคปก</t>
  </si>
  <si>
    <t>กิ๊ฟ โยธา</t>
  </si>
  <si>
    <t>ต้นข้าว โยธา</t>
  </si>
  <si>
    <t>ซี รู้จักจากกิจกรรมรับน้องวิศวะวันที่26 ตอนบ่าย เพื่อนเข้ามาทัก</t>
  </si>
  <si>
    <t>พี่จ๊ะจ้าce พี่ปันee พี่หมีce</t>
  </si>
  <si>
    <t>พี่หมีรู้จักเพราะต้องทำแบบทดสอบก่อนหน้านี้</t>
  </si>
  <si>
    <t>เปรม ภาคโยธา</t>
  </si>
  <si>
    <t>ต้า ภาคโยธา อินเตอร์</t>
  </si>
  <si>
    <t>กัปตัน ภาคเครื่องกล</t>
  </si>
  <si>
    <t>เปรม เจอเพื่อนจากกิจกรรม hands on</t>
  </si>
  <si>
    <t>พี่ปอน ภาคเครื่องกล พี่ไอซ์ ภาคคอมพิวเตอร์ พี่ขนุน ภาคอุตสาหการ</t>
  </si>
  <si>
    <t>พี่บอส ISE เจอที่ฐานกิจกรรม</t>
  </si>
  <si>
    <t>เนปจูนceภาคปก กิฟท์ceภาคปก เปรี้ยวceภาคปก แพทceภาคปก ปูปั้นceภาคปก ซีceอินเตอร์ เจ้ดceอินเตอร์ ไดม่อนceภาคปก โมจิ ceภาคปก</t>
  </si>
  <si>
    <t>เนปจูนceภาคปก</t>
  </si>
  <si>
    <t xml:space="preserve"> กิฟท์ceภาคปก</t>
  </si>
  <si>
    <t xml:space="preserve"> เปรี้ยวceภาคปก</t>
  </si>
  <si>
    <t xml:space="preserve">แพทceภาคปก </t>
  </si>
  <si>
    <t xml:space="preserve">ปูปั้นceภาคปก </t>
  </si>
  <si>
    <t>ซีceอินเตอร์ เจ้ดceอินเตอร์ ไดม่อนceภาคปก โมจิ ceภาคปก</t>
  </si>
  <si>
    <t>เนปจูน รู้จักมาจากค่ายcivil camp เพื่อนน่ารักมีนํ้าใจ</t>
  </si>
  <si>
    <t>พี่จ๊ะจ๋า พีหมี พี่อัลมอนด์</t>
  </si>
  <si>
    <t>พี่จ๊ะจ๋า รู้จักตอนมาเข้าค่ายcivil camp พี่ใจดีมากๆน่ารัก</t>
  </si>
  <si>
    <t>เนส ระบบควบคุมและเครื่องมือวัด</t>
  </si>
  <si>
    <t>พีช เมคคาทรอนิกส์</t>
  </si>
  <si>
    <t>พี อิเล็กทรอนิกส์และโทรคมนาคม</t>
  </si>
  <si>
    <t>ซัน คอมพิวเตอร์</t>
  </si>
  <si>
    <t>โคจัง อิเล็กทรอนิกส์และโทรคมนาคม</t>
  </si>
  <si>
    <t>พี จากกิจกรรมfirst meeting</t>
  </si>
  <si>
    <t>กานต์ene โชคดีene เคนene</t>
  </si>
  <si>
    <t>พี่โชคดี จากfirst meeting และตี๋น้อย</t>
  </si>
  <si>
    <t>ภู CHE</t>
  </si>
  <si>
    <t>อิษ CHE</t>
  </si>
  <si>
    <t>ไบร์ท CHE</t>
  </si>
  <si>
    <t>โอนิกซ์ CHE</t>
  </si>
  <si>
    <t>อาเสี่ย CHE</t>
  </si>
  <si>
    <t>รู้จักอิษตอนลงทะเบียนกิจกรรม พากันไปจุดลงทะเบียนของคุณะ</t>
  </si>
  <si>
    <t>พี่กาฟิว CHE พี่ตามขวัญ CHE พี่ไออุ่น CHE</t>
  </si>
  <si>
    <t>พี่หาฟิว รู้จักตอนลงทะเบียนพี่ให้คำแนะนำทุกอย่าง คุยสนุกเป็นกันเอง</t>
  </si>
  <si>
    <t>ปาม โยธา</t>
  </si>
  <si>
    <t>ปั้น โยธา เจอจากการลงวิชาhand-on</t>
  </si>
  <si>
    <t>1.พี่ไลอ้อน โยธา 2.พี่แชมป์ โยธา 3.พี่ดรีม โยธา</t>
  </si>
  <si>
    <t>พี่แชมป์ เจอในค่ายCivil camp 20 ช่วยทำกิจกรรม</t>
  </si>
  <si>
    <t>ซีCE(อินเตอร์)</t>
  </si>
  <si>
    <t>เปรี้ยวCE(ปก)</t>
  </si>
  <si>
    <t>เจ็ทCE(อินเตอร์)</t>
  </si>
  <si>
    <t>พลูCE(ภาคปก)</t>
  </si>
  <si>
    <t>เนปจูนCE(ภาคปก)</t>
  </si>
  <si>
    <t>เคCE(ภาคปก)</t>
  </si>
  <si>
    <t>ชมพู่CE(อินเตอร์)</t>
  </si>
  <si>
    <t>พลู รู้จักเพราะนั่งรอขึ้นตึกเลยหันไปทักทายเพื่อนใหม่ เพื่อนเฟรนลี่มากกก เป็นอินโทรเวิร์ด</t>
  </si>
  <si>
    <t>1.พี่อัลมอนด์ENE 2.พี่จ๊ะจ๋าCE 3.พี่หอมCE</t>
  </si>
  <si>
    <t>พี่จ๊ะจ๋า รู้จักตอนรอถ่ายรูปกับป้ายโยธาเลยได้คุยกับพี่ๆ</t>
  </si>
  <si>
    <t>วัฒน์ เจอกันตอนเรียน รด แล้วมาเจอกันที่มอต่อคณะเดียวสาขาเดียวแต่คนละภาค</t>
  </si>
  <si>
    <t>วัฒน์ INC</t>
  </si>
  <si>
    <t>เจ EE</t>
  </si>
  <si>
    <t>เตชิน เครื่องมือและวัสดุ</t>
  </si>
  <si>
    <t>ชิน CE</t>
  </si>
  <si>
    <t>ตี๋ INC</t>
  </si>
  <si>
    <t>ตรวจสุขภาพแล้วเจอกัน</t>
  </si>
  <si>
    <t>พี่ไอซ์(โยธา) พี่อาร์ท(INC) ปลั๊ก(INC)</t>
  </si>
  <si>
    <t>พี่ไอซ์ เพราะว่าเขาพาทำกิจกรรม</t>
  </si>
  <si>
    <t>นาโน CE</t>
  </si>
  <si>
    <t>แอม CE</t>
  </si>
  <si>
    <t>ไอซ์ CE</t>
  </si>
  <si>
    <t>รู้จักกับไอซ์เพราะกิจกรรมปฐมนิเทศ เพราะไอซ์เป็นเพื่อนของเพื่อน เลยได้ไปนั่งกินข้าวด้วยกัน</t>
  </si>
  <si>
    <t>พี่จ๊ะจ๋า CE, พี่แชมป์ CE, พี่ขนุน CE</t>
  </si>
  <si>
    <t>พี่จ๊ะจ๋า รู้จักเพราะเคยเป็นรุ่นน้องในค่าย civil camp และเมื่อวานได้เจอในกิจกรรมปฐมนิเทศจึงมีโอกาสได้พูดคุย</t>
  </si>
  <si>
    <t>ต้นรักCE</t>
  </si>
  <si>
    <t>อาร์มCE</t>
  </si>
  <si>
    <t>บีมCE</t>
  </si>
  <si>
    <t>เฟิร์นCE</t>
  </si>
  <si>
    <t>ปลื้ม คุยกันในห้องน้ำ</t>
  </si>
  <si>
    <t>มีน Eve. เบส เครื่องมือวัสดุ  เอิร์ทene</t>
  </si>
  <si>
    <t>กินข้าวที่โรงอาหารด้วยกัน</t>
  </si>
  <si>
    <t>โดม  อุต</t>
  </si>
  <si>
    <t>อาร์ม เซมิ</t>
  </si>
  <si>
    <t>ต็อด เจอกันในค่ายติว</t>
  </si>
  <si>
    <t>ผมไม่รู้คับ ผมไม่รู้คับ</t>
  </si>
  <si>
    <t>พี่เเอม เจอในค่ายติวครับ</t>
  </si>
  <si>
    <t>เตชิน (วิศวกรรมคอมพิวเตอร์)</t>
  </si>
  <si>
    <t>การ์ด (AE)</t>
  </si>
  <si>
    <t>วิน (วิศวกรรมระบบควบคุมและเครื่องมือวัด)</t>
  </si>
  <si>
    <t>ธันวา (อุตสาหกรรมและการประกอบการธุรกิจ)</t>
  </si>
  <si>
    <t>เตชิน เจอกันในกิจกรรมปฐมนิเทศวันที่ 25 ฐานเอชบอล ชินเป็นคนที่เห็นและรู้เลยว่าเล่นกล้ามกล้ามโตมากและอีกอย่างที่ทำให้จดจำคือเป็นคนที่มีเอนเนอร์จีเยอะมากๆในการทำกิจกรรมค่อนข้างดีดเลยแหละ อยู่ด้วยก็สนุกกว่าคนอื่นเลย535353</t>
  </si>
  <si>
    <t>อาร์ท (INC) ปลัก(INC) ไอซ์(โยธา)</t>
  </si>
  <si>
    <t>ไอซ์ พี่เป็นคนพูดไมค์พิธีกรฐานแรกที่ผมทำเมื่อวันที่ 25 ครับ พี่เป็นคนตลกเฟรลลี่พุดไปเรื่อย แต่เป็นรุ่นพี่ที่ดูแลรุ่นน้องอย่างดีครับ</t>
  </si>
  <si>
    <t>Nine nice bless Angie nana PP pun</t>
  </si>
  <si>
    <t>Nine - environmental engineering (inter)</t>
  </si>
  <si>
    <t>Nice -environmental engineering (inter)</t>
  </si>
  <si>
    <t>Bless -environmental engineering (inter)</t>
  </si>
  <si>
    <t>Angie -environmental engineering (inter)</t>
  </si>
  <si>
    <t>Nana -environmental engineering (inter)</t>
  </si>
  <si>
    <t>PP-computer engineering (inter)</t>
  </si>
  <si>
    <t>Nice play base2 because her team is same with me beyond group I feel funny with activity.</t>
  </si>
  <si>
    <t>P'Nine i talked with him about  school because he is from same high school.</t>
  </si>
  <si>
    <t>P'Nine P'toon P'pet</t>
  </si>
  <si>
    <t>มุก ENV เพื่อนเป็นคนที่ชวนคุยเก่งไปไหนมาไหนด้วยกัน</t>
  </si>
  <si>
    <t>พลอย ENV เพื่อนเป็นกันเองมากกกถึงจะคนละภาค</t>
  </si>
  <si>
    <t>ฟ้า ENV ชอบความเฟรนลี่เป็นกันเองไปไหนไปกัน</t>
  </si>
  <si>
    <t>ทิพ ENV เพื่อนเป็นคนรั่วๆและพูดอีสานด้วยกันสนุกมากก</t>
  </si>
  <si>
    <t>ปีใหม่ ENV เพื่อนน่ารักมากๆ</t>
  </si>
  <si>
    <t>ทิพ ENV รู้จักกับทิพตอนจะไปกินข้าวหน้าม.แต่ฝนตกแล้วพากันรั่ว</t>
  </si>
  <si>
    <t>พี่ตี๋ พี่เฟีย ENV ,พี่จ๊ะจ๋า โยธา</t>
  </si>
  <si>
    <t>พี่ตี๋ จากกิจกรรมปฐมนิเทศพี่ตี๋เป็นพิธีกรได้เริ่ดมากก</t>
  </si>
  <si>
    <t>อุ้ม CE</t>
  </si>
  <si>
    <t>ก้อง CE</t>
  </si>
  <si>
    <t>ก้อง รุ้จักจากกิจกรรมเล่นเกมเวลา นั่งคุยกัน</t>
  </si>
  <si>
    <t>แชมป์ CE จ๊ะจ๋า CE ขนุนCE</t>
  </si>
  <si>
    <t>พี่แชมป์ เจอตอนเข้าแถวเตรียมถ่ายรูป รู้จักตอนcivilcamp</t>
  </si>
  <si>
    <t>ทุกคน CHE</t>
  </si>
  <si>
    <t>ต้นข้าว CHE</t>
  </si>
  <si>
    <t>ระมิงค์ CHE</t>
  </si>
  <si>
    <t>มายด์ CHE</t>
  </si>
  <si>
    <t>ภู กิจกรรมฐานเมื่อวาน</t>
  </si>
  <si>
    <t>พี่ออโต้ พี่ออม พี่ตามฟัน</t>
  </si>
  <si>
    <t>พี่ตามฟัน เสื้อเขียวนีออน</t>
  </si>
  <si>
    <t>เซิ้น CPE</t>
  </si>
  <si>
    <t>เซฟ CPE</t>
  </si>
  <si>
    <t>ต่อ CPE</t>
  </si>
  <si>
    <t>เฟม CPE</t>
  </si>
  <si>
    <t>เซิ้น เจอก่อนจะมาทำกิจกรรมอีกคับ</t>
  </si>
  <si>
    <t>ผมคิดไม่ออกคับ💀</t>
  </si>
  <si>
    <t>บอล CPE</t>
  </si>
  <si>
    <t>อุ๊กตู๋ CPE</t>
  </si>
  <si>
    <t>ปุณย์ CPE</t>
  </si>
  <si>
    <t>ไจ่ไจ๋ CPE</t>
  </si>
  <si>
    <t>พีค CPE</t>
  </si>
  <si>
    <t>บอล CPE เจอกันตอนกิจกรรมยิงเรือ</t>
  </si>
  <si>
    <t>พี่ปาย พี่ฟลุ๊ค</t>
  </si>
  <si>
    <t>วันนี้มีพี่น้ำ พี่ปาย พี่ฟลุ๊ค พี่กันต์ พี่ก้อง พี่ข้าวฟ่าง พี่แทนไท</t>
  </si>
  <si>
    <t>โฟล์ค TEN</t>
  </si>
  <si>
    <t>พี ME</t>
  </si>
  <si>
    <t>พรีม ENE</t>
  </si>
  <si>
    <t>เปรม ไปเที่ยวด้วยกัน</t>
  </si>
  <si>
    <t>พี่ไวท์ เครื่องกล พี่ปอนด์ เครื่องกล พี่ชมพู่ เครื่องกล</t>
  </si>
  <si>
    <t>พี่ขนุน เป็นพิธีกรของการปฐมนิเทศ</t>
  </si>
  <si>
    <t>Chom env</t>
  </si>
  <si>
    <t>Beam env</t>
  </si>
  <si>
    <t>Cella env</t>
  </si>
  <si>
    <t>Memee ene</t>
  </si>
  <si>
    <t>Diff env</t>
  </si>
  <si>
    <t xml:space="preserve">Eat together very delicious </t>
  </si>
  <si>
    <t>Not have moment</t>
  </si>
  <si>
    <t>Not have senior</t>
  </si>
  <si>
    <t>โฟร์ env</t>
  </si>
  <si>
    <t>แซก  AE</t>
  </si>
  <si>
    <t>พอเพียง  PE</t>
  </si>
  <si>
    <t>พอเพียง กิจกรรมปฐมนิเทศวิศวกรรมศาสตร์</t>
  </si>
  <si>
    <t>พี่หวาน พี่เฟีย พี่ภูมิ env</t>
  </si>
  <si>
    <t>พี่เฟียมีความเป็นผู้นำ ตลกๆ</t>
  </si>
  <si>
    <t>แต๊งค์ สิ่งแวดล้อม</t>
  </si>
  <si>
    <t>กู๊ดไนท์ ae</t>
  </si>
  <si>
    <t>แต๊งค์ เจอกันตอนทำกิจกรรมวันที่25</t>
  </si>
  <si>
    <t>พี่หงส์inc พี่ตี๋สิ่งแวดล้อม พี่หมีinc</t>
  </si>
  <si>
    <t>พี่หงส์ ปฐมนิเทศวันที่ 26</t>
  </si>
  <si>
    <t>บังดอน ENE</t>
  </si>
  <si>
    <t>พีพี ENE</t>
  </si>
  <si>
    <t>นานะ ENE</t>
  </si>
  <si>
    <t>เคน ENE</t>
  </si>
  <si>
    <t>โดโด้ ENE</t>
  </si>
  <si>
    <t>นานะ รู้จักจากการคุยเรื่องสาวๆ</t>
  </si>
  <si>
    <t>โชคดี เตย์ บอส ENE</t>
  </si>
  <si>
    <t>โชคดี พี่เข้าเข้ามาถ่ายรูปแล้วพูดคุยด้วย</t>
  </si>
  <si>
    <t>They’re enjoy with the event and fun for this</t>
  </si>
  <si>
    <t xml:space="preserve">C from Civil Engineering </t>
  </si>
  <si>
    <t xml:space="preserve">Pluem from civil engineering </t>
  </si>
  <si>
    <t xml:space="preserve">Namo from civil engineering </t>
  </si>
  <si>
    <t xml:space="preserve">Max from civil engineering </t>
  </si>
  <si>
    <t xml:space="preserve">Ton from civil engineering </t>
  </si>
  <si>
    <t xml:space="preserve">J from civil engineering </t>
  </si>
  <si>
    <t>ได้คุยเนื้อหาวิชาการ สนุกดีครับ</t>
  </si>
  <si>
    <t>พี่ๆแนะนำเรื่องการเรียนตอนปี1ครัย</t>
  </si>
  <si>
    <t>พี่จะจ๋า เม๋ย โอม</t>
  </si>
  <si>
    <t>ต้นปาล์ม ปลื้ม นะโม เซนส์ ปริ้นส์ ภาคิน เปนเพื่อนที่ดี</t>
  </si>
  <si>
    <t>ต้นปาล์ม ce</t>
  </si>
  <si>
    <t>ปลื้มce</t>
  </si>
  <si>
    <t>นะโมce</t>
  </si>
  <si>
    <t>เซนส์ce</t>
  </si>
  <si>
    <t>ปริ้นส์ce</t>
  </si>
  <si>
    <t>ภาคินce</t>
  </si>
  <si>
    <t>ปริ้นส์ เปนคนตลกพุดตลกมาก</t>
  </si>
  <si>
    <t>พี่จ๊ะจ๋าปี2ใจดีมาก</t>
  </si>
  <si>
    <t>พี่จ๊ะจ๋า เม๋ โอม</t>
  </si>
  <si>
    <t xml:space="preserve">Bible Chemical engineer </t>
  </si>
  <si>
    <t xml:space="preserve">Pong Chemical engineer </t>
  </si>
  <si>
    <t xml:space="preserve">Panda Chemical engineer </t>
  </si>
  <si>
    <t xml:space="preserve">Sense Chemical engineer </t>
  </si>
  <si>
    <t xml:space="preserve">Yuta electronics engineer </t>
  </si>
  <si>
    <t xml:space="preserve">Peng Chemical engineer </t>
  </si>
  <si>
    <t>Pong Hand on. Doing activities together; we have good personalities.</t>
  </si>
  <si>
    <t>I don't remember his name, but he was at the activity base and he was a really nice guy.</t>
  </si>
  <si>
    <t>I don't remember his name. chemical engineer , but he was at the activity base and he was a really nice guy.</t>
  </si>
  <si>
    <t xml:space="preserve">Suphawadee </t>
  </si>
  <si>
    <t>Boonsong</t>
  </si>
  <si>
    <t>Tan ENV</t>
  </si>
  <si>
    <t>IQ ITCE</t>
  </si>
  <si>
    <t>Gaw ITCE</t>
  </si>
  <si>
    <t>Kong ENV</t>
  </si>
  <si>
    <t>AJ ITCE</t>
  </si>
  <si>
    <t>AJ, we met in front of the gym yesterday but it was closed so we chat and went for dinner together with two other friends.</t>
  </si>
  <si>
    <t>Met a senior called "เหมย" in hands on classes FEN10105, don't remember her department tho</t>
  </si>
  <si>
    <t xml:space="preserve">Sorry, I don't remember </t>
  </si>
  <si>
    <t>Perm ce</t>
  </si>
  <si>
    <t>Beam ce</t>
  </si>
  <si>
    <t>Tonrak ce</t>
  </si>
  <si>
    <t>Arm ce</t>
  </si>
  <si>
    <t>Fern ce</t>
  </si>
  <si>
    <t xml:space="preserve">Perm. We played gym together. </t>
  </si>
  <si>
    <t xml:space="preserve">P’ Mean. Control the class environment. </t>
  </si>
  <si>
    <t xml:space="preserve">P’Mean env
P’Earth ene 
P’Best material </t>
  </si>
  <si>
    <t>เอมมี่ ภาควิชาวิศวกรรมสิ่งแวดล้อม</t>
  </si>
  <si>
    <t>อากัส ภาควิชาวิศวกรรมสิ่งแวดล้อม</t>
  </si>
  <si>
    <t>เคน ภาควิชาวิศวกรรมสิ่งแวดล้อม</t>
  </si>
  <si>
    <t>โอ้ต ภาควิชาวิศวกรรมโยธา</t>
  </si>
  <si>
    <t>นาย ภาควิชาวิศวกรรมสิ่งแวดล้อม</t>
  </si>
  <si>
    <t>อากัส รู้จักจากกิจกรรมล่องเรือ ชีเม้าส์สนุกก</t>
  </si>
  <si>
    <t>พี่ภูมิ ภาควิชาวิศวกรรมสิ่งแวดล้อม พี่หวาน ภาควิชาวิศวกรรมสิ่งแวดล้อม พี่แชมป์ ภาควิชาวิศวกรรมโยธา</t>
  </si>
  <si>
    <t>พี่หวาน พี่ๆดูแลน้องดี ถ่ายรูปให้</t>
  </si>
  <si>
    <t>ใบตอง ภาควิศวกรรมสิ่งแวดล้อม</t>
  </si>
  <si>
    <t>เคน ภาควิศวกรรมสิ่งแวดล้อม</t>
  </si>
  <si>
    <t>อากัส ภาควิศวกรรมสิ่งแวดล้อม</t>
  </si>
  <si>
    <t>โอ๊ต ภาควิศวกรรมโยธา</t>
  </si>
  <si>
    <t>ไทเกอร์ ภาควิศวกรรมสิ่งแวดล้อม</t>
  </si>
  <si>
    <t>นาย ภาควิศวกรรมสิ่งแวดล้อม</t>
  </si>
  <si>
    <t>ใบตอง รู้จักจากกิจกรรมhands on</t>
  </si>
  <si>
    <t>1.พี่ภูมิ ภาควิศวกรรมสิ่งแวดล้อม 2.พี่น้ำหวาน ภาควิศวกรรมสิ่งแวดล้อม 3.แชมป์ ภาควิศวกรรมโยธา</t>
  </si>
  <si>
    <t xml:space="preserve">พี่ภูมิ กิจกรรมปฐมนิเทศวิศวกรรมศาสตร์ </t>
  </si>
  <si>
    <t>NUN - INC(AE)</t>
  </si>
  <si>
    <t>Plai - INC(AE)</t>
  </si>
  <si>
    <t>Fern - INC</t>
  </si>
  <si>
    <t>Tan - INC(AE)</t>
  </si>
  <si>
    <t>Ploy - INC(AE)</t>
  </si>
  <si>
    <t>Nun because the first time I met him, he was friendly and easy to get along with.</t>
  </si>
  <si>
    <t>Hong wha, participate in the engineering orientation activities.</t>
  </si>
  <si>
    <t>Art INC. Hong wha INC</t>
  </si>
  <si>
    <t>ม่อน CE</t>
  </si>
  <si>
    <t>ต้า CE</t>
  </si>
  <si>
    <t>ลัค CE</t>
  </si>
  <si>
    <t>เปรม CE</t>
  </si>
  <si>
    <t>ต้า CE เล่นเกมแพ้</t>
  </si>
  <si>
    <t>พี่ปอน เครื่องกล พี่ไอซ์ CPE พี่ขนุน ภาคอุต</t>
  </si>
  <si>
    <t>พี่ปอน เพราะตบมุกโหด</t>
  </si>
  <si>
    <t>มาโปรด CE</t>
  </si>
  <si>
    <t>เหนือ เจอกันตอนกินข้าวกับเพื่อนในกลุ่ม</t>
  </si>
  <si>
    <t>พี่ค๊อฟ สอบถามและปรึกษาเรื่องการเข้ามหาลัย</t>
  </si>
  <si>
    <t>Stam Electrical Engineering</t>
  </si>
  <si>
    <t>Ploy Electrical Engineering</t>
  </si>
  <si>
    <t>ออมทรัพย์ chemical engineering</t>
  </si>
  <si>
    <t>ปลายฟ้า Control Systems and Instrumentation Engineering</t>
  </si>
  <si>
    <t>Muse Control Systems and Instrumentation Engineering</t>
  </si>
  <si>
    <t xml:space="preserve">Stam -  I met Stam during the 12 O’Clock activity. </t>
  </si>
  <si>
    <t xml:space="preserve">P’อาย - ( Mechanical engineering )was the host of the 12 O’Clock activity. </t>
  </si>
  <si>
    <t>P’Tin - Control Systems and Instrumentation Engineering , P’Mina - Control Systems and Instrumentation Engineering , P’อาย Mechanical engineering</t>
  </si>
  <si>
    <t>ปฐมนิเทศ</t>
  </si>
  <si>
    <t>ดอน ENE</t>
  </si>
  <si>
    <t>พี ENE</t>
  </si>
  <si>
    <t>โด้ ENE</t>
  </si>
  <si>
    <t>น่ะน่ะ ENE</t>
  </si>
  <si>
    <t>พีจากกิจกรรมโยนบอล</t>
  </si>
  <si>
    <t>พี่ปุณENE,พี่โชคดีENE,พี่ต้นน้ำENE</t>
  </si>
  <si>
    <t>พี่ปุณเพราะเป็นพี่รหัส</t>
  </si>
  <si>
    <t>Kate – Computer Engineering (CPE)</t>
  </si>
  <si>
    <t>Mangkon– Electrical Engineering</t>
  </si>
  <si>
    <t>Save – Electrical Engineering</t>
  </si>
  <si>
    <t>Ice – Automation Engineering</t>
  </si>
  <si>
    <t>Pluem – INC</t>
  </si>
  <si>
    <t>Arm-INC</t>
  </si>
  <si>
    <t>I met Kate, a Computer Engineering (CPE) student from the Faculty of Engineering during the orientation programme on Saturday 25 July. We were on the same team for several activities and we did alot things including dodgeball and filling thr ball in a basket challenge while working together it gave us the chance to talk, introduce ourselves and exchange social media accounts. Kate's friendly personality and teamwork made a lasting impression on me and that's how we became best of friends.</t>
  </si>
  <si>
    <t>I met P'P an indian student and a second-year Automation Engineering student who is about to enter her third year in king mogkut university of technology during the orientation programmee. She approached me because I am an international student who didn't undrrstand thai language and kindly helped translate information whenever I needed assistance because i always asked her for help. Since we are in the same department she also shared useful advice about the Automation Engineering programme, including tips on navigating the courses and university life. We exchanged social media accounts, and her kindness and willingness to help made her especially memorable to me and I appreciated it so much.</t>
  </si>
  <si>
    <t>I met P'P, Pat and Sugar during the
second to last activity at the orientation programme on 25 July. They noticed that I am an international student and kindly helped translate the instructions and conversations for me whenever I had difficulty understanding Thai. Their friendliness and willingness to help made me feel more comfortable and included in the activities. We talked, got to know each other, and exchanged social media accounts. Their support made the orientation a much more enjoyable and memorable experience.</t>
  </si>
  <si>
    <t>Jele ENV</t>
  </si>
  <si>
    <t>Copter ENV</t>
  </si>
  <si>
    <t>Atom ME</t>
  </si>
  <si>
    <t>Zen ME</t>
  </si>
  <si>
    <t>Atom is a friend from their old school, and they came together.</t>
  </si>
  <si>
    <t>Waan met while taking photos.</t>
  </si>
  <si>
    <t>พี่หวาน พี่มีน พี่ภูมิ ENV</t>
  </si>
  <si>
    <t>โบนัส ENE</t>
  </si>
  <si>
    <t>เพิร์ช ENE</t>
  </si>
  <si>
    <t xml:space="preserve">พิมพ์ รู้จักเพื่อนจากกิจกรรมสอบวัดระดับ </t>
  </si>
  <si>
    <t xml:space="preserve">พี่เบนซ์ENE พี่แพมENE </t>
  </si>
  <si>
    <t>พี่เบนซ์ พี่คอยดูแลและเล่าประสบการณ์จากการเรียนที่ผ่านมา</t>
  </si>
  <si>
    <t>1.1 พอตเตอร์ ENV 1.2 นิ</t>
  </si>
  <si>
    <t>คอบเตอ ENV</t>
  </si>
  <si>
    <t>โอ๊ต MCE</t>
  </si>
  <si>
    <t>ลูกตาล ตอนกินข้าวเสร็จกำลังจะไปทำกิจกรรมต่อ</t>
  </si>
  <si>
    <t>พี่หวาน ตอนเข้าแถวรอถ่ายรูป</t>
  </si>
  <si>
    <t>คอปเตอร์</t>
  </si>
  <si>
    <t>พี เครื่องกล</t>
  </si>
  <si>
    <t>อยู่ขณะเดียวกัน</t>
  </si>
  <si>
    <t>พี่เปา เครื่องกล ต้นอ้อ เครื่องกล ปอม เครื่องกล</t>
  </si>
  <si>
    <t>พี่เปา เครื่องกล แนะนำตัว</t>
  </si>
  <si>
    <t>ปุณ CPE</t>
  </si>
  <si>
    <t>จีน CE</t>
  </si>
  <si>
    <t>ปุณ ได้คุยกันเล็กน้อยตอนกิจกรรมฐาน นัดเวลาอะไรซักอย่างครับ</t>
  </si>
  <si>
    <t>มีพี่น้ำ พี่ปาย พี่ฟลุ๊ค พี่กันต์ พี่ก้อง พี่ข้าวฟ่าง พี่แทนไท</t>
  </si>
  <si>
    <t>ทุกคนเลยครับ ผมจำไม่ได้ว่าใครทำอะไร แต่เมื่อเช้าพี่ๆทุกคนดูแลดีมากเลยครับ</t>
  </si>
  <si>
    <t>โมเมย์ me</t>
  </si>
  <si>
    <t>ลิ้ง ene</t>
  </si>
  <si>
    <t>ออม inc</t>
  </si>
  <si>
    <t>เมศ รู้จักผ่านเพือนของเพือนที่ รร เก่า คุยกันถูกคอเลยไปนั่งกินชากันต่อ</t>
  </si>
  <si>
    <t>พี่ปอน me พี่แพรวpe พี่แก้มme</t>
  </si>
  <si>
    <t>พี่ปอน me ไเจ้เจอพี่แกยืนเลยเข้าไปคุยด้วยในกิจกรรมหาเวลานัด ประทับใจเพราะพี่เป้นเจ้าพ่อคารมดี</t>
  </si>
  <si>
    <t>Jeen ce</t>
  </si>
  <si>
    <t>Ing me</t>
  </si>
  <si>
    <t>Pink tme</t>
  </si>
  <si>
    <t>Ongsa cpe</t>
  </si>
  <si>
    <t>Indy ame</t>
  </si>
  <si>
    <t>Max ce</t>
  </si>
  <si>
    <t xml:space="preserve">Jeen- make friends at smo activities </t>
  </si>
  <si>
    <t xml:space="preserve">P’Maysa me - share information about pre test </t>
  </si>
  <si>
    <t>P’Jin ce , P’Jay chem , P’Pond</t>
  </si>
  <si>
    <t>เต็งหนึ่ง eie</t>
  </si>
  <si>
    <t>เพอส ene</t>
  </si>
  <si>
    <t>ไอซ์ ee จากกิจกรรม ยิงเรือ จดจำเพราะว่าเพื่อนเป็นคนสนุกสนาน</t>
  </si>
  <si>
    <t>พี่ไอซ์ ene พี่มอส ene พี่ติณ ene</t>
  </si>
  <si>
    <t>พี่ไอซ์ ได้รู้จักจาก ENE First meet ประทับใจในความเฟรนลี่ของพี่</t>
  </si>
  <si>
    <t>Plume Ae</t>
  </si>
  <si>
    <t>Jayj me</t>
  </si>
  <si>
    <t>Tee me</t>
  </si>
  <si>
    <t>Din ae</t>
  </si>
  <si>
    <t xml:space="preserve">Tee We met while playing board games. at gar dan tar sor </t>
  </si>
  <si>
    <t xml:space="preserve">P’Art met him at CB4  </t>
  </si>
  <si>
    <t>Art INC
Mink INC
Nhamwan INC</t>
  </si>
  <si>
    <t>กามิน EE</t>
  </si>
  <si>
    <t>กร INC</t>
  </si>
  <si>
    <t>โฟกัส CPE</t>
  </si>
  <si>
    <t>กามิน เจอกันที่สนามฟุตชอบได้เล่นฟุตชิลด้วยกัน</t>
  </si>
  <si>
    <t>พี่ชีส CE พี่ซัน CE พี่ไลอ้อน CE</t>
  </si>
  <si>
    <t>พี่ชีท CE ตอบคำถามที่สงสัย</t>
  </si>
  <si>
    <t>เฟย์ ภาควิศวกรรมโยธา</t>
  </si>
  <si>
    <t>เต้ ภาควิศวกรรมโยธา</t>
  </si>
  <si>
    <t>ปอ ภาควิศวกรรมโยธา</t>
  </si>
  <si>
    <t>คุณหลวง ภาควิศวกรรมโยธา</t>
  </si>
  <si>
    <t>นาโน ภาควิศวกรรมโยธา</t>
  </si>
  <si>
    <t>ข้าวโอ๊ต ภาควิศวกรรมโยธา</t>
  </si>
  <si>
    <t>คุณหลวง รู้จักจากตอนเข้าเเถวรวมภาควิชา</t>
  </si>
  <si>
    <t>พี่ขนุน พี่เเชมป์ พี่จ๊ะจ๋า</t>
  </si>
  <si>
    <t>ตอนทำกิจกรรมปฐมนิเทศเเล้วมีโอกาสได้รู้จัก</t>
  </si>
  <si>
    <t>เมย เคมี</t>
  </si>
  <si>
    <t>Alice โยธาอินเตอร์</t>
  </si>
  <si>
    <t xml:space="preserve">จิน นั่งข้างกันตอนปฐมนิเทศที่ภาควิชา </t>
  </si>
  <si>
    <t>ไม่ รู้ เลย ค่ะ</t>
  </si>
  <si>
    <t xml:space="preserve">ไม่ รู้ เลย ค่ะ </t>
  </si>
  <si>
    <t>ปั้น สิ่งเเวดล้อม</t>
  </si>
  <si>
    <t>หม่อน เครื่องมือ</t>
  </si>
  <si>
    <t>เเซง เครื่องมือ</t>
  </si>
  <si>
    <t>กิ้ฟ โยธา</t>
  </si>
  <si>
    <t>นัท ปฐมนิเทศ ก็เตอกันเเล้วทักทายปกติ</t>
  </si>
  <si>
    <t>พี่เฟีย สิ่งเเวดล้อม พี่ตี๋ สิ่งเเวดล้อม มะเมี่ยว ครุ</t>
  </si>
  <si>
    <t xml:space="preserve">พี่ตี๋ ปฐมนิเทศ พูดเก่ง ตลก </t>
  </si>
  <si>
    <t>เคน สิ่งแวดล้อม</t>
  </si>
  <si>
    <t>ใบตอง สิ่งแวดล้อม</t>
  </si>
  <si>
    <t>เอมมี่ สิ่งแวดล้อม</t>
  </si>
  <si>
    <t>การ์ตูน เครื่องกล</t>
  </si>
  <si>
    <t>เคน เจอกันตอนจะไปกินข้าว ได้คุยกันเม้ามอยกัน</t>
  </si>
  <si>
    <t>พี่น้ำหวาน สิ่งแวดล้อม พี่ภูมิ สิ่งแวดล้อม พี่แชมป์ โยธา</t>
  </si>
  <si>
    <t>รู้จักพี่ภูมิจากฐานกิจกรรมเลี้ยงส่งบอล เป็นพี่ที่ดำเนินกิจกรรม</t>
  </si>
  <si>
    <t>ผักบุ้ง CHE</t>
  </si>
  <si>
    <t>ฟรอย CHE</t>
  </si>
  <si>
    <t>พู่ไหม CHE</t>
  </si>
  <si>
    <t>กัสจัง CHE</t>
  </si>
  <si>
    <t>เกรซ CHE</t>
  </si>
  <si>
    <t>เกรซ จากการเจอตอนมาภาค สะดุดฝาท่อเกือบล้มแต่กลับมาได้</t>
  </si>
  <si>
    <t>พี่โบนัส CHE พี่ปิ่น CHE พี่นำ้ค้าง CHE</t>
  </si>
  <si>
    <t>พี่โบนัส เดินสะดุดต่อหน้าพี่เค้า</t>
  </si>
  <si>
    <t>ชมพู่ ce</t>
  </si>
  <si>
    <t>พั้นซ์ ce</t>
  </si>
  <si>
    <t>น้ำฟ้า ce</t>
  </si>
  <si>
    <t>ไดม่อน ce</t>
  </si>
  <si>
    <t>แพรวา - ปฐมนิเทศ</t>
  </si>
  <si>
    <t>ไม่รู้ค่ะ ABC ไม่รู้ค่ะ ABC ไม่รู้ค่ะ ABC</t>
  </si>
  <si>
    <t xml:space="preserve">ไม่รู้ค่ะ ABC.  </t>
  </si>
  <si>
    <t>นัด ENE</t>
  </si>
  <si>
    <t>แม็ก ME</t>
  </si>
  <si>
    <t>รู้จักแม็กในกิจกรรม12นาฬิกา</t>
  </si>
  <si>
    <t>พี่แบมENV พี่บิวENV พี่โดนัทME</t>
  </si>
  <si>
    <t>รู้จักพี่ทั้งสามคนจากฐานกิจกรรม</t>
  </si>
  <si>
    <t>หมิง อยู่ APE รู้มือบัดดี้แน่นอน</t>
  </si>
  <si>
    <t>ยีน APE นิ่งๆไหลลึก นัดกันกินข้าวได้</t>
  </si>
  <si>
    <t>ชั่ง APE น่าจะเรียนเก่ง คุยกันตลก</t>
  </si>
  <si>
    <t>เซลซี่ APE นิสัยโอเคดีเลย คุยได้สนุก</t>
  </si>
  <si>
    <t>วิช EE สุ่มได้นั่งข้างกัน นิ่งๆ ทำควิชเด่ง555</t>
  </si>
  <si>
    <t>พี่โอเว่น เพื่อนจากเทพ เพื่อนๆในape</t>
  </si>
  <si>
    <t>วิช ได้ทำควิชข้างกันแล้วได้รางวัล</t>
  </si>
  <si>
    <t>พี่โอเว่น ใจถึงพึ่งได้555 สนุกเฮฮา</t>
  </si>
  <si>
    <t xml:space="preserve">ส้ม CE Inter </t>
  </si>
  <si>
    <t>ก้อง CE Inter</t>
  </si>
  <si>
    <t xml:space="preserve">หนูดี CE </t>
  </si>
  <si>
    <t>ยูนีฟ CE</t>
  </si>
  <si>
    <t>แม็ก CE</t>
  </si>
  <si>
    <t>รู้จักเพื่อนจากกิจกรรมปฐมนิเทศวันที่ 25 ได้ทำความรู้จักและพากันไปหาอะไรกิน</t>
  </si>
  <si>
    <t>พี่เมษา เครื่องกล พี่จิน โยธา</t>
  </si>
  <si>
    <t>พี่เมษา เครื่องกล รู้จักจากเพื่อนที่นั่งข้างๆ</t>
  </si>
  <si>
    <t>ออโต้  วิศวกรรมระบบควบคุมและเครื่องมือวัด</t>
  </si>
  <si>
    <t>แจน จากกิจกรรม 5 ฐาน เป็นเพื่อนคนแรกที่ได้คุยกัน</t>
  </si>
  <si>
    <t>พี่อาร์ต พี่เอย พี่น้ำหวาน วิศวกรรมระบบควบคุมและเครื่องมือวัด</t>
  </si>
  <si>
    <t>พี่อาร์ต ช่วยแนะนำและให้ข้อมูลต่างๆ</t>
  </si>
  <si>
    <t xml:space="preserve">ปาล์ม โยธา </t>
  </si>
  <si>
    <t xml:space="preserve">บลู โยธา </t>
  </si>
  <si>
    <t>มาเรียน Hand on</t>
  </si>
  <si>
    <t>พี่ข้าวหอม โยธา</t>
  </si>
  <si>
    <t xml:space="preserve">มาค่าย civil camp ด้วยกัน </t>
  </si>
  <si>
    <t>1. โอม – ภาควิชาวิศวกรรมเครื่องกล 2. ฟิล์ม – ภาควิชาวิศวกรรมคอมพิวเตอร์ 3. ปอนด์ – ภาควิชาวิศวกรรมไฟฟ้า 4. มายด์ – ภาควิชาวิศวกรรมโยธา 5. แพรว – ภาควิชาวิศวกรรมอุตสาหการ</t>
  </si>
  <si>
    <t xml:space="preserve"> โอม – ภาควิชาวิศวกรรมเครื่องกล</t>
  </si>
  <si>
    <t xml:space="preserve">    ฟิล์ม – ภาควิชาวิศวกรรมคอมพิวเตอร์</t>
  </si>
  <si>
    <t xml:space="preserve">    ปอนด์ – ภาควิชาวิศวกรรมไฟฟ้า</t>
  </si>
  <si>
    <t xml:space="preserve">    มายด์ – ภาควิชาวิศวกรรมโยธา</t>
  </si>
  <si>
    <t xml:space="preserve">    แพรว – ภาควิชาวิศวกรรมอุตสาหการ</t>
  </si>
  <si>
    <t xml:space="preserve"> โอ๊ต – ภาควิชาวิศวกรรมอิเล็ก</t>
  </si>
  <si>
    <t>รู้จักโอมจากกิจกรรมละลายพฤติกรรม ได้อยู่กลุ่มเดียวกันและช่วยกันทำกิจกรรมตลอด ทำให้ได้พูดคุยและรู้สึกว่าเป็นกันเอง จึงประทับใจและจำได้</t>
  </si>
  <si>
    <t>1. พี่บอส – วิศวกรรมเครื่องกล 2. พี่เฟิร์ส – วิศวกรรมไฟฟ้า 3. พี่เจมส์ – วิศวกรรมคอมพิวเตอร์</t>
  </si>
  <si>
    <t>รู้จักพี่บอสจากกิจกรรมแนะนำคณะและฐานกิจกรรม พี่คอยแนะนำเรื่องการเรียน การใช้ชีวิตในมหาวิทยาลัย และตอบคำถามอย่างเป็นกันเอง ทำให้รู้สึกประทับใจ</t>
  </si>
  <si>
    <t>เกจิ วิศวกรรมไฟฟ้า</t>
  </si>
  <si>
    <t>กามิน วิศวกรรมไฟฟ้า</t>
  </si>
  <si>
    <t>อู๊ด วิศวกรรมโยธา</t>
  </si>
  <si>
    <t>บีม วิศวกรรมโยธา</t>
  </si>
  <si>
    <t>เติ้ล รู้จักเพราะเรียนโยธาด้วยกัน แล้วตอนเย็นได้มีการไปเตะฟุตซอลด้วยกัน</t>
  </si>
  <si>
    <t>พี่ไลออน โยธา / พี่แดน โยธา / พี่ไข่มุก โยธา</t>
  </si>
  <si>
    <t>ได้เจอจากพี่เขามานำแถวไปถ่ายรูป</t>
  </si>
  <si>
    <t>นาย วิศวะเครื่องกล</t>
  </si>
  <si>
    <t>มาวิน วิศวะคอม</t>
  </si>
  <si>
    <t>คริสต้า วิศวะโยธา</t>
  </si>
  <si>
    <t>ธี วิศวะอัตโนมัติ</t>
  </si>
  <si>
    <t>เจอกันที่โรงอาหารกินข้าวด้วยกัน</t>
  </si>
  <si>
    <t>โปรเจคเดย์ projectday</t>
  </si>
  <si>
    <t>Art inc
Hongwha inc
Mink inc</t>
  </si>
  <si>
    <t>อชิ me</t>
  </si>
  <si>
    <t>โฟกัส cpe</t>
  </si>
  <si>
    <t>เม cpe</t>
  </si>
  <si>
    <t>อชิ จากกิจกรรมเข้าฐาน ประทับใจความกันเองของเพื่อนตั้งแต่ครั้งแรกที่คุยกัน</t>
  </si>
  <si>
    <t>บิงโก pe, ปิง ene , น้ำ pe</t>
  </si>
  <si>
    <t>น้ำ pe แนะนำชีวิตมหาลัย</t>
  </si>
  <si>
    <t>เปCHE</t>
  </si>
  <si>
    <t>อามCE</t>
  </si>
  <si>
    <t>เติ้ล เครื่องมือวัด</t>
  </si>
  <si>
    <t>วิน  CE</t>
  </si>
  <si>
    <t>มาโปรด เจิอกันค่ายติว</t>
  </si>
  <si>
    <t>มีนสิ่งแวดล้อม,พี่ข้าวCE,ภูมิสิ่งแวดล้อม</t>
  </si>
  <si>
    <t>พี่มีนพี่สตาฟฟ์</t>
  </si>
  <si>
    <t>น้อยหน่า วิศวกรรมโยธา</t>
  </si>
  <si>
    <t>เหนือ วิศวกรรมโยธา</t>
  </si>
  <si>
    <t>พีช วิศวกรรมโยธา</t>
  </si>
  <si>
    <t>กิ๊ฟ วิศวกรรมโยธา</t>
  </si>
  <si>
    <t>โต๋ วิศวกรรมโยธา</t>
  </si>
  <si>
    <t>น้อยหน่า นั่งข้างๆกันในห้องประชุม</t>
  </si>
  <si>
    <t xml:space="preserve">พี่อิงดอย phi med, พี่คีตา env, พี่โบนัส che </t>
  </si>
  <si>
    <t>พี่คีตา เป็นสตาฟของงาน</t>
  </si>
  <si>
    <t>1.1Bas1.2Ice1.3shawn1.4bew1.4FLUKE1.6korn</t>
  </si>
  <si>
    <t>Bas INC</t>
  </si>
  <si>
    <t>shawn inc</t>
  </si>
  <si>
    <t>auto INc</t>
  </si>
  <si>
    <t>Fluke cpe</t>
  </si>
  <si>
    <t>bew ie</t>
  </si>
  <si>
    <t>korn EE</t>
  </si>
  <si>
    <t>Bas is my friend which always help me since hand on for every activity</t>
  </si>
  <si>
    <t xml:space="preserve">fluke cpe which funny and unique which his sunglass since hand on he alway wear sunglasses and it so cool </t>
  </si>
  <si>
    <t>aoey inc
mink inc
art inc</t>
  </si>
  <si>
    <t>ICE INC</t>
  </si>
  <si>
    <t>FLUKE INC</t>
  </si>
  <si>
    <t>AUTO INC</t>
  </si>
  <si>
    <t>I meet him at department groups photo.we take a picture together .</t>
  </si>
  <si>
    <t>I met she at department groups photo.She can lead our.</t>
  </si>
  <si>
    <t>1.AUEY
2.ART
3.MINK</t>
  </si>
  <si>
    <t>A lot</t>
  </si>
  <si>
    <t>In ITCE</t>
  </si>
  <si>
    <t>Jet ITCE</t>
  </si>
  <si>
    <t>Sea ITCE</t>
  </si>
  <si>
    <t>OHM CE</t>
  </si>
  <si>
    <t>Biw ITCE</t>
  </si>
  <si>
    <t>In I talk to him and ask him about what you like to do at home</t>
  </si>
  <si>
    <t xml:space="preserve">P’May CE she give me a snack </t>
  </si>
  <si>
    <t>P’Ohm ENE he also give me a snack</t>
  </si>
  <si>
    <t>Muse yacht Chouxcream earth gam</t>
  </si>
  <si>
    <t xml:space="preserve">Muse automation engineering </t>
  </si>
  <si>
    <t xml:space="preserve">Yacht automation engineering </t>
  </si>
  <si>
    <t xml:space="preserve">Chouxcream Automation engineering </t>
  </si>
  <si>
    <t xml:space="preserve">Earth civil engineering </t>
  </si>
  <si>
    <t xml:space="preserve">gam Control and Instrumentation engineering </t>
  </si>
  <si>
    <t xml:space="preserve">from hand on and activity </t>
  </si>
  <si>
    <t xml:space="preserve">hand on and activity </t>
  </si>
  <si>
    <t>P’tin control and Instrumentation 
P’mina control and Instrumentation 
P’eye Mechatronics</t>
  </si>
  <si>
    <t>1.1ใจใจ CPE 1.2 หญิง CPE 1.3 บีม CE 1.4 โฟกัส​ CHE-EN 1.5 มิกซ์ EE</t>
  </si>
  <si>
    <t>ใจใจ CPE</t>
  </si>
  <si>
    <t>หญิง CPE</t>
  </si>
  <si>
    <t>โฟกัส​ CHE-EN</t>
  </si>
  <si>
    <t>มิกซ์ EE</t>
  </si>
  <si>
    <t>โมจิ CE</t>
  </si>
  <si>
    <t>หญิง ถ่ายรูป​และนั่ง​ด้วยกัน</t>
  </si>
  <si>
    <t>พี่​ไททัน​ กิจกรรม​สิบสองนาฬิกา​</t>
  </si>
  <si>
    <t>พี่ปาย พี่ฟลุ๊ค พี่กันต์ พี่ก้อง พี่ข้าวฟ่าง พี่แทนไท CPE</t>
  </si>
  <si>
    <t>Nut ce</t>
  </si>
  <si>
    <t>Pluem itce</t>
  </si>
  <si>
    <t>khunluang itce</t>
  </si>
  <si>
    <t>Bookkie itce</t>
  </si>
  <si>
    <t xml:space="preserve">Mada itce </t>
  </si>
  <si>
    <t>Kim itce</t>
  </si>
  <si>
    <t xml:space="preserve">We eat dinner together </t>
  </si>
  <si>
    <t xml:space="preserve">P’beam share new experiences </t>
  </si>
  <si>
    <t>P’meen P’Gam P’Poom</t>
  </si>
  <si>
    <t>น่าน CE</t>
  </si>
  <si>
    <t>หนูดี CE</t>
  </si>
  <si>
    <t>เฟิร์ส INC</t>
  </si>
  <si>
    <t>ส้ม CE</t>
  </si>
  <si>
    <t>น่าน เป็นเพื่อนที่รร.เดิม</t>
  </si>
  <si>
    <t xml:space="preserve">พี่สายพิณ พี่อาย </t>
  </si>
  <si>
    <t>พี่สายพิณ รู้จักจากฐานME</t>
  </si>
  <si>
    <t>Bhone Myat, Khant Zaw, Kaung Kaung, Cream ,tun</t>
  </si>
  <si>
    <t>Cream</t>
  </si>
  <si>
    <t>Tunnnn</t>
  </si>
  <si>
    <t xml:space="preserve">Andrew </t>
  </si>
  <si>
    <t>Tripal T</t>
  </si>
  <si>
    <t>Zennnn</t>
  </si>
  <si>
    <t>Mewwww</t>
  </si>
  <si>
    <t xml:space="preserve">Tunnnn fun board game </t>
  </si>
  <si>
    <t xml:space="preserve">Cream card game </t>
  </si>
  <si>
    <t>Tripal T game buddy</t>
  </si>
  <si>
    <t>มี่ (อิเล็ก)</t>
  </si>
  <si>
    <t>พิมพ์ (อิเล็ก)</t>
  </si>
  <si>
    <t>ภัทร (เครื่องกล)</t>
  </si>
  <si>
    <t>แตงกวา (สิ่งแวดล้อม)</t>
  </si>
  <si>
    <t>เจ็ม (วัสดุ)</t>
  </si>
  <si>
    <t>เป้ย (สิ่งแวดล้อม)</t>
  </si>
  <si>
    <t>มี่ อิเล็ก กับ ภัทร เครื่องกล นั่งแถวเดียวกันแล้วเพื่อนมาทัก แล้วก็เล่นเกมส์แต่ละฐานไปด้วยกัน</t>
  </si>
  <si>
    <t>พี่จ๊ะจ๋า  (โยธา ) พี่ตี๋ (สิ่งแวดล้อม) พี่เฟียร์ (สิ่งแวดล้อม)</t>
  </si>
  <si>
    <t xml:space="preserve">พี่จ๊ะจ๋า พี่เค้าแจกขนม </t>
  </si>
  <si>
    <t>ยูนิฟ ce</t>
  </si>
  <si>
    <t>น่าน ce</t>
  </si>
  <si>
    <t>เจอกันตินเล่นฐานที่ให้ดึงกระดาษออกจากหลังธีมอื่น ได้คุยกันแบบงงๆแล้วก็ได้คุยกันต่อยาวเลยเพราะคุยถูกคอ</t>
  </si>
  <si>
    <t>พี่อาย พี่สายพิณ พี่มายด์</t>
  </si>
  <si>
    <t>เป็นพิธีกรที่ตลกดีค่ะ</t>
  </si>
  <si>
    <t>ICQ INC(AE)</t>
  </si>
  <si>
    <t>NON INC(AE)</t>
  </si>
  <si>
    <t>NINE INC(AE)</t>
  </si>
  <si>
    <t>ALEX INC(AE)</t>
  </si>
  <si>
    <t>Guide INC(AE)</t>
  </si>
  <si>
    <t>Yacht INC(AE)</t>
  </si>
  <si>
    <t>Laughing together with my friend with icq</t>
  </si>
  <si>
    <t>P'O Met in inc camp 14</t>
  </si>
  <si>
    <t>1.P'O
2.P'mink
3.P'Mi</t>
  </si>
  <si>
    <t>JEEN CE</t>
  </si>
  <si>
    <t>Noodee CE</t>
  </si>
  <si>
    <t>Yunif CE</t>
  </si>
  <si>
    <t>Kong ITCE</t>
  </si>
  <si>
    <t>Max CE</t>
  </si>
  <si>
    <t xml:space="preserve">จีน กิจกรรมปฐมนิเทศวันที่ 25 </t>
  </si>
  <si>
    <t>พี่แชมป์ เจอในกิจกรรมปฐมนิเทศน์ค่ะ</t>
  </si>
  <si>
    <t>พี่เมษาเครื่องกล พี่จินโยธา พี่แชมป์โยธา</t>
  </si>
  <si>
    <t>ชารอฟ ไฟฟ้า</t>
  </si>
  <si>
    <t>ข้าวตู อุต แมคคา</t>
  </si>
  <si>
    <t>ซีซ่า อุต แมคคา</t>
  </si>
  <si>
    <t>Rainbow ไฟฟ้า</t>
  </si>
  <si>
    <t>Rainbow กินหมูกระทะหลังเฉลย</t>
  </si>
  <si>
    <t>พี่ไนน์ พี่โชกุน พี่ไอส์</t>
  </si>
  <si>
    <t>พี่ไนน์ พี่รหัส พาไปเลี้ยงหมูกระทะ</t>
  </si>
  <si>
    <t>Kim ITCE</t>
  </si>
  <si>
    <t>PRINCE ITCE</t>
  </si>
  <si>
    <t>NEW ENV</t>
  </si>
  <si>
    <t>Bu ITCE</t>
  </si>
  <si>
    <t>TONG ME</t>
  </si>
  <si>
    <t>Prince when I go lunch with my friend.</t>
  </si>
  <si>
    <t>I don't know name 2nd-year senior. Sorry</t>
  </si>
  <si>
    <t>,, ,,</t>
  </si>
  <si>
    <t>ใบว่าน เครื่องกล</t>
  </si>
  <si>
    <t>เคน อิเล็กทรอนิกส์</t>
  </si>
  <si>
    <t>เจมส์ เครื่องกล</t>
  </si>
  <si>
    <t>ฟ้าใส โยธา</t>
  </si>
  <si>
    <t>ภูมิ วัสดุ</t>
  </si>
  <si>
    <t>ใบว่าน จากกิจกรรมดึงกระดาษ</t>
  </si>
  <si>
    <t>สายป่าน พีเจ โย</t>
  </si>
  <si>
    <t>พี่สายป่า กิจกรรมเขียนนาฬิกา</t>
  </si>
  <si>
    <t>พราว วิศวกรรมสิ่งแวดล้อม</t>
  </si>
  <si>
    <t>มีน่า วิศวกรรมสิ่งแวดล้อม</t>
  </si>
  <si>
    <t>กิมมี่ วิศวกรรมสิ่งแวดล้อม</t>
  </si>
  <si>
    <t>ปันปัน วิศวกรรมสิ่งแวดล้อม</t>
  </si>
  <si>
    <t>เป้ย วิศวกรรมสิ่งแวดล้อม</t>
  </si>
  <si>
    <t>มีน่า รู้จักกันตอนไปถ่ายรูป</t>
  </si>
  <si>
    <t>1.พี่จ๊ะจ๋า โยธา 2.พี่ตี๋ สิ่งแวดล้อม 3.พี่เฟียร์ สิ่งแวดล้อม</t>
  </si>
  <si>
    <t>เฟียร์ พี่มาถามชื่อทำความรู้จัก</t>
  </si>
  <si>
    <t>ภัทร itce</t>
  </si>
  <si>
    <t>เฟื้องฟู ce</t>
  </si>
  <si>
    <t>อิน itce</t>
  </si>
  <si>
    <t>ไนท์ elc</t>
  </si>
  <si>
    <t>เตอร์ semi</t>
  </si>
  <si>
    <t>ภัทร เล่นยิมด้วยกัน</t>
  </si>
  <si>
    <t>ยังไม่ค่อยได้คุยกับพี่ๆ</t>
  </si>
  <si>
    <t>จำาไม่ได้จริงๆคับพี่</t>
  </si>
  <si>
    <t>ธันวา ene</t>
  </si>
  <si>
    <t xml:space="preserve">วันพุทธ ene </t>
  </si>
  <si>
    <t xml:space="preserve">โกโก้ ene </t>
  </si>
  <si>
    <t>แนว ene</t>
  </si>
  <si>
    <t>ทักไอจีที่เพื่อนธันวาแปะไว้ในเฟส</t>
  </si>
  <si>
    <t>พี่ซันนี่ บีเฟิส ซอคเก้อ ไอ</t>
  </si>
  <si>
    <t>พี่ไอ ตีแบด้วยพี่ซอคเกอพี่รหัส</t>
  </si>
  <si>
    <t xml:space="preserve">1.1 chompuu </t>
  </si>
  <si>
    <t>1.2 Pim</t>
  </si>
  <si>
    <t>1.3 nampeung</t>
  </si>
  <si>
    <t>1.4 Earth</t>
  </si>
  <si>
    <t>1.5 Saimai</t>
  </si>
  <si>
    <t>All of my friends before, we take a lot of photo together</t>
  </si>
  <si>
    <t>I dont know her name</t>
  </si>
  <si>
    <t>ต้า Ce</t>
  </si>
  <si>
    <t>เวียร์ Ce</t>
  </si>
  <si>
    <t>นาย Me</t>
  </si>
  <si>
    <t>ไนท์ อิเล็ก</t>
  </si>
  <si>
    <t>พิมพ์ อิเล็ก</t>
  </si>
  <si>
    <t>ต้า ทักตอนวันเเรกที่มา</t>
  </si>
  <si>
    <t>พี่ดรีม พี่ริว เฟรนลี่มากๆคับ</t>
  </si>
  <si>
    <t>พี่ดรีม พี่ริว พี่อะไรไม่รู้จำชื่อไม่ได้</t>
  </si>
  <si>
    <t>Cherman Mean Anfiled Khunluang Kim</t>
  </si>
  <si>
    <t>Khonluang civil</t>
  </si>
  <si>
    <t>Cherman civil</t>
  </si>
  <si>
    <t>Mada  civil</t>
  </si>
  <si>
    <t>Mean civil</t>
  </si>
  <si>
    <t>Anfiled  civil</t>
  </si>
  <si>
    <t xml:space="preserve">Kim she always by my side </t>
  </si>
  <si>
    <t>P Lion civil ,  I met him at a rice restaurant. He seemed very friendly.</t>
  </si>
  <si>
    <t>P khaohom , she provided advice.</t>
  </si>
  <si>
    <t>1.1 Inn 1.2 IQ 1.3 Pakin 1.4 Phu 1.5 Prince</t>
  </si>
  <si>
    <t>Inn ITCE</t>
  </si>
  <si>
    <t>Pakin ITCE</t>
  </si>
  <si>
    <t>Phu ITCE</t>
  </si>
  <si>
    <t>Prince ITCE</t>
  </si>
  <si>
    <t xml:space="preserve">Jia Environment Engineer </t>
  </si>
  <si>
    <t xml:space="preserve">Prince cuz we go gym together </t>
  </si>
  <si>
    <t>Senior Mhee we met eachother in event and he is our senior</t>
  </si>
  <si>
    <t>Mhee Ohm film Civil Engineer</t>
  </si>
  <si>
    <t>NONT INC(AE)</t>
  </si>
  <si>
    <t>Pluem INC(AE)</t>
  </si>
  <si>
    <t>Nine ae</t>
  </si>
  <si>
    <t>Guide ae</t>
  </si>
  <si>
    <t>Alex ae</t>
  </si>
  <si>
    <t>Alex cause we play  basketball  together</t>
  </si>
  <si>
    <t>P’OMet in camp14</t>
  </si>
  <si>
    <t xml:space="preserve">1 P’O
2 P mink
3 P pink </t>
  </si>
  <si>
    <t>Hand on ตอนเชื่อม ผมไม่มีเพื่อนไปนั่งด้วยกันแล้วก็สนิทกันครับ</t>
  </si>
  <si>
    <t>นึกไม่ออกครับ ;-;; แต่สนุกดีครับ</t>
  </si>
  <si>
    <t>นึกไม่ออกครับ แต่มีรุ่นพี่คนนึงตลกดีครับชอบครับ</t>
  </si>
  <si>
    <t xml:space="preserve">Book civil engineering </t>
  </si>
  <si>
    <t xml:space="preserve">Kim civil engineering </t>
  </si>
  <si>
    <t xml:space="preserve">ANFIELD civil engineering </t>
  </si>
  <si>
    <t xml:space="preserve">Meen civil engineering </t>
  </si>
  <si>
    <t xml:space="preserve">Khunluag civil engineering </t>
  </si>
  <si>
    <t xml:space="preserve">Cherman civil engineering </t>
  </si>
  <si>
    <t>I met them at S11 and I make friends with</t>
  </si>
  <si>
    <t>P’lucky from activity in 25jul game ยิงเรือ</t>
  </si>
  <si>
    <t>P’kaohom civil
P’jin civil</t>
  </si>
  <si>
    <t>Plume (ITCE)</t>
  </si>
  <si>
    <t>Sherman (ITCE)</t>
  </si>
  <si>
    <t>Khunluang (ITCE)</t>
  </si>
  <si>
    <t>Meen (ITCE)</t>
  </si>
  <si>
    <t>Book (ITCE)</t>
  </si>
  <si>
    <t>Mada (ITCE)</t>
  </si>
  <si>
    <t>Eat dinner with friend</t>
  </si>
  <si>
    <t>P’Beam , He share experience for me</t>
  </si>
  <si>
    <t>P’Meen , She give knowledge for me</t>
  </si>
  <si>
    <t>namfah civil engineering she very talkative.</t>
  </si>
  <si>
    <t>nampeung civil engineering she is a great photographer.</t>
  </si>
  <si>
    <t>pim civil engineering She's a woman of few words but has a good personality.</t>
  </si>
  <si>
    <t>Earn civil engineering She is a very cheerful person.</t>
  </si>
  <si>
    <t>Kay civil engineering She's talkative.</t>
  </si>
  <si>
    <t>Namfa because I forgot her name and she got mad.</t>
  </si>
  <si>
    <t>I don't know.I don't know any of the seniors.</t>
  </si>
  <si>
    <t>Ohm environment</t>
  </si>
  <si>
    <t>Golf environment</t>
  </si>
  <si>
    <t>Folk environment</t>
  </si>
  <si>
    <t>Boon environment</t>
  </si>
  <si>
    <t xml:space="preserve"> Four environment</t>
  </si>
  <si>
    <t>Boon Orientation activities</t>
  </si>
  <si>
    <t>- not have i don't have</t>
  </si>
  <si>
    <t>I don't know i don't have</t>
  </si>
  <si>
    <t>แบซิก env</t>
  </si>
  <si>
    <t>วิช ee</t>
  </si>
  <si>
    <t>กัส ene</t>
  </si>
  <si>
    <t>แตงค์ env</t>
  </si>
  <si>
    <t xml:space="preserve">กัส ee ได้รู้จักเพื่อนตอนไปหินข้าวที่  kfc </t>
  </si>
  <si>
    <t>ชิติพัทธ์ env หวาน env  มินท์ env</t>
  </si>
  <si>
    <t>ชิติพัทธ์ ตอบคำถาม คำแนะนำในการ</t>
  </si>
  <si>
    <t>โฟกัส เซมิคอนดักเตอร์</t>
  </si>
  <si>
    <t>แก้ม ระบบควบคุมและเครื่องมีวัด</t>
  </si>
  <si>
    <t>ซันนี่ เครื่องกล</t>
  </si>
  <si>
    <t>หยอง เครื่องกล</t>
  </si>
  <si>
    <t>โฟกัส ได้ไปดูห่านด้วยกันตอนเที่ยง</t>
  </si>
  <si>
    <t>พี่บอส เครื่องกล พี่ไวท์ เครื่องกล มีพี่ๆหลายคนเลยครับแต่ผมจำชื่อไม่ได้จริงๆต้องขอโทษด้วยครับ</t>
  </si>
  <si>
    <t>พี่ๆช่วยกันแนะนำตัวเองและแนะนำเพื่อนๆให้ได้รู้จักชื่อกันในสาขาอย่างเสียงดังยอดเยี่ยม</t>
  </si>
  <si>
    <t>ฟิต ce</t>
  </si>
  <si>
    <t>เฟรม ce</t>
  </si>
  <si>
    <t>ปาล์ม ce</t>
  </si>
  <si>
    <t>บลู ce</t>
  </si>
  <si>
    <t>โต๋ ce</t>
  </si>
  <si>
    <t>ฟิต รู้จักจากการที่ได้ไปเจอกันตอนเตะฟุตซอล เพื่อนช่วยเหลือเวลาที่เราไม่รู้หรือไม่เข้าใจอะไร</t>
  </si>
  <si>
    <t>จำไม่ได้ครับ สนุก มากครับ</t>
  </si>
  <si>
    <t>จำไมาได้ครับ แต่สนุกมากครับ</t>
  </si>
  <si>
    <t>อากัส วิศวกรรมสิ่งแวดล้อม</t>
  </si>
  <si>
    <t>เอมี่ วิศวกรรมสิ่งแวดล้อม</t>
  </si>
  <si>
    <t>มิ่ง วิศวกรรมสิ่งแวดล้อม</t>
  </si>
  <si>
    <t>พี่ฟิล์ม คณะวิทย์-คณิตศาสตร์ (ปี3)</t>
  </si>
  <si>
    <t>Him name is Aguss ,he friendly and met him at CB5</t>
  </si>
  <si>
    <t xml:space="preserve">P’Poom met him at CB4 </t>
  </si>
  <si>
    <t>P’Poom P’Namwan P’Champ env , ce</t>
  </si>
  <si>
    <t>ใบบุญ เอนไวน์</t>
  </si>
  <si>
    <t>ตั้ม เอนไวน์</t>
  </si>
  <si>
    <t>เกม อิเลก</t>
  </si>
  <si>
    <t>น่าน อิเลก</t>
  </si>
  <si>
    <t>พัด โยธา</t>
  </si>
  <si>
    <t>เกม อิเลก รู้จักกันตอนมามอเพื่อปฐมนิเทศน์ และชวนเล่นไปเตะฟุตบอล รู้สึกเข้าขากันได้อย่างดี</t>
  </si>
  <si>
    <t>บีมโยธา สกายโยธา ม่อนโยธา</t>
  </si>
  <si>
    <t>เป็นพี่mc ที่มาจากภาคใต้ด้วยกัน คุยกันถูกคอ</t>
  </si>
  <si>
    <t>เฟิน วัดคุม โน่วัดคุม นะโมวัดคุม เวนิสวัดคุม ภูมวัดคุท</t>
  </si>
  <si>
    <t>เจฟ เมคคา</t>
  </si>
  <si>
    <t>ไอซ์วิทยา</t>
  </si>
  <si>
    <t>วิน วัดคุม</t>
  </si>
  <si>
    <t>เวนิส วัดคุม</t>
  </si>
  <si>
    <t>ต้า อุตสาการ</t>
  </si>
  <si>
    <t>เพื่อนน่ารักดีมากๆ</t>
  </si>
  <si>
    <t>โบนัสเครื่องกล พี่โอเว่นวัสดุ</t>
  </si>
  <si>
    <t>โอเว่นสอนhand on</t>
  </si>
  <si>
    <t>Book me</t>
  </si>
  <si>
    <t>Pooh me</t>
  </si>
  <si>
    <t>Ice cpe</t>
  </si>
  <si>
    <t>Ice from eating lunch he's funny</t>
  </si>
  <si>
    <t xml:space="preserve">To be honest I cant remember any 2nd hear from this activity actually I can remember 3rd year p'tana he talk with me a lot </t>
  </si>
  <si>
    <t>I cant remember like i saidd</t>
  </si>
  <si>
    <t>Mew  ME</t>
  </si>
  <si>
    <t>Kong env ice</t>
  </si>
  <si>
    <t>New env ice</t>
  </si>
  <si>
    <t>Pai env</t>
  </si>
  <si>
    <t>Q. Env</t>
  </si>
  <si>
    <t>Bai bun env</t>
  </si>
  <si>
    <t>Faisai ene</t>
  </si>
  <si>
    <t>Kong  Sit down and do activities after lunch.</t>
  </si>
  <si>
    <t>P’ tem , He Friendly.</t>
  </si>
  <si>
    <t xml:space="preserve">Tem environmental </t>
  </si>
  <si>
    <t>ฟิด โยธา</t>
  </si>
  <si>
    <t>บู โยธา</t>
  </si>
  <si>
    <t>เจอกันหลายคนพร้อมกัน ประทับใจเพื่อนที่เป็นกันเองคุยง่าย</t>
  </si>
  <si>
    <t xml:space="preserve">  จำไม่ได้ครับ </t>
  </si>
  <si>
    <t xml:space="preserve">  ขอบคุณครับ สนุกมากครับ</t>
  </si>
  <si>
    <t>ใบเตย ภาควิศกรรมเคมี</t>
  </si>
  <si>
    <t>ดั้มเปอ ภาควิศวกรรมโยธา</t>
  </si>
  <si>
    <t>สตางค์ ภาควิศวกรรมคอมพิวเตอร์ อินเตอร์</t>
  </si>
  <si>
    <t>เม ภาควิศวกรรมสิ่งแวดล้อม</t>
  </si>
  <si>
    <t>ปลาทู ภาควิศวกรรมสิ่งแวดล้อม</t>
  </si>
  <si>
    <t>ดั้มเปอ เจอที่ปฐมนิเทศตอนรวมถ่ายรูปรุ่น เป็นคนดีมากครับ</t>
  </si>
  <si>
    <t>พี่แชมป์ วิศวกรรมโยธา พี่โฟร์ วิศวกรรมเครื่องกล พี่ดิศ วิศวกรรมโยธา</t>
  </si>
  <si>
    <t>พี่ดิศ ผมเจอพี่ดิศครั้งแรกเมื่อวันปฐมนิเทศวันแรกครับตากฐานกิจกรรม รู้สึกว่าพี่เขาเป็นคนเฟรนลี่มากครับ</t>
  </si>
  <si>
    <t>เบรฟ โยธา</t>
  </si>
  <si>
    <t>ออกัส โยธา</t>
  </si>
  <si>
    <t>สตางค์ คอม</t>
  </si>
  <si>
    <t>ออกัส เจอกันตอนนั่งฟังบรรยายปฐมนิเทศ</t>
  </si>
  <si>
    <t>1.พี่แชมป์ โยธา 2.พี่โฟร์ เครื่องกล 3.ดิศ โยธา</t>
  </si>
  <si>
    <t>พี่แชมป์ ตอนปฐมนิเทศ</t>
  </si>
  <si>
    <t>ภู(อิเล็ก)</t>
  </si>
  <si>
    <t>กานต์(อิเล็ก)</t>
  </si>
  <si>
    <t>เบญ(ไฟฟ้า)</t>
  </si>
  <si>
    <t>เหมย(อิเล็ก)</t>
  </si>
  <si>
    <t>เปาเปา(อิเล็ก</t>
  </si>
  <si>
    <t>ภูเพื่อนมาอยู่ด้วยระหว่างกิจกรรม</t>
  </si>
  <si>
    <t>เเท็ค(อิเล็ก) กาน(อิเล็ก) เเบงค์(อิเล็ก)</t>
  </si>
  <si>
    <t>พี่เเท็คเพราะเขาคุยด้วย</t>
  </si>
  <si>
    <t>พิ้งค์ tme</t>
  </si>
  <si>
    <t>พีชชี่ me</t>
  </si>
  <si>
    <t>อัลมอนด์ me</t>
  </si>
  <si>
    <t>อิง me</t>
  </si>
  <si>
    <t>พิ้งค์ tme จากการพูดคุยช่วงพักกลางวัน เพื่อนคุยสนุกมาก รู้ใจ</t>
  </si>
  <si>
    <t>พี่น้ำ พี่ปาย พี่ฟลุ๊ค cpe</t>
  </si>
  <si>
    <t>พี่น้ำ cpe จากการพาไปถ่ายรูปรวมภาค</t>
  </si>
  <si>
    <t>นิว ออกัส แก้ม อิง ฟูจิ (เคมี)</t>
  </si>
  <si>
    <t>ออม อุตสาหการณ์</t>
  </si>
  <si>
    <t>พอเพียง อุตสาหการณ์</t>
  </si>
  <si>
    <t>เต เคมี</t>
  </si>
  <si>
    <t>แซก ยานยนต์</t>
  </si>
  <si>
    <t>ออกัส ถ่ายภาพรวม</t>
  </si>
  <si>
    <t>ออม เคมี ตามขวัญ ไอยู</t>
  </si>
  <si>
    <t>ออม กิจกรรมปฐมนิเทศ</t>
  </si>
  <si>
    <t>แจ็คกี้ ee</t>
  </si>
  <si>
    <t>ปูน inc</t>
  </si>
  <si>
    <t>นัท ame</t>
  </si>
  <si>
    <t>นะโม cpe</t>
  </si>
  <si>
    <t>กิจกรรมปาลูกบอล อยู่ๆก้ได้คุยกัน</t>
  </si>
  <si>
    <t>Travis (ce)</t>
  </si>
  <si>
    <t>Nichole (ce)</t>
  </si>
  <si>
    <t>Nyke (ce)</t>
  </si>
  <si>
    <t>Bebe (ce)</t>
  </si>
  <si>
    <t>Sushi (ce)</t>
  </si>
  <si>
    <t>Nichole is really friendly and we made so memorable in flower work shop.</t>
  </si>
  <si>
    <t xml:space="preserve">Kyi Zin Thant, he is so kind for junior and explain everything that need to be </t>
  </si>
  <si>
    <t>Bew ENV</t>
  </si>
  <si>
    <t>Get CE</t>
  </si>
  <si>
    <t>Itim ENV</t>
  </si>
  <si>
    <t>Pess ENV</t>
  </si>
  <si>
    <t>Bew, I met him through a photography activity for the Faculty of Environmental Engineering.</t>
  </si>
  <si>
    <t>P' Pesh, I met him during a photography event for the Faculty of Environmental Engineering. I remembered him because he was a senior in the same faculty, and he was funny.</t>
  </si>
  <si>
    <t>P' toon , P' Pesh</t>
  </si>
  <si>
    <t>ป้องวิศวกรรมเคมี</t>
  </si>
  <si>
    <t>เฟริส์ วิศวกรรมเคมี</t>
  </si>
  <si>
    <t>โบ๊ท วิศวกรรมเคมี</t>
  </si>
  <si>
    <t>ป้อง เจอที่กิจกรรมเรก</t>
  </si>
  <si>
    <t>พี่เต พี่โต พี่กาฟิว วิศวกรรมเคมี</t>
  </si>
  <si>
    <t>พี่เตกิจกรรมสอง</t>
  </si>
  <si>
    <t xml:space="preserve">Mike (Civil) </t>
  </si>
  <si>
    <t xml:space="preserve">Bebe ( Civil) </t>
  </si>
  <si>
    <t>Sushi (Civil)</t>
  </si>
  <si>
    <t xml:space="preserve">Ye Htut (Civil) </t>
  </si>
  <si>
    <t xml:space="preserve">Cho (civil) </t>
  </si>
  <si>
    <t xml:space="preserve">Henry (civil)  </t>
  </si>
  <si>
    <t xml:space="preserve">Annguee ( civil) </t>
  </si>
  <si>
    <t xml:space="preserve">Nanda ( civil) </t>
  </si>
  <si>
    <t>ปุณ ภาควิชา เครื่องมือและวัตถุ</t>
  </si>
  <si>
    <t>เอก ภาควิชาวัตถุ</t>
  </si>
  <si>
    <t>นิว ภาควิชาไฟฟ้า</t>
  </si>
  <si>
    <t>ปลิง ภาควิชาเครื่องมือและวัตถุ</t>
  </si>
  <si>
    <t>ปลื้ม ภาควิชาเครื่องมือและวัตถุ</t>
  </si>
  <si>
    <t>นิว รู้จากการทำกิจกรรมด้วยกัน แล้วคุยกันถูกคอกัน</t>
  </si>
  <si>
    <t>พี่มังกร ภาควิชาวัตถุ พี่ฟิน ภาควิชาเครื่องมือและวัตถุ พี่ออเว้น ภาควิชาเครื่องมือและวัตถุ</t>
  </si>
  <si>
    <t>มังกร จากการสอบถามเรื่องสายรหัส</t>
  </si>
  <si>
    <t>sen civil</t>
  </si>
  <si>
    <t>Palm civil</t>
  </si>
  <si>
    <t>Jett civil</t>
  </si>
  <si>
    <t>Pluem civil</t>
  </si>
  <si>
    <t>Namo civil</t>
  </si>
  <si>
    <t>Phoo me</t>
  </si>
  <si>
    <t>Palm on some activity on yesterday</t>
  </si>
  <si>
    <t>Ferlin me in some activity on 25/07</t>
  </si>
  <si>
    <t>Ferlin me zwunnata me jaja ce</t>
  </si>
  <si>
    <t>แพท นั่งทำกิจกรรมข้างกันและชวนไปทานข้าว</t>
  </si>
  <si>
    <t>พี่ซือ พี่โอเว่น พี่เฟิร์ส TME</t>
  </si>
  <si>
    <t>พี่ซือ เจอเกือบทุกกิจกรรม</t>
  </si>
  <si>
    <t>I met a lot of Thai friends: Poom, Nac, Nut, Nom, Namaw, and others</t>
  </si>
  <si>
    <t>Poom (Civil)</t>
  </si>
  <si>
    <t>Nac(Civil)</t>
  </si>
  <si>
    <t>Nut(Civil)</t>
  </si>
  <si>
    <t>Nom(civil)</t>
  </si>
  <si>
    <t>Namaw(Civil)</t>
  </si>
  <si>
    <t>Henry(Civil)</t>
  </si>
  <si>
    <t>Henry: I met him first orientation. Since I met him, we share a lot of information each other. And we still get in touch both online and real-life</t>
  </si>
  <si>
    <t>Kyi Zin Thant: He is my senior civil engineering student: I met him at cultural workshop and he help me a lot such as registration cases, dos and donts and even haircut and barbershop</t>
  </si>
  <si>
    <t>Kyi Zin Thant, Nandar and Andre</t>
  </si>
  <si>
    <t>Nice idk i forgot it</t>
  </si>
  <si>
    <t>Katee.He is a international student in civil program</t>
  </si>
  <si>
    <t>Saint ITCeE</t>
  </si>
  <si>
    <t xml:space="preserve">I pick katee .i met him after 12oclock activity ,he coming to say hi to me </t>
  </si>
  <si>
    <t xml:space="preserve">P’May she gave me some cereal </t>
  </si>
  <si>
    <t>P may , p ohm ,</t>
  </si>
  <si>
    <t>Prince, Civil Engineering</t>
  </si>
  <si>
    <t>Pool, Civil Engineering</t>
  </si>
  <si>
    <t>Jodd, Civil Engineering</t>
  </si>
  <si>
    <t>Diesel, Civil Engineering</t>
  </si>
  <si>
    <t>Jet, Civil Engineering</t>
  </si>
  <si>
    <t>Prince introduced me to everyone.</t>
  </si>
  <si>
    <t>Senior from Environmental Engineering, very creatively playful mentor.</t>
  </si>
  <si>
    <t>Senior from CE, very supportive, advises students to behave, and provides snacks to everyone during free time.</t>
  </si>
  <si>
    <t xml:space="preserve">Luck (civil engineering) My friend invited me to play badminton. </t>
  </si>
  <si>
    <t xml:space="preserve">Z (civil engineering) invited me to participate in an activity. </t>
  </si>
  <si>
    <t xml:space="preserve">Pam (civil engineering) approached me and started a conversation during the event. </t>
  </si>
  <si>
    <t xml:space="preserve">BOM (civil engineering) invited me to join the group. </t>
  </si>
  <si>
    <t xml:space="preserve">J (civil engineering) He  started a conversation with me. </t>
  </si>
  <si>
    <t xml:space="preserve">Bom, I met him at a dodgeball base. </t>
  </si>
  <si>
    <t xml:space="preserve">I met a senior from my faculty at the naval base. </t>
  </si>
  <si>
    <t xml:space="preserve">Champ was found at the base of the ball bridge. </t>
  </si>
  <si>
    <t>Saimai ITCE</t>
  </si>
  <si>
    <t>Nampeung ITCE</t>
  </si>
  <si>
    <t>Earth ITCE</t>
  </si>
  <si>
    <t>Namfah ITCE</t>
  </si>
  <si>
    <t>Chompoo ITCE</t>
  </si>
  <si>
    <t>Kay ITCE</t>
  </si>
  <si>
    <t>I pick Saimai and We eat lunch together.</t>
  </si>
  <si>
    <t>P’Jah CE and she’s gave us some advice.</t>
  </si>
  <si>
    <t>P’Jah CE P’Ohm ENV P’Meay CE</t>
  </si>
  <si>
    <t>ไบร์ท TME</t>
  </si>
  <si>
    <t>ฮอน TME</t>
  </si>
  <si>
    <t>ฮอน ปฐมนิเทศ นั่งข้างกัน</t>
  </si>
  <si>
    <t>โอเว่น, มังกร, เฟริส</t>
  </si>
  <si>
    <t>นนท์ ปฐมนิเทศ เพื่อนคนแรก</t>
  </si>
  <si>
    <t>1.1 Tae 1.2 Namfah 1.3 Aom 1.4 Flame 1.5 Ice</t>
  </si>
  <si>
    <t>Tae chemen</t>
  </si>
  <si>
    <t>Namfah CPE</t>
  </si>
  <si>
    <t>Aom IE</t>
  </si>
  <si>
    <t>Flame ME</t>
  </si>
  <si>
    <t>Aom i found her in group activities . And she super friendly and kind to me</t>
  </si>
  <si>
    <t>In my list don’t have senior . But. Today i find 2 seniors from activities and i don’t know thier name. They are very kind and funny that help this activity is more funny</t>
  </si>
  <si>
    <t>I don’t ask their name</t>
  </si>
  <si>
    <t>10 hours</t>
  </si>
  <si>
    <t xml:space="preserve">Moe Win </t>
  </si>
  <si>
    <t>Tun</t>
  </si>
  <si>
    <t xml:space="preserve">Henry- Civil Engineering </t>
  </si>
  <si>
    <t xml:space="preserve">Bebee- Civil Engineering </t>
  </si>
  <si>
    <t>Andrew</t>
  </si>
  <si>
    <t>Flynn</t>
  </si>
  <si>
    <t>Slade</t>
  </si>
  <si>
    <t>Bebee- Welcome party</t>
  </si>
  <si>
    <t xml:space="preserve">Andre- explain about campus </t>
  </si>
  <si>
    <t xml:space="preserve">Pom- help me with activities </t>
  </si>
  <si>
    <t>อร ภาควิชาวิศวกรรมเคมี</t>
  </si>
  <si>
    <t>นัท ภาควิชาวิศวกรรมเคมี</t>
  </si>
  <si>
    <t>ปราย ภาควิชาวิศวกรรมเคมี</t>
  </si>
  <si>
    <t>เบส ภาควิชาวิศวกรรมคอมพิวเตอร์</t>
  </si>
  <si>
    <t>เฟื่อง ภาควิชาวิศวกรรมสิ่งแวดล้อม</t>
  </si>
  <si>
    <t>เบส รู้จักการทำกิจกรรมฐานแล้วเพื่อนเข้ามาคุยด้วย</t>
  </si>
  <si>
    <t>พี่การ์ฟิลด์ ภาควิชาวิศวกรรมเคมี พี่กันต์ ภาควิชาวิศวกรรมเครื่องกล พี่ไอซ์ ภาควิชาวิศกรรมคอมพิวเตอร์</t>
  </si>
  <si>
    <t>พี่ไออุ่น  รู้จักจากที่พี่มาดูแลภาควิชาวิศวกรรมเคมีในกิจกรรมปฐมนิเทศช่วงบ่าย</t>
  </si>
  <si>
    <t>Nichole,Alex,Nike,Travis, Zen,Andrew</t>
  </si>
  <si>
    <t>Nichole , civil</t>
  </si>
  <si>
    <t>Huffle, CPE</t>
  </si>
  <si>
    <t>Zen, CPE</t>
  </si>
  <si>
    <t>Alex, CE</t>
  </si>
  <si>
    <t>Andrew, CE</t>
  </si>
  <si>
    <t>Nike, CE</t>
  </si>
  <si>
    <t xml:space="preserve">Travis, welcome party </t>
  </si>
  <si>
    <t xml:space="preserve">Cady,CE, welcome party </t>
  </si>
  <si>
    <t xml:space="preserve">Nander,CE, welcome party </t>
  </si>
  <si>
    <t>Su Pyae Pyae Hmue</t>
  </si>
  <si>
    <t xml:space="preserve">Sushi - Civil engineering </t>
  </si>
  <si>
    <t xml:space="preserve">Travis - Civil engineering </t>
  </si>
  <si>
    <t xml:space="preserve">Andrew - civil engineering </t>
  </si>
  <si>
    <t xml:space="preserve">Nyke - civil engineering </t>
  </si>
  <si>
    <t xml:space="preserve">Alex - civil engineering </t>
  </si>
  <si>
    <t xml:space="preserve">Sushi - orientation </t>
  </si>
  <si>
    <t xml:space="preserve">Pollen - welcome party </t>
  </si>
  <si>
    <t xml:space="preserve">Film - Thai class </t>
  </si>
  <si>
    <t>1เมย์ che เดียว che ออม che คิตตี้ che</t>
  </si>
  <si>
    <t>เมย์ che</t>
  </si>
  <si>
    <t>ออมche</t>
  </si>
  <si>
    <t>เดียวche</t>
  </si>
  <si>
    <t>คิตตี้che</t>
  </si>
  <si>
    <t>ฟรอยche</t>
  </si>
  <si>
    <t>ผักบุ้ง che</t>
  </si>
  <si>
    <t>คิตตี้che รู้จักจากการเล่นเกมดึงกระดาษ</t>
  </si>
  <si>
    <t>พี่ไออุ่นche พี่โบนัสche พี่กาฟิวche</t>
  </si>
  <si>
    <t>พี่โบนัส che เป็นพี่คุมคอยดูแลน้อง ๆ เวลาไปฐานต่าง ๆ</t>
  </si>
  <si>
    <t xml:space="preserve">Pakin civil engineer </t>
  </si>
  <si>
    <t xml:space="preserve">IQ civil engineer </t>
  </si>
  <si>
    <t xml:space="preserve">Saint civil engineer </t>
  </si>
  <si>
    <t xml:space="preserve">Inn civil engineer </t>
  </si>
  <si>
    <t xml:space="preserve">Palm civil engineer </t>
  </si>
  <si>
    <t>I met Inn at dodge ball station when he threw the ball to me</t>
  </si>
  <si>
    <t xml:space="preserve">I met P pond in bridge station I mostly enjoyed with him during the activities </t>
  </si>
  <si>
    <t xml:space="preserve">P Jaja civil engineer 
P May civil engineer 
P Ohm environmental engineer </t>
  </si>
  <si>
    <t>โบนัส ฝ้าย เตชิ เพชร ปุน</t>
  </si>
  <si>
    <t>โบนัส ภาควิชาอิเล็กโทรนิคส์</t>
  </si>
  <si>
    <t>ฝ้าย ภาคเคมี</t>
  </si>
  <si>
    <t>เตชิ ภาควัสดุ</t>
  </si>
  <si>
    <t>เพชร ภาควัสดุ</t>
  </si>
  <si>
    <t>ปุน ภาคไฟฟ้า</t>
  </si>
  <si>
    <t>โบนัส ได้รู้จักจากตอนที่เดินมางมาปฐมนิเมศพร้อมกัน</t>
  </si>
  <si>
    <t xml:space="preserve">ลืมถามชื่อ1 ภาคเคมี ลืมถามชื่อ2 ภาคเคมี ลืมถามชื่ิอ3 ภาควัสดุ </t>
  </si>
  <si>
    <t>ลืมถามชื่อ ได้รู้จักตอนที่ถามทางไปตึกของภาคตัวเอง</t>
  </si>
  <si>
    <t>การ์ตูน (MCE)</t>
  </si>
  <si>
    <t xml:space="preserve">ฟ้า chemical engineering </t>
  </si>
  <si>
    <t>พีช CE</t>
  </si>
  <si>
    <t>เเน็ค CE</t>
  </si>
  <si>
    <t>นั่งอยู่ละเพื่อนทัก</t>
  </si>
  <si>
    <t>ไม่รู้จักเท่าไหร่</t>
  </si>
  <si>
    <t>ไม่รู้จักเลยแงๆๆๆๆๆๆ</t>
  </si>
  <si>
    <t>อลิซ CPE</t>
  </si>
  <si>
    <t xml:space="preserve"> มิ้นท์ TME</t>
  </si>
  <si>
    <t>มิ้นท์ ตลก นิสัยดี</t>
  </si>
  <si>
    <t>พี่ไออุ่น พี่ออม พี่กาฟิว</t>
  </si>
  <si>
    <t>พี่กาฟิว เคมี ตลก</t>
  </si>
  <si>
    <t>หมู เซมิคอนดักเตอร์</t>
  </si>
  <si>
    <t>ภูเซมิ เซมิคอนดักเตอร์</t>
  </si>
  <si>
    <t>ต้นกล้า เครื่องกล</t>
  </si>
  <si>
    <t>Alex โยธา</t>
  </si>
  <si>
    <t>เยน AE</t>
  </si>
  <si>
    <t>ปลื้ม รู้จักตอนแยกกลุ่มเล่นฐานวันแรก อยู่ด้วยกันและทำกิจกรรมร่วมกันทั้งวัน รวมถึงพูดคุยเรื่องโรงเรียนเก่า</t>
  </si>
  <si>
    <t>พี่แท็ค พี่กาน พี่แบงค์ (อิเล็ก)</t>
  </si>
  <si>
    <t>รู้จักจากกิจกรรมปฐมนิเทศ เป็นพี่เลี้ยงในกิจกรรม</t>
  </si>
  <si>
    <t>Ai cpe</t>
  </si>
  <si>
    <t>Book ME</t>
  </si>
  <si>
    <t>Kub cpe</t>
  </si>
  <si>
    <t>Ai he share Powerbank with me</t>
  </si>
  <si>
    <t>P’Gun he kradok rin.</t>
  </si>
  <si>
    <t>Gun kana nam pray</t>
  </si>
  <si>
    <t xml:space="preserve">น่าน องสา ไอ อัย ออย </t>
  </si>
  <si>
    <t>น่าน cpe</t>
  </si>
  <si>
    <t xml:space="preserve">องสา Cpe </t>
  </si>
  <si>
    <t>ไอ Cpe</t>
  </si>
  <si>
    <t>อัย Cpe</t>
  </si>
  <si>
    <t>ออย Cpe</t>
  </si>
  <si>
    <t>น่าน cpe กินพิซซ่า</t>
  </si>
  <si>
    <t xml:space="preserve">พี่ธี cpe  พี่โดส cpe พี่น้าม cpe </t>
  </si>
  <si>
    <t xml:space="preserve">พี่โดสเป็นพี่ ta  ค่าย pre freshy </t>
  </si>
  <si>
    <t>โน่ INC</t>
  </si>
  <si>
    <t>โน่ ปฐมนิเทศ ฮาา</t>
  </si>
  <si>
    <t>Ben- CE</t>
  </si>
  <si>
    <t>Google- EE</t>
  </si>
  <si>
    <t>Mo- CPE</t>
  </si>
  <si>
    <t>bomb- cpe</t>
  </si>
  <si>
    <t>jin- cpe</t>
  </si>
  <si>
    <t>Ben- First day at orientation</t>
  </si>
  <si>
    <t>none- didnt talk to any seniors</t>
  </si>
  <si>
    <t>นาย env</t>
  </si>
  <si>
    <t>อิคคิว เคมี</t>
  </si>
  <si>
    <t>เซเว่น เคมี</t>
  </si>
  <si>
    <t>นาย ได้รุ้จักตอนพักกลางวัน</t>
  </si>
  <si>
    <t>พี่เขื่อนenv พี่หวานenv พี่เติ้ลenv</t>
  </si>
  <si>
    <t>พี่เขื่อนจากหลังวิ่งรับเกียมาให้คำแนะนำเรื่องต่างๆ</t>
  </si>
  <si>
    <t>1.1Focus (CHE)1.2Pink (CHE) 1.3Aya (CHE) 1.4Night(CHE) 1.5J (CE)</t>
  </si>
  <si>
    <t>Focus CHE</t>
  </si>
  <si>
    <t>Pink (CHE)</t>
  </si>
  <si>
    <t>Aya (CHE)</t>
  </si>
  <si>
    <t>Night(CHE)</t>
  </si>
  <si>
    <t>J (CE)</t>
  </si>
  <si>
    <t>Focus. She's memorable because she is the first person that talk to me</t>
  </si>
  <si>
    <t>I forgot her name but she's seem like a head senior. A person that cheer us up (CHE)</t>
  </si>
  <si>
    <t>I like senior that have very short hair. I remember she trying to controll us(CHE) because we make too much noise ,But I love that she trying not to be mean to us and say sorry at the end</t>
  </si>
  <si>
    <t>บอส วิศวะอิเล็ก</t>
  </si>
  <si>
    <t>วี วิศวะเครื่องกล</t>
  </si>
  <si>
    <t>เบส วิศวะเครื่องมือวัด</t>
  </si>
  <si>
    <t>ข้าวหอม วิศวะเครื่องกล</t>
  </si>
  <si>
    <t>ปาลม์ วิศวะเครื่องกล</t>
  </si>
  <si>
    <t>ออฟ วิศวะเคมี</t>
  </si>
  <si>
    <t>ข้าวหอม กิจกรรมแฮนด์ออน</t>
  </si>
  <si>
    <t>พี่ต้นกล้า กิจกรรมแฮนด์ออน</t>
  </si>
  <si>
    <t xml:space="preserve">พี่อาร์ท กิจกรรมแฮนด์ออน </t>
  </si>
  <si>
    <t>ออโต้ ภาค อุตสาหการ</t>
  </si>
  <si>
    <t>ทับทิม Chemen</t>
  </si>
  <si>
    <t>ภูมิ Isee</t>
  </si>
  <si>
    <t>ซีเกม Isee</t>
  </si>
  <si>
    <t>กิต Isee</t>
  </si>
  <si>
    <t>ทาม Isee</t>
  </si>
  <si>
    <t>รู้จักเพื่อนจากกิจกรรมตรวจสุขภาพ</t>
  </si>
  <si>
    <t>ปิงปอง PE สปาย ME มะเหมี่ยว ครุศาสตร์อุตสาหการ</t>
  </si>
  <si>
    <t>พี่เป็นพิธีกรที่ดี</t>
  </si>
  <si>
    <t>เซเว่น รู้จักจากเกมดึงกระดาษ</t>
  </si>
  <si>
    <t>กาฟิว ไออุ่น ต้อด</t>
  </si>
  <si>
    <t>กาฟิว เป็นคนแนะนำกิจกรรมต่างๆ</t>
  </si>
  <si>
    <t>บอส อุตสาหการ</t>
  </si>
  <si>
    <t>หมิง เครื่องมือและวัศดุ</t>
  </si>
  <si>
    <t>หมู อุตสาหการ</t>
  </si>
  <si>
    <t>ไทม์ รู้จักจากการถ่ายรูปภาควิชา</t>
  </si>
  <si>
    <t>พี่กอน cpe พี่เจเจ pe พี่ดีดี ไฟฟ้า</t>
  </si>
  <si>
    <t>พี่กอน เจอในวันปฐมนิเทศวันที่2</t>
  </si>
  <si>
    <t>กานต์ เคมี</t>
  </si>
  <si>
    <t>วิกเตอร์ เคมี</t>
  </si>
  <si>
    <t>ออฟ เคมี</t>
  </si>
  <si>
    <t>กานต์ คุยทั่วไป</t>
  </si>
  <si>
    <t>กาฟิว เคมี ตอช เคมี ไออุม เคมี</t>
  </si>
  <si>
    <t>กาฟิว พาไปชาร์จเเบต</t>
  </si>
  <si>
    <t>เเตน</t>
  </si>
  <si>
    <t>นานี่ EE</t>
  </si>
  <si>
    <t xml:space="preserve">นานี่ น่ารักครับชอบ </t>
  </si>
  <si>
    <t>พี่โอเว้น พี่พลอย พี่ไม่รู้</t>
  </si>
  <si>
    <t>พี่โอเว้น ใจดี น่ารัก</t>
  </si>
  <si>
    <t>น้ำ​ ภาคเคมี</t>
  </si>
  <si>
    <t>แพรวา​ ภาคเคมี</t>
  </si>
  <si>
    <t>ซิว​ ภาคเครื่องกล</t>
  </si>
  <si>
    <t>ซี​ ภาคคอม</t>
  </si>
  <si>
    <t>น้ำ​ ปฐมนิเทศวิศวะ​อยู่ฐานเดียวกันกินข้าวด้วยกันคุยสนุกดีอินโทรเวิด</t>
  </si>
  <si>
    <t>พี่ต้นอ้อ​ ภาคเครื่องกล​ พี่บุ๊คภาคคอม​ พี่การ์ฟิวภาคเคมี</t>
  </si>
  <si>
    <t>พี่ต้นอ้อเล่นเกมวันปฐมนิเทศวิศวะช่วยเล่นเกม</t>
  </si>
  <si>
    <t>Night ENE</t>
  </si>
  <si>
    <t>TAR ENE</t>
  </si>
  <si>
    <t>Apple EE</t>
  </si>
  <si>
    <t>Jo EE</t>
  </si>
  <si>
    <t>Gorya CPE</t>
  </si>
  <si>
    <t>Nut CE</t>
  </si>
  <si>
    <t xml:space="preserve">From orientation day, he was funny </t>
  </si>
  <si>
    <t>Palm he was kind and funny.</t>
  </si>
  <si>
    <t>Jyn Trigger Sunsu Lion Palm Anfield Kong</t>
  </si>
  <si>
    <t>ครับพี่ชาย</t>
  </si>
  <si>
    <t>ต้า อิเล้ก</t>
  </si>
  <si>
    <t>เวียร์ โยธา</t>
  </si>
  <si>
    <t>เซ็นโยธา</t>
  </si>
  <si>
    <t>เปเป้ อิเล้ก</t>
  </si>
  <si>
    <t>บีม อิเล้ก</t>
  </si>
  <si>
    <t>กิจกรรมฐานวันที่25 ตอนฐานสะพาน</t>
  </si>
  <si>
    <t>พี่ไอซ์ พี่บีเฟิส พี่มุก อิเล้ก</t>
  </si>
  <si>
    <t>พี่บีเฟิส เขาช่วยดูแลรุ่นน้องอย่างเต็มที่</t>
  </si>
  <si>
    <t>เจอฟอสที่งานนี้</t>
  </si>
  <si>
    <t>พี่จิน กิจกรรมนี้</t>
  </si>
  <si>
    <t>พี่ซัน พี่จิน พี่จิกเกอร์ โยธาหมด</t>
  </si>
  <si>
    <t>เน CHE</t>
  </si>
  <si>
    <t>อู๋ CHE</t>
  </si>
  <si>
    <t>แมท CHE</t>
  </si>
  <si>
    <t>ป้อง CHE</t>
  </si>
  <si>
    <t>ไบเบิ้ล CHE</t>
  </si>
  <si>
    <t>อู๋ CHE เจอกันในตอนกิจกรรมแล้วคุยเริ่อง ai กัน</t>
  </si>
  <si>
    <t>พี่เต พี่ออม พี่ฟิว</t>
  </si>
  <si>
    <t>พี่เต กิจกรรมถ่ายรูปภาค แล้วพี่เขาเป็นกันเอง</t>
  </si>
  <si>
    <t>1.1 เกิด 1.2น้ำอิง 1.3แก้มปุ๋ม 1.4บีม 1.5เกรซ</t>
  </si>
  <si>
    <t>1.1 เกิด ภาคเคมี</t>
  </si>
  <si>
    <t>1.2น้ำอิง ภาคเคมี</t>
  </si>
  <si>
    <t>1.3แก้มปุ๋ม ภาคเคมี</t>
  </si>
  <si>
    <t>1.4บีม ภาคเคมี</t>
  </si>
  <si>
    <t>1.5เกรซ ภาคเคมี</t>
  </si>
  <si>
    <t>1.6 ฟ้า ภาคอุตสาหกรรม</t>
  </si>
  <si>
    <t>น้ำอิง รู้จักกันตอนวิ่งรับเกียร์</t>
  </si>
  <si>
    <t>1.กาฟิว ภาคเคมี 2.ไออุ่น 3.มิว</t>
  </si>
  <si>
    <t>พี่กาฟิว รู้จักจากกิจกรรมปฐมนิเทศวันนี้ พี่เอนเนอร์จีเยอะมาก</t>
  </si>
  <si>
    <t>เอฟ (วิศวกรรมเคมี)</t>
  </si>
  <si>
    <t>ไนท์ (วิศวกรรมเคมี)</t>
  </si>
  <si>
    <t>เอิร์ท (วิศวกรรมเคมี)</t>
  </si>
  <si>
    <t>กาย (วิศวกรรมเคมี)</t>
  </si>
  <si>
    <t>เก็ต (วิศวกรรมเคมี)</t>
  </si>
  <si>
    <t>พี (วิศวกรรมเคมี)</t>
  </si>
  <si>
    <t>เอฟ (วิศวกรรมเคมี) - เคยรู้จักค่ายค่ายของมหาวิทยาลัยครับ</t>
  </si>
  <si>
    <t>1.)พี่ซี วิศวกรรมเคมี  2.)พี่กาฟิว  วิศวกรรมเคมี  3.)พี่นะโม วิศวกรรมเคมี</t>
  </si>
  <si>
    <t>พี่ซี วิศวกรรมเคมี - รู้จักในกิจกรรมภายในภาควิชา</t>
  </si>
  <si>
    <t>อะฟาฟ INC</t>
  </si>
  <si>
    <t>กวาง AME</t>
  </si>
  <si>
    <t>น็อบ AME</t>
  </si>
  <si>
    <t>นาย AME</t>
  </si>
  <si>
    <t>อะฟาฟ INC ได้กินข้าวด้วยกันตอนก่อนรวม</t>
  </si>
  <si>
    <t>1.พี่บอส 2.พี่เปา 3.พี่ปอนด์</t>
  </si>
  <si>
    <t>พี่บอส เข้ามาทักทายแล้วคุยเรื่องเรียนกัน รวมไปถึงเรื่องกิจกรรมที่ทำวันนี้</t>
  </si>
  <si>
    <t>Nac ce</t>
  </si>
  <si>
    <t>Meen ce</t>
  </si>
  <si>
    <t>Kong Ce</t>
  </si>
  <si>
    <t>Cartoon Pe</t>
  </si>
  <si>
    <t>Cartoon Mce</t>
  </si>
  <si>
    <t>I think I don't know much about my new friend, and I have no idea how to fill out this form</t>
  </si>
  <si>
    <t>ชื่อเล่น ติณ ภาควิชา CPE</t>
  </si>
  <si>
    <t>ชื่อเล่น ติว ภาควิชา CPE</t>
  </si>
  <si>
    <t>ชื่อเล่น ตูน ภาควิชา CPE</t>
  </si>
  <si>
    <t>ชื่อเล่น หญิง ภาควิชา CPE</t>
  </si>
  <si>
    <t>ชื่อเล่น เซฟ ภาควิชา CPE</t>
  </si>
  <si>
    <t>ติณ เพื่อนทักแล้วคุยกัน เป็นคน friendly คุยง่าย</t>
  </si>
  <si>
    <t>พี่น้ำ พี่ข้าวฟ่าง พี่ไอซ์</t>
  </si>
  <si>
    <t>พี่ไอซ์ ฐาน dodgeball พี่ชายเท่แบบมีสไตล์และตลก</t>
  </si>
  <si>
    <t>เซฟ ME</t>
  </si>
  <si>
    <t>ปาร์ม ME</t>
  </si>
  <si>
    <t>ซอ ME</t>
  </si>
  <si>
    <t>มาจากโรงเรียนในเครือเดียวกัน เห้นใส่เสื้อดำจากงานซิมโพเลยทักคุย</t>
  </si>
  <si>
    <t>พี่ภู พี่สายพิณ พี่ตูน</t>
  </si>
  <si>
    <t>พี่ตูน เห็นพี่เป้นคนตลกเลยไปคุยด้วย</t>
  </si>
  <si>
    <t>อัลฟ่า/MCE</t>
  </si>
  <si>
    <t>เนส/INC</t>
  </si>
  <si>
    <t>ต้นข้าว/MCE</t>
  </si>
  <si>
    <t>นัท/MCE</t>
  </si>
  <si>
    <t>ติ่มซำ/MCE</t>
  </si>
  <si>
    <t>อัลฟ่า เจอกันในงานปฐมนิเทศรวมคณะ แล้วได้นั่งข้างกัน แล้วบังเอิญอยู่ภาคเดียวกันอีก เลยเป็นคนที่รู้จักในภาคคนเเรก</t>
  </si>
  <si>
    <t>พี่นาย EE พี่อาร์ต INC พี่อุนจิ CPE</t>
  </si>
  <si>
    <t>พี่อุนจิ เป็นMCในฐานกิจกรรมในวันปฐมนิเทศ กิจกรรมสนึกพี่ตลก</t>
  </si>
  <si>
    <t>Lexie CHE</t>
  </si>
  <si>
    <t>Piy CHE</t>
  </si>
  <si>
    <t>Grace CHE</t>
  </si>
  <si>
    <t>Khawhom CHE</t>
  </si>
  <si>
    <t>Lexie, I get to have a chat with her in the morning while waiting for the activities to start</t>
  </si>
  <si>
    <t>P'ออม she helped manage and take care of us, juniors.</t>
  </si>
  <si>
    <t>P'ออม, P'ไออุ่น, P'กาฟิว</t>
  </si>
  <si>
    <t>Au me</t>
  </si>
  <si>
    <t>Baikhaw tme</t>
  </si>
  <si>
    <t>Jiw che</t>
  </si>
  <si>
    <t>First che</t>
  </si>
  <si>
    <t>Pleum che</t>
  </si>
  <si>
    <t>Au , we ate lunch together</t>
  </si>
  <si>
    <t>P’Garfew she take care us</t>
  </si>
  <si>
    <t>1Garfew che 2pangpond che 3madiew</t>
  </si>
  <si>
    <t>Jirat chemical engineer</t>
  </si>
  <si>
    <t>Grace chemical engineer</t>
  </si>
  <si>
    <t>Sor industrial engineer</t>
  </si>
  <si>
    <t>seven chemical engineering</t>
  </si>
  <si>
    <t>tata chemical engineer</t>
  </si>
  <si>
    <t>Tonkla hand ons</t>
  </si>
  <si>
    <t>Art hand ons ion chemical engineer grafil chemical engineer</t>
  </si>
  <si>
    <t>เมย์ เคมี</t>
  </si>
  <si>
    <t>ทรี เคมี</t>
  </si>
  <si>
    <t>ครีม เคมี</t>
  </si>
  <si>
    <t xml:space="preserve"> เดียว ปฐมนิเทศ คุยสนุก</t>
  </si>
  <si>
    <t>พี่ไออุ่น เคมี พี่โบนัส เคมี กาฟิว เคมี</t>
  </si>
  <si>
    <t>พี่ไออุ่น กิจกรรมปฐมนิเทศ</t>
  </si>
  <si>
    <t>หม่อน TNE</t>
  </si>
  <si>
    <t>เเซง TNE</t>
  </si>
  <si>
    <t>เเบกกิ้น CE</t>
  </si>
  <si>
    <t>เเบกกิ้น ปฐมนิเทศ</t>
  </si>
  <si>
    <t>พี่เฟีย ENV พี่ตี๋ ENV พี่มะเมี่ยว ครุ</t>
  </si>
  <si>
    <t>พี่เฟีย ปฐมนิเทศ</t>
  </si>
  <si>
    <t xml:space="preserve">ชินcpe </t>
  </si>
  <si>
    <t>Tylar cpe</t>
  </si>
  <si>
    <t>เนปจูน  ได้เจอกันตอนเดอนเข้าม.</t>
  </si>
  <si>
    <t>พี่มะเหมี่ยว พี่ไทม์ พี่รัก</t>
  </si>
  <si>
    <t>พี่ไทม์ รู้จักกันที่สนามแบดคุรุแบดมินตัน</t>
  </si>
  <si>
    <t>ตาล (ควบคุม) นาย(เครื่องกล) เจเจ(ไฟฟ้า) มีน(เครื่องกล) เชียร์(เคมี)</t>
  </si>
  <si>
    <t>ตาล ควบคุม</t>
  </si>
  <si>
    <t>นาย เครื่องกล</t>
  </si>
  <si>
    <t>มีน เครื่องกล</t>
  </si>
  <si>
    <t>นาย รู้จักตอนต่อแถวรับป้ายชื่อ</t>
  </si>
  <si>
    <t>พี่กาฟิวส์(เคมี) พี่ไอซ์(คอม) พี่กันต์ (ครื่องกล)</t>
  </si>
  <si>
    <t>พี่กาฟิวส์ รู้จักตอนรวมแถว พรี่เค้าคุยสนุก</t>
  </si>
  <si>
    <t>เบล อิเล็กทรอนิกส์</t>
  </si>
  <si>
    <t>ใบข้าว วัสดุ</t>
  </si>
  <si>
    <t>นาเดียร์ วัสดุ</t>
  </si>
  <si>
    <t>ไออิน วัสดุ</t>
  </si>
  <si>
    <t>เฟ้ย วัสดุ</t>
  </si>
  <si>
    <t>เบลเล่นเกมด้วยกัน นาเดียร์กับใบข้าวกับไออินรู้จักจากกิจกรรมนิสัยดีน่ารักแบบ67</t>
  </si>
  <si>
    <t>พี่มะเหมี่ยว สปาย ปิ่น</t>
  </si>
  <si>
    <t xml:space="preserve">สปาย เป็นเอ็มซี </t>
  </si>
  <si>
    <t>เป่ยเป่ย เคมี</t>
  </si>
  <si>
    <t>ลูกปัด เคมี</t>
  </si>
  <si>
    <t>อร เคมี</t>
  </si>
  <si>
    <t>ดวง โยธา</t>
  </si>
  <si>
    <t>ดวง ภาคโยธา ช่วยติดกระดาษกับเสื้อในฐานกิจกรรม</t>
  </si>
  <si>
    <t>พี่กาฟิว ช่วยเอ็นเตอร์เทนน้องๆในภาคระหว่างรอทำกิจกรรม</t>
  </si>
  <si>
    <t>ฝ้าย วิศวะเคมี</t>
  </si>
  <si>
    <t>อาอู๋ TME</t>
  </si>
  <si>
    <t>เรเชล SEM</t>
  </si>
  <si>
    <t>ฝ้าย เดินมาตึกปฐมนิเทศครั้งแรกแล้วไม่รู้ทางเจอเพื่อนเลยลองทักเพื่อนช่วยกันไปกินข้าวเที่ยง</t>
  </si>
  <si>
    <t xml:space="preserve">1.มะเหมี่ยว PTE 2.เจเจPE 3.บิว </t>
  </si>
  <si>
    <t>มะเหมี่ยว เป็น MC ของ มจธ.</t>
  </si>
  <si>
    <t>เชลซี TME</t>
  </si>
  <si>
    <t>อิน TME</t>
  </si>
  <si>
    <t>โชกุน TME</t>
  </si>
  <si>
    <t>กิต TME</t>
  </si>
  <si>
    <t>ชั่ง TME</t>
  </si>
  <si>
    <t>อิน รู้จักจากกิจกรรมปฐมนิเทศ</t>
  </si>
  <si>
    <t>พี่โอเว่น TME พี่ซือ TME พี่เชนTME</t>
  </si>
  <si>
    <t>พี่โอเว่น รู้จักจากกิจกรรมปฐมนิเทศ</t>
  </si>
  <si>
    <t>ต้า ChE</t>
  </si>
  <si>
    <t>ปลื้ม ChE</t>
  </si>
  <si>
    <t>โบ๊ท ChE</t>
  </si>
  <si>
    <t>บีม ได้รู้จักเพราะไปนั่งกินข้าวด้วยกันแล้วคุยถูกคอมาก</t>
  </si>
  <si>
    <t>1)พี่กาฟิ้ว ChE  2)พี่ชื่ออะไรไม่รู้ ภาควิชาวัดคุม</t>
  </si>
  <si>
    <t>พี่กาฟิ้ว เป็นคนนำทางไปที่ต่างๆเป็นคนตลกใจดีๆ</t>
  </si>
  <si>
    <t>ปลื้ม ภาคเคมี</t>
  </si>
  <si>
    <t>ไอซ์ ภาคเคมี</t>
  </si>
  <si>
    <t>โบ๊ท ภาคเคมี</t>
  </si>
  <si>
    <t>เอิ้ก ภาคเคมี</t>
  </si>
  <si>
    <t>กาก้า ภาคเคมี</t>
  </si>
  <si>
    <t>เอฟ ภาคเคมี</t>
  </si>
  <si>
    <t>ปลื้ม รู้จักจากไปตีแบดด้วยกันแล้วได้คุยกัน</t>
  </si>
  <si>
    <t>พี่ไออุ่น  พี่ตามขวัญ พี่การ์ฟิว</t>
  </si>
  <si>
    <t>พี่การ์ฟิวเพราะพี่เขาชวนคุยเก่งคับ</t>
  </si>
  <si>
    <t>แองจี้ สิ่งแวดล้อม</t>
  </si>
  <si>
    <t>ฟูจิ เคมี</t>
  </si>
  <si>
    <t>ซิว จำภาคไม่ได้</t>
  </si>
  <si>
    <t>มีน คอมพิวเตอร์</t>
  </si>
  <si>
    <t>ซิว เพื่อนป้ายจะหลุด ตอนเกมกึงป้าย</t>
  </si>
  <si>
    <t>พี่กาฟิว พี่เฟรช พี่อิมเมจ CHE</t>
  </si>
  <si>
    <t>พี่กาฟิว มาดูแลวันที่ 26</t>
  </si>
  <si>
    <t>1สไปร์ทCE 2ชิCE 3เฟิร์นCE 4วิทCE 5พูCE 6เฟิร์นINC 7ทอมCE</t>
  </si>
  <si>
    <t>สไปร์ท CE</t>
  </si>
  <si>
    <t>ชิ CE</t>
  </si>
  <si>
    <t>วิท CE</t>
  </si>
  <si>
    <t>พู CE</t>
  </si>
  <si>
    <t>สไปร์ท รู้ได้ที่กิจกรรมที่ให้หาเพื่อนให้ครบ12คนในภาพนาฬิการู้สึกว่าเพื่อนคุยสนุกดีเลยเริ่มชวนกันคุย</t>
  </si>
  <si>
    <t>1น้ำCE 2แชมป์CE 3อะตอมCE</t>
  </si>
  <si>
    <t>น้ำCE รู้จักจากตอนพักกลางวัน</t>
  </si>
  <si>
    <t>เพชร ภาควิชาวิศวกรรมวัสดุและเครื่องมือ</t>
  </si>
  <si>
    <t>พัศ ภาควิชาวิศวกรรมวัสดุและเครื่องมือ</t>
  </si>
  <si>
    <t>เพร ภาควิชาวิศวกรรมวัสดุและเครื่องมือ</t>
  </si>
  <si>
    <t>ตังค์ TME</t>
  </si>
  <si>
    <t>เพชร APE จากกิจกรรมถ่ายรูปรวมภาค</t>
  </si>
  <si>
    <t>พี่โอเว่นAPE พี่เฟิร์ส MEN พี่ซี APE</t>
  </si>
  <si>
    <t>พี่โอเว่น รู้จักจากกิจกรรมถ่ายรูปรวมภาค</t>
  </si>
  <si>
    <t>หมูหยอง เมคคาทรอนิก</t>
  </si>
  <si>
    <t>จิง เครื่องกล</t>
  </si>
  <si>
    <t>ไนท์ วิศวะเคมี</t>
  </si>
  <si>
    <t>เป วิศวะเคมี</t>
  </si>
  <si>
    <t>เป ช่วยกันทำกิจกรรม</t>
  </si>
  <si>
    <t>เนม ฟิว น้ำ เคมี เคมี เคมี</t>
  </si>
  <si>
    <t>รับเกียร์พี่ฟิว</t>
  </si>
  <si>
    <t>ภู ไฟฟ้าระบบ</t>
  </si>
  <si>
    <t>โน๊ต โยธา</t>
  </si>
  <si>
    <t>สอ ไฟฟ้า</t>
  </si>
  <si>
    <t>อุ้มเพื่อนที่เมคเฟรนคนแรก พาไปคบเพื่อนดีๆทั้งนั้น</t>
  </si>
  <si>
    <t>จำไม่ได้............</t>
  </si>
  <si>
    <t>เฟรนรี่.......ทุกคนเลย</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</si>
</sst>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การตอบแบบฟอร์ม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K1346" displayName="Form_Responses" name="Form_Responses" id="1">
  <tableColumns count="63">
    <tableColumn name="ประทับเวลา" id="1"/>
    <tableColumn name="คะแนน" id="2"/>
    <tableColumn name="คุณเรียนหลักสูตรอะไร (What program are you studying in?)" id="3"/>
    <tableColumn name="ชื่อ" id="4"/>
    <tableColumn name="นามสกุล" id="5"/>
    <tableColumn name="รหัสนักศึกษา_x000a_*สำหรับนักศึกษาใหม่ที่ยังไม่ได้รับรหัสนักศึกษาให้ใส่ 69070500000" id="6"/>
    <tableColumn name="ภาควิชา " id="7"/>
    <tableColumn name="1. ลองนึกถึงเพื่อนใหม่ที่คุณได้รู้จักจากกิจกรรมวันนี้" id="8"/>
    <tableColumn name="1.1 เพื่อนคนที่ 1 (โปรดระบุชื่อเล่นและภาควิชา)" id="9"/>
    <tableColumn name="1.2 เพื่อนคนที่ 2 (โปรดระบุชื่อเล่นและภาควิชา)" id="10"/>
    <tableColumn name="1.3 เพื่อนคนที่ 3 (โปรดระบุชื่อเล่นและภาควิชา)" id="11"/>
    <tableColumn name="1.4 เพื่อนคนที่ 4 (โปรดระบุชื่อเล่นและภาควิชา)" id="12"/>
    <tableColumn name="1.5 เพื่อนคนที่ 5 (โปรดระบุชื่อเล่นและภาควิชา)" id="13"/>
    <tableColumn name="1.6 เพื่อนคนอื่นๆ เพิ่มเติม (โปรดระบุชื่อเล่นและภาควิชา)" id="14"/>
    <tableColumn name="จากรายชื่อข้างต้น เลือกเพื่อนอย่างน้อย 1 คน แล้วเล่าสั้น ๆ ว่าคุณได้รู้จักเพื่อนคนนั้นจากกิจกรรมใด หรือมีเหตุการณ์อะไรที่ทำให้คุณจดจำหรือประทับใจ" id="15"/>
    <tableColumn name="ลองนึกถึงรุ่นพี่ที่คุณได้รู้จักจากกิจกรรมวันนี้ แล้วระบุชื่อเล่นและภาควิชาของรุ่นพี่อย่างน้อย 3 คน" id="16"/>
    <tableColumn name="จากรายชื่อข้างต้น เลือกรุ่นพี่อย่างน้อย 1 คน แล้วเล่าสั้น ๆ ว่าคุณได้รู้จักรุ่นพี่คนนั้นจากกิจกรรมใด หรือมีเหตุการณ์อะไรที่ทำให้คุณจดจำหรือประทับใจ" id="17"/>
    <tableColumn name="1. ถ้านักศึกษาต้องการดูวัน เวลาและเลขที่นั่งสอบในรายวิชาต่าง ๆ สามารถดูได้ที่ใด" id="18"/>
    <tableColumn name="2. นักศึกษาจำเป็นต้องเก็บชั่วโมงกิจกรรมอย่างน้อยกี่ชั่วโมง ต่อหนึ่งปีการศึกษา" id="19"/>
    <tableColumn name="3. แพลตฟอร์มใดที่ใช้ในการเรียนการสอนเป็นหลักของมจธ." id="20"/>
    <tableColumn name="4. ข้อใด” ไม่ใช่“ กิจกรรมส่วนกลางของหน่วยงาน คณะวิศวกรรมศาสตร์" id="21"/>
    <tableColumn name="5. หากนักศึกษาต้องการลงทะเบียนรายวิชา ลงทะเบียนล่าช้า เพิ่ม ลด และเปลี่ยนกลุ่มได้จากแพลตฟอร์มใด" id="22"/>
    <tableColumn name="6. ถ้านักศึกษาต้องลาป่วยหรือลากิจในรายวิชาต่าง ๆ ทางนักศึกษาต้องยื่นเอกสารใดให้กับอาจารย์ของรายวิชานั้น" id="23"/>
    <tableColumn name="7. หากนักศึกษาต้องการร้องเรียนปัญหาทั่วไปในมจธ. เช่น แอร์เสีย นักศึกษาต้องแจ้งในแพลตฟอร์มใด" id="24"/>
    <tableColumn name="8. ข้อใดต่อไปนี้ถือเป็นความผิดวินัยร้ายแรง" id="25"/>
    <tableColumn name="9. หากนักศึกษาต้องการเข้าร่วมกิจกรรมแข่งขันกีฬาภายในคณะวิศวกรรมศาสตร์ นักศึกษาควรเข้าร่วมกิจกรรมใด" id="26"/>
    <tableColumn name="10. หากนักศึกษาต้องการเดินทางไปยังห้อง CB2501 นักศึกษาจะต้องเดินทางไปที่อาคารใด ชั้นใด" id="27"/>
    <tableColumn name="11. หากนักศึกษาต้องการเข้าไปใช้บริการภายในหอสมุด นักศึกษาจำเป็นจะต้องเตรียมสิ่งใดไปด้วย" id="28"/>
    <tableColumn name="12. สมมุติว่านักศึกษามีการจัดสอบโดยที่นักศึกษาจะต้องไปสอบที่ห้อง SCL300นักศึกษาจะต้องเดินทางไปที่อาคารใด" id="29"/>
    <tableColumn name="13. ถ้านักศึกษารู้สึกป่วยหรือได้รับบาดเจ็บนักศึกษาสามารถขอรับการช่วยเหลือได้จากที่ใดในมจธ." id="30"/>
    <tableColumn name="14. หากนักศึกษาต้องการใช้เครื่องมือสร้างนวัตกรรม เช่น Laser Cutter หรือเครื่องพิมพ์ 3 มิติ ควรไปใช้บริการที่ใดของคณะฯ" id="31"/>
    <tableColumn name="15. นักศึกษาสามารถซื้อของที่จำเป็นต่อการเรียน เช่น เสื้อกราว อุปกรณ์เขียนแบบ เครื่องคิดเลข ได้จากที่ใดในมจธ." id="32"/>
    <tableColumn name="16. หากนักศึกษาต้องการติดต่อเรื่องคำร้องทางการศึกษา นักศึกษาควรติดต่อหน่วยงานใด" id="33"/>
    <tableColumn name="First name" id="34"/>
    <tableColumn name="Surname" id="35"/>
    <tableColumn name="Student ID_x000a_*For new students who haven't received a student ID, enter 69070500000" id="36"/>
    <tableColumn name="Department" id="37"/>
    <tableColumn name="1. Think of a new friend you met from today’s activity. " id="38"/>
    <tableColumn name="1.1 Friend 1 (Please state nickname and department)" id="39"/>
    <tableColumn name="1.2 Friend 2 (Please state nickname and department)" id="40"/>
    <tableColumn name="1.3 Friend 3 (Please state nickname and department)" id="41"/>
    <tableColumn name="1.4 Friend 4 (Please state nickname and department)" id="42"/>
    <tableColumn name="1.5 Friend 5 (Please state nickname and department)" id="43"/>
    <tableColumn name="1.6 Additional friends (Please state nickname and department)" id="44"/>
    <tableColumn name="2. From the list above, pick at least 1 friend and briefly share what activity you met them at, or what moment made them memorable to you." id="45"/>
    <tableColumn name="3. From the list above, pick at least 1 2nd-year senior and briefly share what activity you met them at, or what moment made them memorable to you." id="46"/>
    <tableColumn name="4. Think of a 2nd-year senior you met from today’s activity. List the nickname and department of at least 3 2nd-year senior." id="47"/>
    <tableColumn name="1. If students want to check the date, time, and seat number for their exams, where can they find this information?" id="48"/>
    <tableColumn name="2. How many activity hours are students required to complete per academic year?" id="49"/>
    <tableColumn name="3. Which platform is mainly used for teaching and learning at KMUTT?" id="50"/>
    <tableColumn name="4. Which of the following is NOT a central activity of the Faculty of Engineering?" id="51"/>
    <tableColumn name="5. If students want to register for courses, register late, add/drop, or change sections, which platform should they use?" id="52"/>
    <tableColumn name="6. If a student needs to take sick or personal leave from a class, which request forms must they submit to the instructor?" id="53"/>
    <tableColumn name="7. If students want to report a general campus issue such as a broken air conditioner, which platform should they use?" id="54"/>
    <tableColumn name="8. Which of the following counts as a serious disciplinary offense?" id="55"/>
    <tableColumn name="9. If a student wants to join a sports competition within the Faculty of Engineering, which event should they join?" id="56"/>
    <tableColumn name="10. If a student needs to get to room CB2501, which building and floor should they go to?" id="57"/>
    <tableColumn name="11. If a student wants to use the library, what do they need to bring?" id="58"/>
    <tableColumn name="12. Suppose a student need to take an exam in room SCL300, which building should they go to?" id="59"/>
    <tableColumn name="13. If a student feels sick or get injured, where can thry get help within KMUTT?" id="60"/>
    <tableColumn name="14. If a student want to use innovation tools such as a laser cutter or 3D printer, where in the faculty should they go?" id="61"/>
    <tableColumn name="15. Where can students buy items needed for your studies such as lab coats drafting tools and calculators within KMUTT?" id="62"/>
    <tableColumn name="16. If a student needs to contact someone about an academic request form, which office should they contact?" id="63"/>
  </tableColumns>
  <tableStyleInfo name="การตอบแบบฟอร์ม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7.63"/>
    <col customWidth="1" min="4" max="5" width="18.88"/>
    <col customWidth="1" min="6" max="6" width="37.63"/>
    <col customWidth="1" min="7" max="7" width="18.88"/>
    <col customWidth="1" min="8" max="24" width="37.63"/>
    <col customWidth="1" min="25" max="25" width="35.25"/>
    <col customWidth="1" min="26" max="33" width="37.63"/>
    <col customWidth="1" min="34" max="35" width="18.88"/>
    <col customWidth="1" min="36" max="36" width="37.63"/>
    <col customWidth="1" min="37" max="37" width="18.88"/>
    <col customWidth="1" min="38" max="63" width="37.63"/>
    <col customWidth="1" min="64" max="69" width="18.88"/>
  </cols>
  <sheetData>
    <row r="1" ht="22.5" customHeight="1">
      <c r="A1" s="3" t="s">
        <v>8</v>
      </c>
      <c r="B1" s="3" t="s">
        <v>9</v>
      </c>
      <c r="C1" s="3" t="s">
        <v>10</v>
      </c>
      <c r="D1" s="3" t="s">
        <v>1</v>
      </c>
      <c r="E1" s="3" t="s">
        <v>2</v>
      </c>
      <c r="F1" s="3" t="s">
        <v>11</v>
      </c>
      <c r="G1" s="3" t="s">
        <v>12</v>
      </c>
      <c r="H1" s="3" t="s">
        <v>13</v>
      </c>
      <c r="I1" s="3" t="s">
        <v>14</v>
      </c>
      <c r="J1" s="3" t="s">
        <v>15</v>
      </c>
      <c r="K1" s="3" t="s">
        <v>16</v>
      </c>
      <c r="L1" s="3" t="s">
        <v>17</v>
      </c>
      <c r="M1" s="3" t="s">
        <v>18</v>
      </c>
      <c r="N1" s="3" t="s">
        <v>19</v>
      </c>
      <c r="O1" s="3" t="s">
        <v>20</v>
      </c>
      <c r="P1" s="3" t="s">
        <v>21</v>
      </c>
      <c r="Q1" s="3" t="s">
        <v>22</v>
      </c>
      <c r="R1" s="3" t="s">
        <v>23</v>
      </c>
      <c r="S1" s="3" t="s">
        <v>24</v>
      </c>
      <c r="T1" s="3" t="s">
        <v>25</v>
      </c>
      <c r="U1" s="3" t="s">
        <v>26</v>
      </c>
      <c r="V1" s="3" t="s">
        <v>27</v>
      </c>
      <c r="W1" s="3" t="s">
        <v>28</v>
      </c>
      <c r="X1" s="3" t="s">
        <v>29</v>
      </c>
      <c r="Y1" s="3" t="s">
        <v>30</v>
      </c>
      <c r="Z1" s="3" t="s">
        <v>31</v>
      </c>
      <c r="AA1" s="3" t="s">
        <v>32</v>
      </c>
      <c r="AB1" s="3" t="s">
        <v>33</v>
      </c>
      <c r="AC1" s="3" t="s">
        <v>34</v>
      </c>
      <c r="AD1" s="3" t="s">
        <v>37</v>
      </c>
      <c r="AE1" s="3" t="s">
        <v>38</v>
      </c>
      <c r="AF1" s="3" t="s">
        <v>40</v>
      </c>
      <c r="AG1" s="3" t="s">
        <v>42</v>
      </c>
      <c r="AH1" s="3" t="s">
        <v>43</v>
      </c>
      <c r="AI1" s="3" t="s">
        <v>46</v>
      </c>
      <c r="AJ1" s="3" t="s">
        <v>47</v>
      </c>
      <c r="AK1" s="3" t="s">
        <v>50</v>
      </c>
      <c r="AL1" s="3" t="s">
        <v>51</v>
      </c>
      <c r="AM1" s="3" t="s">
        <v>54</v>
      </c>
      <c r="AN1" s="3" t="s">
        <v>55</v>
      </c>
      <c r="AO1" s="3" t="s">
        <v>58</v>
      </c>
      <c r="AP1" s="3" t="s">
        <v>59</v>
      </c>
      <c r="AQ1" s="3" t="s">
        <v>62</v>
      </c>
      <c r="AR1" s="3" t="s">
        <v>63</v>
      </c>
      <c r="AS1" s="3" t="s">
        <v>66</v>
      </c>
      <c r="AT1" s="3" t="s">
        <v>67</v>
      </c>
      <c r="AU1" s="3" t="s">
        <v>70</v>
      </c>
      <c r="AV1" s="3" t="s">
        <v>72</v>
      </c>
      <c r="AW1" s="3" t="s">
        <v>74</v>
      </c>
      <c r="AX1" s="3" t="s">
        <v>77</v>
      </c>
      <c r="AY1" s="3" t="s">
        <v>78</v>
      </c>
      <c r="AZ1" s="3" t="s">
        <v>81</v>
      </c>
      <c r="BA1" s="3" t="s">
        <v>82</v>
      </c>
      <c r="BB1" s="3" t="s">
        <v>85</v>
      </c>
      <c r="BC1" s="3" t="s">
        <v>87</v>
      </c>
      <c r="BD1" s="3" t="s">
        <v>89</v>
      </c>
      <c r="BE1" s="3" t="s">
        <v>92</v>
      </c>
      <c r="BF1" s="3" t="s">
        <v>93</v>
      </c>
      <c r="BG1" s="3" t="s">
        <v>96</v>
      </c>
      <c r="BH1" s="3" t="s">
        <v>99</v>
      </c>
      <c r="BI1" s="3" t="s">
        <v>100</v>
      </c>
      <c r="BJ1" s="3" t="s">
        <v>103</v>
      </c>
      <c r="BK1" s="3" t="s">
        <v>106</v>
      </c>
    </row>
    <row r="2" ht="22.5" customHeight="1">
      <c r="A2" s="4">
        <v>46229.69390482639</v>
      </c>
      <c r="B2" s="5">
        <v>0.0</v>
      </c>
      <c r="C2" s="6" t="s">
        <v>114</v>
      </c>
      <c r="D2" s="6" t="s">
        <v>116</v>
      </c>
      <c r="E2" s="6" t="s">
        <v>119</v>
      </c>
      <c r="F2" s="6">
        <v>6.9070509428E10</v>
      </c>
      <c r="G2" s="6" t="s">
        <v>122</v>
      </c>
      <c r="H2" s="7"/>
      <c r="I2" s="6" t="s">
        <v>125</v>
      </c>
      <c r="J2" s="6" t="s">
        <v>128</v>
      </c>
      <c r="K2" s="6" t="s">
        <v>131</v>
      </c>
      <c r="L2" s="6" t="s">
        <v>132</v>
      </c>
      <c r="M2" s="6" t="s">
        <v>133</v>
      </c>
      <c r="N2" s="7"/>
      <c r="O2" s="6" t="s">
        <v>138</v>
      </c>
      <c r="P2" s="6" t="s">
        <v>139</v>
      </c>
      <c r="Q2" s="6" t="s">
        <v>142</v>
      </c>
      <c r="R2" s="6" t="s">
        <v>145</v>
      </c>
      <c r="S2" s="6" t="s">
        <v>147</v>
      </c>
      <c r="T2" s="6" t="s">
        <v>149</v>
      </c>
      <c r="U2" s="6" t="s">
        <v>152</v>
      </c>
      <c r="V2" s="6" t="s">
        <v>155</v>
      </c>
      <c r="W2" s="6" t="s">
        <v>158</v>
      </c>
      <c r="X2" s="6" t="s">
        <v>161</v>
      </c>
      <c r="Y2" s="6" t="s">
        <v>162</v>
      </c>
      <c r="Z2" s="6" t="s">
        <v>165</v>
      </c>
      <c r="AA2" s="6" t="s">
        <v>168</v>
      </c>
      <c r="AB2" s="6" t="s">
        <v>171</v>
      </c>
      <c r="AC2" s="6" t="s">
        <v>174</v>
      </c>
      <c r="AD2" s="6" t="s">
        <v>175</v>
      </c>
      <c r="AE2" s="6" t="s">
        <v>178</v>
      </c>
      <c r="AF2" s="6" t="s">
        <v>181</v>
      </c>
      <c r="AG2" s="6" t="s">
        <v>182</v>
      </c>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row>
    <row r="3" ht="22.5" customHeight="1">
      <c r="A3" s="4">
        <v>46229.694012673615</v>
      </c>
      <c r="B3" s="5">
        <v>0.0</v>
      </c>
      <c r="C3" s="6" t="s">
        <v>114</v>
      </c>
      <c r="D3" s="6" t="s">
        <v>35</v>
      </c>
      <c r="E3" s="6" t="s">
        <v>36</v>
      </c>
      <c r="F3" s="6">
        <v>6.9070501257E10</v>
      </c>
      <c r="G3" s="6" t="s">
        <v>228</v>
      </c>
      <c r="H3" s="7"/>
      <c r="I3" s="6" t="s">
        <v>231</v>
      </c>
      <c r="J3" s="6" t="s">
        <v>232</v>
      </c>
      <c r="K3" s="6" t="s">
        <v>235</v>
      </c>
      <c r="L3" s="6" t="s">
        <v>236</v>
      </c>
      <c r="M3" s="6" t="s">
        <v>239</v>
      </c>
      <c r="N3" s="7"/>
      <c r="O3" s="6" t="s">
        <v>242</v>
      </c>
      <c r="P3" s="6" t="s">
        <v>243</v>
      </c>
      <c r="Q3" s="6" t="s">
        <v>243</v>
      </c>
      <c r="R3" s="6" t="s">
        <v>246</v>
      </c>
      <c r="S3" s="6" t="s">
        <v>147</v>
      </c>
      <c r="T3" s="6" t="s">
        <v>250</v>
      </c>
      <c r="U3" s="6" t="s">
        <v>252</v>
      </c>
      <c r="V3" s="6" t="s">
        <v>246</v>
      </c>
      <c r="W3" s="6" t="s">
        <v>158</v>
      </c>
      <c r="X3" s="6" t="s">
        <v>257</v>
      </c>
      <c r="Y3" s="6" t="s">
        <v>162</v>
      </c>
      <c r="Z3" s="6" t="s">
        <v>165</v>
      </c>
      <c r="AA3" s="6" t="s">
        <v>262</v>
      </c>
      <c r="AB3" s="6" t="s">
        <v>171</v>
      </c>
      <c r="AC3" s="6" t="s">
        <v>174</v>
      </c>
      <c r="AD3" s="6" t="s">
        <v>175</v>
      </c>
      <c r="AE3" s="6" t="s">
        <v>271</v>
      </c>
      <c r="AF3" s="6" t="s">
        <v>181</v>
      </c>
      <c r="AG3" s="6" t="s">
        <v>182</v>
      </c>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row>
    <row r="4" ht="22.5" customHeight="1">
      <c r="A4" s="4">
        <v>46229.69418702547</v>
      </c>
      <c r="B4" s="5">
        <v>0.0</v>
      </c>
      <c r="C4" s="6" t="s">
        <v>114</v>
      </c>
      <c r="D4" s="6" t="s">
        <v>39</v>
      </c>
      <c r="E4" s="6" t="s">
        <v>41</v>
      </c>
      <c r="F4" s="6">
        <v>6.9070500438E10</v>
      </c>
      <c r="G4" s="6" t="s">
        <v>310</v>
      </c>
      <c r="H4" s="7"/>
      <c r="I4" s="6" t="s">
        <v>313</v>
      </c>
      <c r="J4" s="6" t="s">
        <v>314</v>
      </c>
      <c r="K4" s="6" t="s">
        <v>317</v>
      </c>
      <c r="L4" s="6" t="s">
        <v>318</v>
      </c>
      <c r="M4" s="6" t="s">
        <v>321</v>
      </c>
      <c r="N4" s="6" t="s">
        <v>322</v>
      </c>
      <c r="O4" s="6" t="s">
        <v>324</v>
      </c>
      <c r="P4" s="6" t="s">
        <v>326</v>
      </c>
      <c r="Q4" s="6" t="s">
        <v>327</v>
      </c>
      <c r="R4" s="6" t="s">
        <v>257</v>
      </c>
      <c r="S4" s="6" t="s">
        <v>147</v>
      </c>
      <c r="T4" s="6" t="s">
        <v>250</v>
      </c>
      <c r="U4" s="6" t="s">
        <v>252</v>
      </c>
      <c r="V4" s="6" t="s">
        <v>246</v>
      </c>
      <c r="W4" s="6" t="s">
        <v>158</v>
      </c>
      <c r="X4" s="6" t="s">
        <v>257</v>
      </c>
      <c r="Y4" s="6" t="s">
        <v>162</v>
      </c>
      <c r="Z4" s="6" t="s">
        <v>165</v>
      </c>
      <c r="AA4" s="6" t="s">
        <v>262</v>
      </c>
      <c r="AB4" s="6" t="s">
        <v>171</v>
      </c>
      <c r="AC4" s="6" t="s">
        <v>174</v>
      </c>
      <c r="AD4" s="6" t="s">
        <v>175</v>
      </c>
      <c r="AE4" s="6" t="s">
        <v>271</v>
      </c>
      <c r="AF4" s="6" t="s">
        <v>181</v>
      </c>
      <c r="AG4" s="6" t="s">
        <v>182</v>
      </c>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row>
    <row r="5" ht="22.5" customHeight="1">
      <c r="A5" s="4">
        <v>46229.69430862268</v>
      </c>
      <c r="B5" s="5">
        <v>0.0</v>
      </c>
      <c r="C5" s="6" t="s">
        <v>114</v>
      </c>
      <c r="D5" s="6" t="s">
        <v>44</v>
      </c>
      <c r="E5" s="6" t="s">
        <v>45</v>
      </c>
      <c r="F5" s="6">
        <v>6.9070500488E10</v>
      </c>
      <c r="G5" s="6" t="s">
        <v>310</v>
      </c>
      <c r="H5" s="7"/>
      <c r="I5" s="6" t="s">
        <v>377</v>
      </c>
      <c r="J5" s="6" t="s">
        <v>379</v>
      </c>
      <c r="K5" s="6" t="s">
        <v>380</v>
      </c>
      <c r="L5" s="6" t="s">
        <v>383</v>
      </c>
      <c r="M5" s="6" t="s">
        <v>384</v>
      </c>
      <c r="N5" s="7"/>
      <c r="O5" s="6" t="s">
        <v>387</v>
      </c>
      <c r="P5" s="6" t="s">
        <v>390</v>
      </c>
      <c r="Q5" s="6" t="s">
        <v>391</v>
      </c>
      <c r="R5" s="6" t="s">
        <v>246</v>
      </c>
      <c r="S5" s="6" t="s">
        <v>147</v>
      </c>
      <c r="T5" s="6" t="s">
        <v>250</v>
      </c>
      <c r="U5" s="6" t="s">
        <v>252</v>
      </c>
      <c r="V5" s="6" t="s">
        <v>246</v>
      </c>
      <c r="W5" s="6" t="s">
        <v>158</v>
      </c>
      <c r="X5" s="6" t="s">
        <v>257</v>
      </c>
      <c r="Y5" s="6" t="s">
        <v>162</v>
      </c>
      <c r="Z5" s="6" t="s">
        <v>165</v>
      </c>
      <c r="AA5" s="6" t="s">
        <v>262</v>
      </c>
      <c r="AB5" s="6" t="s">
        <v>171</v>
      </c>
      <c r="AC5" s="6" t="s">
        <v>174</v>
      </c>
      <c r="AD5" s="6" t="s">
        <v>175</v>
      </c>
      <c r="AE5" s="6" t="s">
        <v>271</v>
      </c>
      <c r="AF5" s="6" t="s">
        <v>181</v>
      </c>
      <c r="AG5" s="6" t="s">
        <v>182</v>
      </c>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row>
    <row r="6" ht="22.5" customHeight="1">
      <c r="A6" s="4">
        <v>46229.694616319444</v>
      </c>
      <c r="B6" s="5">
        <v>0.0</v>
      </c>
      <c r="C6" s="6" t="s">
        <v>114</v>
      </c>
      <c r="D6" s="6" t="s">
        <v>48</v>
      </c>
      <c r="E6" s="6" t="s">
        <v>49</v>
      </c>
      <c r="F6" s="6">
        <v>6.9070500473E10</v>
      </c>
      <c r="G6" s="6" t="s">
        <v>310</v>
      </c>
      <c r="H6" s="7"/>
      <c r="I6" s="6" t="s">
        <v>442</v>
      </c>
      <c r="J6" s="6" t="s">
        <v>443</v>
      </c>
      <c r="K6" s="6" t="s">
        <v>446</v>
      </c>
      <c r="L6" s="6" t="s">
        <v>447</v>
      </c>
      <c r="M6" s="6" t="s">
        <v>448</v>
      </c>
      <c r="N6" s="7"/>
      <c r="O6" s="6" t="s">
        <v>451</v>
      </c>
      <c r="P6" s="6" t="s">
        <v>452</v>
      </c>
      <c r="Q6" s="6" t="s">
        <v>453</v>
      </c>
      <c r="R6" s="6" t="s">
        <v>257</v>
      </c>
      <c r="S6" s="6" t="s">
        <v>147</v>
      </c>
      <c r="T6" s="6" t="s">
        <v>250</v>
      </c>
      <c r="U6" s="6" t="s">
        <v>252</v>
      </c>
      <c r="V6" s="6" t="s">
        <v>246</v>
      </c>
      <c r="W6" s="6" t="s">
        <v>158</v>
      </c>
      <c r="X6" s="6" t="s">
        <v>458</v>
      </c>
      <c r="Y6" s="6" t="s">
        <v>162</v>
      </c>
      <c r="Z6" s="6" t="s">
        <v>165</v>
      </c>
      <c r="AA6" s="6" t="s">
        <v>262</v>
      </c>
      <c r="AB6" s="6" t="s">
        <v>171</v>
      </c>
      <c r="AC6" s="6" t="s">
        <v>174</v>
      </c>
      <c r="AD6" s="6" t="s">
        <v>175</v>
      </c>
      <c r="AE6" s="6" t="s">
        <v>271</v>
      </c>
      <c r="AF6" s="6" t="s">
        <v>181</v>
      </c>
      <c r="AG6" s="6" t="s">
        <v>182</v>
      </c>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row>
    <row r="7" ht="22.5" customHeight="1">
      <c r="A7" s="4">
        <v>46229.694618622685</v>
      </c>
      <c r="B7" s="5">
        <v>0.0</v>
      </c>
      <c r="C7" s="6" t="s">
        <v>114</v>
      </c>
      <c r="D7" s="6" t="s">
        <v>52</v>
      </c>
      <c r="E7" s="6" t="s">
        <v>53</v>
      </c>
      <c r="F7" s="6">
        <v>6.9070509831E10</v>
      </c>
      <c r="G7" s="6" t="s">
        <v>496</v>
      </c>
      <c r="H7" s="7"/>
      <c r="I7" s="6" t="s">
        <v>499</v>
      </c>
      <c r="J7" s="6" t="s">
        <v>500</v>
      </c>
      <c r="K7" s="6" t="s">
        <v>503</v>
      </c>
      <c r="L7" s="6" t="s">
        <v>504</v>
      </c>
      <c r="M7" s="6" t="s">
        <v>506</v>
      </c>
      <c r="N7" s="7"/>
      <c r="O7" s="6" t="s">
        <v>508</v>
      </c>
      <c r="P7" s="6" t="s">
        <v>510</v>
      </c>
      <c r="Q7" s="6" t="s">
        <v>513</v>
      </c>
      <c r="R7" s="6" t="s">
        <v>246</v>
      </c>
      <c r="S7" s="6" t="s">
        <v>147</v>
      </c>
      <c r="T7" s="6" t="s">
        <v>516</v>
      </c>
      <c r="U7" s="6" t="s">
        <v>252</v>
      </c>
      <c r="V7" s="6" t="s">
        <v>246</v>
      </c>
      <c r="W7" s="6" t="s">
        <v>158</v>
      </c>
      <c r="X7" s="6" t="s">
        <v>161</v>
      </c>
      <c r="Y7" s="6" t="s">
        <v>162</v>
      </c>
      <c r="Z7" s="6" t="s">
        <v>165</v>
      </c>
      <c r="AA7" s="6" t="s">
        <v>262</v>
      </c>
      <c r="AB7" s="6" t="s">
        <v>521</v>
      </c>
      <c r="AC7" s="6" t="s">
        <v>174</v>
      </c>
      <c r="AD7" s="6" t="s">
        <v>175</v>
      </c>
      <c r="AE7" s="6" t="s">
        <v>524</v>
      </c>
      <c r="AF7" s="6" t="s">
        <v>181</v>
      </c>
      <c r="AG7" s="6" t="s">
        <v>182</v>
      </c>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row>
    <row r="8" ht="22.5" customHeight="1">
      <c r="A8" s="4">
        <v>46229.694627951394</v>
      </c>
      <c r="B8" s="5">
        <v>0.0</v>
      </c>
      <c r="C8" s="6" t="s">
        <v>114</v>
      </c>
      <c r="D8" s="6" t="s">
        <v>56</v>
      </c>
      <c r="E8" s="6" t="s">
        <v>57</v>
      </c>
      <c r="F8" s="6">
        <v>6.907050047E10</v>
      </c>
      <c r="G8" s="6" t="s">
        <v>310</v>
      </c>
      <c r="H8" s="7"/>
      <c r="I8" s="6" t="s">
        <v>546</v>
      </c>
      <c r="J8" s="6" t="s">
        <v>547</v>
      </c>
      <c r="K8" s="6" t="s">
        <v>550</v>
      </c>
      <c r="L8" s="6" t="s">
        <v>551</v>
      </c>
      <c r="M8" s="6" t="s">
        <v>552</v>
      </c>
      <c r="N8" s="7"/>
      <c r="O8" s="6" t="s">
        <v>555</v>
      </c>
      <c r="P8" s="6" t="s">
        <v>556</v>
      </c>
      <c r="Q8" s="6" t="s">
        <v>557</v>
      </c>
      <c r="R8" s="6" t="s">
        <v>246</v>
      </c>
      <c r="S8" s="6" t="s">
        <v>147</v>
      </c>
      <c r="T8" s="6" t="s">
        <v>250</v>
      </c>
      <c r="U8" s="6" t="s">
        <v>560</v>
      </c>
      <c r="V8" s="6" t="s">
        <v>246</v>
      </c>
      <c r="W8" s="6" t="s">
        <v>158</v>
      </c>
      <c r="X8" s="6" t="s">
        <v>246</v>
      </c>
      <c r="Y8" s="6" t="s">
        <v>162</v>
      </c>
      <c r="Z8" s="6" t="s">
        <v>165</v>
      </c>
      <c r="AA8" s="6" t="s">
        <v>262</v>
      </c>
      <c r="AB8" s="6" t="s">
        <v>171</v>
      </c>
      <c r="AC8" s="6" t="s">
        <v>174</v>
      </c>
      <c r="AD8" s="6" t="s">
        <v>175</v>
      </c>
      <c r="AE8" s="6" t="s">
        <v>271</v>
      </c>
      <c r="AF8" s="6" t="s">
        <v>181</v>
      </c>
      <c r="AG8" s="6" t="s">
        <v>182</v>
      </c>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row>
    <row r="9" ht="22.5" customHeight="1">
      <c r="A9" s="4">
        <v>46229.694664375</v>
      </c>
      <c r="B9" s="5">
        <v>0.0</v>
      </c>
      <c r="C9" s="6" t="s">
        <v>114</v>
      </c>
      <c r="D9" s="6" t="s">
        <v>60</v>
      </c>
      <c r="E9" s="6" t="s">
        <v>61</v>
      </c>
      <c r="F9" s="6">
        <v>6.9070506445E10</v>
      </c>
      <c r="G9" s="6" t="s">
        <v>599</v>
      </c>
      <c r="H9" s="6" t="s">
        <v>601</v>
      </c>
      <c r="I9" s="6" t="s">
        <v>603</v>
      </c>
      <c r="J9" s="6" t="s">
        <v>604</v>
      </c>
      <c r="K9" s="6" t="s">
        <v>607</v>
      </c>
      <c r="L9" s="6" t="s">
        <v>608</v>
      </c>
      <c r="M9" s="6" t="s">
        <v>611</v>
      </c>
      <c r="N9" s="6" t="s">
        <v>612</v>
      </c>
      <c r="O9" s="6" t="s">
        <v>615</v>
      </c>
      <c r="P9" s="6" t="s">
        <v>616</v>
      </c>
      <c r="Q9" s="6" t="s">
        <v>619</v>
      </c>
      <c r="R9" s="6" t="s">
        <v>257</v>
      </c>
      <c r="S9" s="6" t="s">
        <v>147</v>
      </c>
      <c r="T9" s="6" t="s">
        <v>257</v>
      </c>
      <c r="U9" s="6" t="s">
        <v>560</v>
      </c>
      <c r="V9" s="6" t="s">
        <v>458</v>
      </c>
      <c r="W9" s="6" t="s">
        <v>625</v>
      </c>
      <c r="X9" s="6" t="s">
        <v>257</v>
      </c>
      <c r="Y9" s="6" t="s">
        <v>162</v>
      </c>
      <c r="Z9" s="6" t="s">
        <v>629</v>
      </c>
      <c r="AA9" s="6" t="s">
        <v>168</v>
      </c>
      <c r="AB9" s="6" t="s">
        <v>521</v>
      </c>
      <c r="AC9" s="6" t="s">
        <v>633</v>
      </c>
      <c r="AD9" s="6" t="s">
        <v>635</v>
      </c>
      <c r="AE9" s="6" t="s">
        <v>524</v>
      </c>
      <c r="AF9" s="6" t="s">
        <v>638</v>
      </c>
      <c r="AG9" s="6" t="s">
        <v>641</v>
      </c>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row>
    <row r="10" ht="22.5" customHeight="1">
      <c r="A10" s="4">
        <v>46229.69480935185</v>
      </c>
      <c r="B10" s="5">
        <v>0.0</v>
      </c>
      <c r="C10" s="6" t="s">
        <v>114</v>
      </c>
      <c r="D10" s="6" t="s">
        <v>64</v>
      </c>
      <c r="E10" s="6" t="s">
        <v>65</v>
      </c>
      <c r="F10" s="6">
        <v>6.9070502818E10</v>
      </c>
      <c r="G10" s="6" t="s">
        <v>310</v>
      </c>
      <c r="H10" s="7"/>
      <c r="I10" s="6" t="s">
        <v>667</v>
      </c>
      <c r="J10" s="6" t="s">
        <v>668</v>
      </c>
      <c r="K10" s="6" t="s">
        <v>670</v>
      </c>
      <c r="L10" s="6" t="s">
        <v>671</v>
      </c>
      <c r="M10" s="6" t="s">
        <v>673</v>
      </c>
      <c r="N10" s="7"/>
      <c r="O10" s="6" t="s">
        <v>675</v>
      </c>
      <c r="P10" s="6" t="s">
        <v>678</v>
      </c>
      <c r="Q10" s="6" t="s">
        <v>679</v>
      </c>
      <c r="R10" s="6" t="s">
        <v>257</v>
      </c>
      <c r="S10" s="6" t="s">
        <v>147</v>
      </c>
      <c r="T10" s="6" t="s">
        <v>246</v>
      </c>
      <c r="U10" s="6" t="s">
        <v>686</v>
      </c>
      <c r="V10" s="6" t="s">
        <v>246</v>
      </c>
      <c r="W10" s="6" t="s">
        <v>158</v>
      </c>
      <c r="X10" s="6" t="s">
        <v>257</v>
      </c>
      <c r="Y10" s="6" t="s">
        <v>162</v>
      </c>
      <c r="Z10" s="6" t="s">
        <v>165</v>
      </c>
      <c r="AA10" s="6" t="s">
        <v>641</v>
      </c>
      <c r="AB10" s="6" t="s">
        <v>171</v>
      </c>
      <c r="AC10" s="6" t="s">
        <v>174</v>
      </c>
      <c r="AD10" s="6" t="s">
        <v>175</v>
      </c>
      <c r="AE10" s="6" t="s">
        <v>271</v>
      </c>
      <c r="AF10" s="6" t="s">
        <v>181</v>
      </c>
      <c r="AG10" s="6" t="s">
        <v>182</v>
      </c>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row>
    <row r="11" ht="22.5" customHeight="1">
      <c r="A11" s="4">
        <v>46229.6948184375</v>
      </c>
      <c r="B11" s="5">
        <v>0.0</v>
      </c>
      <c r="C11" s="6" t="s">
        <v>114</v>
      </c>
      <c r="D11" s="6" t="s">
        <v>68</v>
      </c>
      <c r="E11" s="6" t="s">
        <v>69</v>
      </c>
      <c r="F11" s="6">
        <v>6.9070508217E10</v>
      </c>
      <c r="G11" s="6" t="s">
        <v>730</v>
      </c>
      <c r="H11" s="7"/>
      <c r="I11" s="6" t="s">
        <v>733</v>
      </c>
      <c r="J11" s="6" t="s">
        <v>734</v>
      </c>
      <c r="K11" s="6" t="s">
        <v>735</v>
      </c>
      <c r="L11" s="6" t="s">
        <v>737</v>
      </c>
      <c r="M11" s="6" t="s">
        <v>738</v>
      </c>
      <c r="N11" s="7"/>
      <c r="O11" s="6" t="s">
        <v>741</v>
      </c>
      <c r="P11" s="6" t="s">
        <v>742</v>
      </c>
      <c r="Q11" s="6" t="s">
        <v>745</v>
      </c>
      <c r="R11" s="6" t="s">
        <v>246</v>
      </c>
      <c r="S11" s="6" t="s">
        <v>147</v>
      </c>
      <c r="T11" s="6" t="s">
        <v>246</v>
      </c>
      <c r="U11" s="6" t="s">
        <v>252</v>
      </c>
      <c r="V11" s="6" t="s">
        <v>246</v>
      </c>
      <c r="W11" s="6" t="s">
        <v>158</v>
      </c>
      <c r="X11" s="6" t="s">
        <v>257</v>
      </c>
      <c r="Y11" s="6" t="s">
        <v>162</v>
      </c>
      <c r="Z11" s="6" t="s">
        <v>165</v>
      </c>
      <c r="AA11" s="6" t="s">
        <v>641</v>
      </c>
      <c r="AB11" s="6" t="s">
        <v>521</v>
      </c>
      <c r="AC11" s="6" t="s">
        <v>174</v>
      </c>
      <c r="AD11" s="6" t="s">
        <v>175</v>
      </c>
      <c r="AE11" s="6" t="s">
        <v>271</v>
      </c>
      <c r="AF11" s="6" t="s">
        <v>181</v>
      </c>
      <c r="AG11" s="6" t="s">
        <v>182</v>
      </c>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row>
    <row r="12" ht="22.5" customHeight="1">
      <c r="A12" s="4">
        <v>46229.694835057875</v>
      </c>
      <c r="B12" s="5">
        <v>0.0</v>
      </c>
      <c r="C12" s="6" t="s">
        <v>114</v>
      </c>
      <c r="D12" s="6" t="s">
        <v>71</v>
      </c>
      <c r="E12" s="6" t="s">
        <v>73</v>
      </c>
      <c r="F12" s="6">
        <v>6.9070500881E10</v>
      </c>
      <c r="G12" s="6" t="s">
        <v>496</v>
      </c>
      <c r="H12" s="6" t="s">
        <v>782</v>
      </c>
      <c r="I12" s="6" t="s">
        <v>783</v>
      </c>
      <c r="J12" s="6" t="s">
        <v>785</v>
      </c>
      <c r="K12" s="6" t="s">
        <v>787</v>
      </c>
      <c r="L12" s="6" t="s">
        <v>788</v>
      </c>
      <c r="M12" s="6" t="s">
        <v>791</v>
      </c>
      <c r="N12" s="7"/>
      <c r="O12" s="6" t="s">
        <v>793</v>
      </c>
      <c r="P12" s="6" t="s">
        <v>795</v>
      </c>
      <c r="Q12" s="6" t="s">
        <v>796</v>
      </c>
      <c r="R12" s="6" t="s">
        <v>246</v>
      </c>
      <c r="S12" s="6" t="s">
        <v>147</v>
      </c>
      <c r="T12" s="6" t="s">
        <v>246</v>
      </c>
      <c r="U12" s="6" t="s">
        <v>252</v>
      </c>
      <c r="V12" s="6" t="s">
        <v>246</v>
      </c>
      <c r="W12" s="6" t="s">
        <v>158</v>
      </c>
      <c r="X12" s="6" t="s">
        <v>246</v>
      </c>
      <c r="Y12" s="6" t="s">
        <v>162</v>
      </c>
      <c r="Z12" s="6" t="s">
        <v>804</v>
      </c>
      <c r="AA12" s="6" t="s">
        <v>262</v>
      </c>
      <c r="AB12" s="6" t="s">
        <v>171</v>
      </c>
      <c r="AC12" s="6" t="s">
        <v>174</v>
      </c>
      <c r="AD12" s="6" t="s">
        <v>175</v>
      </c>
      <c r="AE12" s="6" t="s">
        <v>178</v>
      </c>
      <c r="AF12" s="6" t="s">
        <v>811</v>
      </c>
      <c r="AG12" s="6" t="s">
        <v>812</v>
      </c>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row>
    <row r="13" ht="22.5" customHeight="1">
      <c r="A13" s="4">
        <v>46229.69485204861</v>
      </c>
      <c r="B13" s="5">
        <v>0.0</v>
      </c>
      <c r="C13" s="6" t="s">
        <v>114</v>
      </c>
      <c r="D13" s="6" t="s">
        <v>75</v>
      </c>
      <c r="E13" s="6" t="s">
        <v>76</v>
      </c>
      <c r="F13" s="6">
        <v>6.9070502406E10</v>
      </c>
      <c r="G13" s="6" t="s">
        <v>122</v>
      </c>
      <c r="H13" s="6" t="s">
        <v>843</v>
      </c>
      <c r="I13" s="6" t="s">
        <v>846</v>
      </c>
      <c r="J13" s="6" t="s">
        <v>848</v>
      </c>
      <c r="K13" s="6" t="s">
        <v>850</v>
      </c>
      <c r="L13" s="6" t="s">
        <v>851</v>
      </c>
      <c r="M13" s="6" t="s">
        <v>854</v>
      </c>
      <c r="N13" s="7"/>
      <c r="O13" s="6" t="s">
        <v>856</v>
      </c>
      <c r="P13" s="6" t="s">
        <v>858</v>
      </c>
      <c r="Q13" s="6" t="s">
        <v>859</v>
      </c>
      <c r="R13" s="6" t="s">
        <v>861</v>
      </c>
      <c r="S13" s="6" t="s">
        <v>147</v>
      </c>
      <c r="T13" s="6" t="s">
        <v>250</v>
      </c>
      <c r="U13" s="6" t="s">
        <v>152</v>
      </c>
      <c r="V13" s="6" t="s">
        <v>246</v>
      </c>
      <c r="W13" s="6" t="s">
        <v>158</v>
      </c>
      <c r="X13" s="6" t="s">
        <v>257</v>
      </c>
      <c r="Y13" s="6" t="s">
        <v>162</v>
      </c>
      <c r="Z13" s="6" t="s">
        <v>165</v>
      </c>
      <c r="AA13" s="6" t="s">
        <v>262</v>
      </c>
      <c r="AB13" s="6" t="s">
        <v>521</v>
      </c>
      <c r="AC13" s="6" t="s">
        <v>174</v>
      </c>
      <c r="AD13" s="6" t="s">
        <v>175</v>
      </c>
      <c r="AE13" s="6" t="s">
        <v>271</v>
      </c>
      <c r="AF13" s="6" t="s">
        <v>181</v>
      </c>
      <c r="AG13" s="6" t="s">
        <v>182</v>
      </c>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row>
    <row r="14" ht="22.5" customHeight="1">
      <c r="A14" s="4">
        <v>46229.694968449076</v>
      </c>
      <c r="B14" s="5">
        <v>0.0</v>
      </c>
      <c r="C14" s="6" t="s">
        <v>114</v>
      </c>
      <c r="D14" s="6" t="s">
        <v>79</v>
      </c>
      <c r="E14" s="6" t="s">
        <v>80</v>
      </c>
      <c r="F14" s="6">
        <v>6.9070509451E10</v>
      </c>
      <c r="G14" s="6" t="s">
        <v>122</v>
      </c>
      <c r="H14" s="6" t="s">
        <v>910</v>
      </c>
      <c r="I14" s="6" t="s">
        <v>911</v>
      </c>
      <c r="J14" s="6" t="s">
        <v>913</v>
      </c>
      <c r="K14" s="6" t="s">
        <v>915</v>
      </c>
      <c r="L14" s="6" t="s">
        <v>918</v>
      </c>
      <c r="M14" s="6" t="s">
        <v>919</v>
      </c>
      <c r="N14" s="6" t="s">
        <v>922</v>
      </c>
      <c r="O14" s="6" t="s">
        <v>925</v>
      </c>
      <c r="P14" s="6" t="s">
        <v>926</v>
      </c>
      <c r="Q14" s="6" t="s">
        <v>927</v>
      </c>
      <c r="R14" s="6" t="s">
        <v>246</v>
      </c>
      <c r="S14" s="6" t="s">
        <v>147</v>
      </c>
      <c r="T14" s="6" t="s">
        <v>516</v>
      </c>
      <c r="U14" s="6" t="s">
        <v>686</v>
      </c>
      <c r="V14" s="6" t="s">
        <v>155</v>
      </c>
      <c r="W14" s="6" t="s">
        <v>932</v>
      </c>
      <c r="X14" s="6" t="s">
        <v>161</v>
      </c>
      <c r="Y14" s="6" t="s">
        <v>162</v>
      </c>
      <c r="Z14" s="6" t="s">
        <v>165</v>
      </c>
      <c r="AA14" s="6" t="s">
        <v>262</v>
      </c>
      <c r="AB14" s="6" t="s">
        <v>521</v>
      </c>
      <c r="AC14" s="6" t="s">
        <v>633</v>
      </c>
      <c r="AD14" s="6" t="s">
        <v>635</v>
      </c>
      <c r="AE14" s="6" t="s">
        <v>271</v>
      </c>
      <c r="AF14" s="6" t="s">
        <v>181</v>
      </c>
      <c r="AG14" s="6" t="s">
        <v>182</v>
      </c>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row>
    <row r="15" ht="22.5" customHeight="1">
      <c r="A15" s="4">
        <v>46229.69512524306</v>
      </c>
      <c r="B15" s="5">
        <v>0.0</v>
      </c>
      <c r="C15" s="6" t="s">
        <v>114</v>
      </c>
      <c r="D15" s="6" t="s">
        <v>83</v>
      </c>
      <c r="E15" s="6" t="s">
        <v>84</v>
      </c>
      <c r="F15" s="6">
        <v>6.9070500471E10</v>
      </c>
      <c r="G15" s="6" t="s">
        <v>310</v>
      </c>
      <c r="H15" s="7"/>
      <c r="I15" s="6" t="s">
        <v>971</v>
      </c>
      <c r="J15" s="6" t="s">
        <v>973</v>
      </c>
      <c r="K15" s="6" t="s">
        <v>974</v>
      </c>
      <c r="L15" s="6" t="s">
        <v>977</v>
      </c>
      <c r="M15" s="6" t="s">
        <v>443</v>
      </c>
      <c r="N15" s="7"/>
      <c r="O15" s="6" t="s">
        <v>980</v>
      </c>
      <c r="P15" s="6" t="s">
        <v>981</v>
      </c>
      <c r="Q15" s="6" t="s">
        <v>984</v>
      </c>
      <c r="R15" s="6" t="s">
        <v>246</v>
      </c>
      <c r="S15" s="6" t="s">
        <v>147</v>
      </c>
      <c r="T15" s="6" t="s">
        <v>246</v>
      </c>
      <c r="U15" s="6" t="s">
        <v>686</v>
      </c>
      <c r="V15" s="6" t="s">
        <v>246</v>
      </c>
      <c r="W15" s="6" t="s">
        <v>158</v>
      </c>
      <c r="X15" s="6" t="s">
        <v>161</v>
      </c>
      <c r="Y15" s="6" t="s">
        <v>162</v>
      </c>
      <c r="Z15" s="6" t="s">
        <v>165</v>
      </c>
      <c r="AA15" s="6" t="s">
        <v>262</v>
      </c>
      <c r="AB15" s="6" t="s">
        <v>171</v>
      </c>
      <c r="AC15" s="6" t="s">
        <v>174</v>
      </c>
      <c r="AD15" s="6" t="s">
        <v>175</v>
      </c>
      <c r="AE15" s="6" t="s">
        <v>271</v>
      </c>
      <c r="AF15" s="6" t="s">
        <v>181</v>
      </c>
      <c r="AG15" s="6" t="s">
        <v>182</v>
      </c>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row>
    <row r="16" ht="22.5" customHeight="1">
      <c r="A16" s="4">
        <v>46229.6951365625</v>
      </c>
      <c r="B16" s="5">
        <v>0.0</v>
      </c>
      <c r="C16" s="6" t="s">
        <v>114</v>
      </c>
      <c r="D16" s="6" t="s">
        <v>86</v>
      </c>
      <c r="E16" s="6" t="s">
        <v>88</v>
      </c>
      <c r="F16" s="6">
        <v>6.9070502207E10</v>
      </c>
      <c r="G16" s="6" t="s">
        <v>496</v>
      </c>
      <c r="H16" s="7"/>
      <c r="I16" s="6" t="s">
        <v>1025</v>
      </c>
      <c r="J16" s="6" t="s">
        <v>1026</v>
      </c>
      <c r="K16" s="6" t="s">
        <v>1029</v>
      </c>
      <c r="L16" s="6" t="s">
        <v>1030</v>
      </c>
      <c r="M16" s="6" t="s">
        <v>1033</v>
      </c>
      <c r="N16" s="7"/>
      <c r="O16" s="6" t="s">
        <v>1034</v>
      </c>
      <c r="P16" s="6" t="s">
        <v>1036</v>
      </c>
      <c r="Q16" s="6" t="s">
        <v>1037</v>
      </c>
      <c r="R16" s="6" t="s">
        <v>257</v>
      </c>
      <c r="S16" s="6" t="s">
        <v>147</v>
      </c>
      <c r="T16" s="6" t="s">
        <v>250</v>
      </c>
      <c r="U16" s="6" t="s">
        <v>686</v>
      </c>
      <c r="V16" s="6" t="s">
        <v>246</v>
      </c>
      <c r="W16" s="6" t="s">
        <v>158</v>
      </c>
      <c r="X16" s="6" t="s">
        <v>161</v>
      </c>
      <c r="Y16" s="6" t="s">
        <v>162</v>
      </c>
      <c r="Z16" s="6" t="s">
        <v>165</v>
      </c>
      <c r="AA16" s="6" t="s">
        <v>262</v>
      </c>
      <c r="AB16" s="6" t="s">
        <v>521</v>
      </c>
      <c r="AC16" s="6" t="s">
        <v>174</v>
      </c>
      <c r="AD16" s="6" t="s">
        <v>175</v>
      </c>
      <c r="AE16" s="6" t="s">
        <v>178</v>
      </c>
      <c r="AF16" s="6" t="s">
        <v>181</v>
      </c>
      <c r="AG16" s="6" t="s">
        <v>182</v>
      </c>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row>
    <row r="17" ht="22.5" customHeight="1">
      <c r="A17" s="4">
        <v>46229.69522583333</v>
      </c>
      <c r="B17" s="5">
        <v>0.0</v>
      </c>
      <c r="C17" s="6" t="s">
        <v>114</v>
      </c>
      <c r="D17" s="6" t="s">
        <v>90</v>
      </c>
      <c r="E17" s="6" t="s">
        <v>91</v>
      </c>
      <c r="F17" s="6">
        <v>6.9070500292E10</v>
      </c>
      <c r="G17" s="6" t="s">
        <v>599</v>
      </c>
      <c r="H17" s="7"/>
      <c r="I17" s="6" t="s">
        <v>1078</v>
      </c>
      <c r="J17" s="6" t="s">
        <v>1080</v>
      </c>
      <c r="K17" s="6" t="s">
        <v>1082</v>
      </c>
      <c r="L17" s="6" t="s">
        <v>1083</v>
      </c>
      <c r="M17" s="6" t="s">
        <v>1086</v>
      </c>
      <c r="N17" s="7"/>
      <c r="O17" s="6" t="s">
        <v>1088</v>
      </c>
      <c r="P17" s="6" t="s">
        <v>1090</v>
      </c>
      <c r="Q17" s="6" t="s">
        <v>1091</v>
      </c>
      <c r="R17" s="6" t="s">
        <v>246</v>
      </c>
      <c r="S17" s="6" t="s">
        <v>147</v>
      </c>
      <c r="T17" s="6" t="s">
        <v>246</v>
      </c>
      <c r="U17" s="6" t="s">
        <v>560</v>
      </c>
      <c r="V17" s="6" t="s">
        <v>246</v>
      </c>
      <c r="W17" s="6" t="s">
        <v>158</v>
      </c>
      <c r="X17" s="6" t="s">
        <v>257</v>
      </c>
      <c r="Y17" s="6" t="s">
        <v>162</v>
      </c>
      <c r="Z17" s="6" t="s">
        <v>165</v>
      </c>
      <c r="AA17" s="6" t="s">
        <v>262</v>
      </c>
      <c r="AB17" s="6" t="s">
        <v>521</v>
      </c>
      <c r="AC17" s="6" t="s">
        <v>174</v>
      </c>
      <c r="AD17" s="6" t="s">
        <v>175</v>
      </c>
      <c r="AE17" s="6" t="s">
        <v>271</v>
      </c>
      <c r="AF17" s="6" t="s">
        <v>181</v>
      </c>
      <c r="AG17" s="6" t="s">
        <v>641</v>
      </c>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row>
    <row r="18" ht="22.5" customHeight="1">
      <c r="A18" s="4">
        <v>46229.69524929398</v>
      </c>
      <c r="B18" s="5">
        <v>0.0</v>
      </c>
      <c r="C18" s="6" t="s">
        <v>114</v>
      </c>
      <c r="D18" s="6" t="s">
        <v>94</v>
      </c>
      <c r="E18" s="6" t="s">
        <v>95</v>
      </c>
      <c r="F18" s="6">
        <v>6.9070502212E10</v>
      </c>
      <c r="G18" s="6" t="s">
        <v>496</v>
      </c>
      <c r="H18" s="7"/>
      <c r="I18" s="6" t="s">
        <v>1135</v>
      </c>
      <c r="J18" s="6" t="s">
        <v>1137</v>
      </c>
      <c r="K18" s="6" t="s">
        <v>1138</v>
      </c>
      <c r="L18" s="6" t="s">
        <v>1138</v>
      </c>
      <c r="M18" s="6" t="s">
        <v>1138</v>
      </c>
      <c r="N18" s="6" t="s">
        <v>1138</v>
      </c>
      <c r="O18" s="6" t="s">
        <v>1142</v>
      </c>
      <c r="P18" s="6" t="s">
        <v>1143</v>
      </c>
      <c r="Q18" s="6" t="s">
        <v>1143</v>
      </c>
      <c r="R18" s="6" t="s">
        <v>246</v>
      </c>
      <c r="S18" s="6" t="s">
        <v>1148</v>
      </c>
      <c r="T18" s="6" t="s">
        <v>250</v>
      </c>
      <c r="U18" s="6" t="s">
        <v>152</v>
      </c>
      <c r="V18" s="6" t="s">
        <v>246</v>
      </c>
      <c r="W18" s="6" t="s">
        <v>158</v>
      </c>
      <c r="X18" s="6" t="s">
        <v>257</v>
      </c>
      <c r="Y18" s="6" t="s">
        <v>162</v>
      </c>
      <c r="Z18" s="6" t="s">
        <v>165</v>
      </c>
      <c r="AA18" s="6" t="s">
        <v>262</v>
      </c>
      <c r="AB18" s="6" t="s">
        <v>171</v>
      </c>
      <c r="AC18" s="6" t="s">
        <v>174</v>
      </c>
      <c r="AD18" s="6" t="s">
        <v>175</v>
      </c>
      <c r="AE18" s="6" t="s">
        <v>178</v>
      </c>
      <c r="AF18" s="6" t="s">
        <v>181</v>
      </c>
      <c r="AG18" s="6" t="s">
        <v>182</v>
      </c>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row>
    <row r="19" ht="22.5" customHeight="1">
      <c r="A19" s="4">
        <v>46229.69529548611</v>
      </c>
      <c r="B19" s="5">
        <v>0.0</v>
      </c>
      <c r="C19" s="6" t="s">
        <v>114</v>
      </c>
      <c r="D19" s="6" t="s">
        <v>97</v>
      </c>
      <c r="E19" s="6" t="s">
        <v>98</v>
      </c>
      <c r="F19" s="6">
        <v>6.907050251E10</v>
      </c>
      <c r="G19" s="6" t="s">
        <v>122</v>
      </c>
      <c r="H19" s="7"/>
      <c r="I19" s="6" t="s">
        <v>1186</v>
      </c>
      <c r="J19" s="6" t="s">
        <v>1187</v>
      </c>
      <c r="K19" s="6" t="s">
        <v>1189</v>
      </c>
      <c r="L19" s="6" t="s">
        <v>1191</v>
      </c>
      <c r="M19" s="6" t="s">
        <v>1192</v>
      </c>
      <c r="N19" s="7"/>
      <c r="O19" s="6" t="s">
        <v>1195</v>
      </c>
      <c r="P19" s="6" t="s">
        <v>1197</v>
      </c>
      <c r="Q19" s="6" t="s">
        <v>1199</v>
      </c>
      <c r="R19" s="6" t="s">
        <v>246</v>
      </c>
      <c r="S19" s="6" t="s">
        <v>147</v>
      </c>
      <c r="T19" s="6" t="s">
        <v>250</v>
      </c>
      <c r="U19" s="6" t="s">
        <v>252</v>
      </c>
      <c r="V19" s="6" t="s">
        <v>155</v>
      </c>
      <c r="W19" s="6" t="s">
        <v>158</v>
      </c>
      <c r="X19" s="6" t="s">
        <v>250</v>
      </c>
      <c r="Y19" s="6" t="s">
        <v>1205</v>
      </c>
      <c r="Z19" s="6" t="s">
        <v>629</v>
      </c>
      <c r="AA19" s="6" t="s">
        <v>262</v>
      </c>
      <c r="AB19" s="6" t="s">
        <v>171</v>
      </c>
      <c r="AC19" s="6" t="s">
        <v>1210</v>
      </c>
      <c r="AD19" s="6" t="s">
        <v>175</v>
      </c>
      <c r="AE19" s="6" t="s">
        <v>1211</v>
      </c>
      <c r="AF19" s="6" t="s">
        <v>811</v>
      </c>
      <c r="AG19" s="6" t="s">
        <v>1213</v>
      </c>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row>
    <row r="20" ht="22.5" customHeight="1">
      <c r="A20" s="4">
        <v>46229.69532966435</v>
      </c>
      <c r="B20" s="5">
        <v>0.0</v>
      </c>
      <c r="C20" s="6" t="s">
        <v>114</v>
      </c>
      <c r="D20" s="6" t="s">
        <v>101</v>
      </c>
      <c r="E20" s="6" t="s">
        <v>102</v>
      </c>
      <c r="F20" s="6">
        <v>6.9070500311E10</v>
      </c>
      <c r="G20" s="6" t="s">
        <v>599</v>
      </c>
      <c r="H20" s="7"/>
      <c r="I20" s="6" t="s">
        <v>1241</v>
      </c>
      <c r="J20" s="6" t="s">
        <v>1243</v>
      </c>
      <c r="K20" s="6" t="s">
        <v>1244</v>
      </c>
      <c r="L20" s="6" t="s">
        <v>1247</v>
      </c>
      <c r="M20" s="6" t="s">
        <v>1248</v>
      </c>
      <c r="N20" s="7"/>
      <c r="O20" s="6" t="s">
        <v>1251</v>
      </c>
      <c r="P20" s="6" t="s">
        <v>1252</v>
      </c>
      <c r="Q20" s="6" t="s">
        <v>1255</v>
      </c>
      <c r="R20" s="6" t="s">
        <v>246</v>
      </c>
      <c r="S20" s="6" t="s">
        <v>147</v>
      </c>
      <c r="T20" s="6" t="s">
        <v>250</v>
      </c>
      <c r="U20" s="6" t="s">
        <v>152</v>
      </c>
      <c r="V20" s="6" t="s">
        <v>246</v>
      </c>
      <c r="W20" s="6" t="s">
        <v>158</v>
      </c>
      <c r="X20" s="6" t="s">
        <v>250</v>
      </c>
      <c r="Y20" s="6" t="s">
        <v>162</v>
      </c>
      <c r="Z20" s="6" t="s">
        <v>629</v>
      </c>
      <c r="AA20" s="6" t="s">
        <v>168</v>
      </c>
      <c r="AB20" s="6" t="s">
        <v>1266</v>
      </c>
      <c r="AC20" s="6" t="s">
        <v>174</v>
      </c>
      <c r="AD20" s="6" t="s">
        <v>175</v>
      </c>
      <c r="AE20" s="6" t="s">
        <v>178</v>
      </c>
      <c r="AF20" s="6" t="s">
        <v>811</v>
      </c>
      <c r="AG20" s="6" t="s">
        <v>182</v>
      </c>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row>
    <row r="21" ht="22.5" customHeight="1">
      <c r="A21" s="4">
        <v>46229.695424606485</v>
      </c>
      <c r="B21" s="5">
        <v>0.0</v>
      </c>
      <c r="C21" s="6" t="s">
        <v>114</v>
      </c>
      <c r="D21" s="6" t="s">
        <v>104</v>
      </c>
      <c r="E21" s="6" t="s">
        <v>105</v>
      </c>
      <c r="F21" s="6">
        <v>6.9070502801E10</v>
      </c>
      <c r="G21" s="6" t="s">
        <v>310</v>
      </c>
      <c r="H21" s="7"/>
      <c r="I21" s="6" t="s">
        <v>1297</v>
      </c>
      <c r="J21" s="6" t="s">
        <v>1300</v>
      </c>
      <c r="K21" s="6" t="s">
        <v>1301</v>
      </c>
      <c r="L21" s="6" t="s">
        <v>1304</v>
      </c>
      <c r="M21" s="6" t="s">
        <v>1305</v>
      </c>
      <c r="N21" s="7"/>
      <c r="O21" s="6" t="s">
        <v>1307</v>
      </c>
      <c r="P21" s="6" t="s">
        <v>1309</v>
      </c>
      <c r="Q21" s="6" t="s">
        <v>1311</v>
      </c>
      <c r="R21" s="6" t="s">
        <v>246</v>
      </c>
      <c r="S21" s="6" t="s">
        <v>147</v>
      </c>
      <c r="T21" s="6" t="s">
        <v>246</v>
      </c>
      <c r="U21" s="6" t="s">
        <v>252</v>
      </c>
      <c r="V21" s="6" t="s">
        <v>246</v>
      </c>
      <c r="W21" s="6" t="s">
        <v>625</v>
      </c>
      <c r="X21" s="6" t="s">
        <v>250</v>
      </c>
      <c r="Y21" s="6" t="s">
        <v>1319</v>
      </c>
      <c r="Z21" s="6" t="s">
        <v>152</v>
      </c>
      <c r="AA21" s="6" t="s">
        <v>1322</v>
      </c>
      <c r="AB21" s="6" t="s">
        <v>171</v>
      </c>
      <c r="AC21" s="6" t="s">
        <v>633</v>
      </c>
      <c r="AD21" s="6" t="s">
        <v>1324</v>
      </c>
      <c r="AE21" s="6" t="s">
        <v>178</v>
      </c>
      <c r="AF21" s="6" t="s">
        <v>181</v>
      </c>
      <c r="AG21" s="6" t="s">
        <v>1326</v>
      </c>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row>
    <row r="22" ht="22.5" customHeight="1">
      <c r="A22" s="4">
        <v>46229.695439166666</v>
      </c>
      <c r="B22" s="5">
        <v>0.0</v>
      </c>
      <c r="C22" s="6" t="s">
        <v>114</v>
      </c>
      <c r="D22" s="6" t="s">
        <v>107</v>
      </c>
      <c r="E22" s="6" t="s">
        <v>108</v>
      </c>
      <c r="F22" s="6">
        <v>6.9070500835E10</v>
      </c>
      <c r="G22" s="6" t="s">
        <v>496</v>
      </c>
      <c r="H22" s="7"/>
      <c r="I22" s="6" t="s">
        <v>1361</v>
      </c>
      <c r="J22" s="6" t="s">
        <v>1364</v>
      </c>
      <c r="K22" s="6" t="s">
        <v>1365</v>
      </c>
      <c r="L22" s="6" t="s">
        <v>1368</v>
      </c>
      <c r="M22" s="6" t="s">
        <v>1369</v>
      </c>
      <c r="N22" s="6" t="s">
        <v>1371</v>
      </c>
      <c r="O22" s="6" t="s">
        <v>1373</v>
      </c>
      <c r="P22" s="6" t="s">
        <v>1374</v>
      </c>
      <c r="Q22" s="6" t="s">
        <v>1377</v>
      </c>
      <c r="R22" s="6" t="s">
        <v>257</v>
      </c>
      <c r="S22" s="6" t="s">
        <v>147</v>
      </c>
      <c r="T22" s="6" t="s">
        <v>246</v>
      </c>
      <c r="U22" s="6" t="s">
        <v>152</v>
      </c>
      <c r="V22" s="6" t="s">
        <v>246</v>
      </c>
      <c r="W22" s="6" t="s">
        <v>158</v>
      </c>
      <c r="X22" s="6" t="s">
        <v>257</v>
      </c>
      <c r="Y22" s="6" t="s">
        <v>162</v>
      </c>
      <c r="Z22" s="6" t="s">
        <v>165</v>
      </c>
      <c r="AA22" s="6" t="s">
        <v>168</v>
      </c>
      <c r="AB22" s="6" t="s">
        <v>171</v>
      </c>
      <c r="AC22" s="6" t="s">
        <v>174</v>
      </c>
      <c r="AD22" s="6" t="s">
        <v>175</v>
      </c>
      <c r="AE22" s="6" t="s">
        <v>271</v>
      </c>
      <c r="AF22" s="6" t="s">
        <v>181</v>
      </c>
      <c r="AG22" s="6" t="s">
        <v>182</v>
      </c>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row>
    <row r="23" ht="22.5" customHeight="1">
      <c r="A23" s="4">
        <v>46229.69559364583</v>
      </c>
      <c r="B23" s="5">
        <v>0.0</v>
      </c>
      <c r="C23" s="6" t="s">
        <v>114</v>
      </c>
      <c r="D23" s="6" t="s">
        <v>109</v>
      </c>
      <c r="E23" s="6" t="s">
        <v>110</v>
      </c>
      <c r="F23" s="6">
        <v>6.9070502814E10</v>
      </c>
      <c r="G23" s="6" t="s">
        <v>310</v>
      </c>
      <c r="H23" s="7"/>
      <c r="I23" s="6" t="s">
        <v>1416</v>
      </c>
      <c r="J23" s="6" t="s">
        <v>446</v>
      </c>
      <c r="K23" s="6" t="s">
        <v>447</v>
      </c>
      <c r="L23" s="6" t="s">
        <v>1419</v>
      </c>
      <c r="M23" s="6" t="s">
        <v>1422</v>
      </c>
      <c r="N23" s="6" t="s">
        <v>1423</v>
      </c>
      <c r="O23" s="6" t="s">
        <v>1425</v>
      </c>
      <c r="P23" s="6" t="s">
        <v>1427</v>
      </c>
      <c r="Q23" s="6" t="s">
        <v>1428</v>
      </c>
      <c r="R23" s="6" t="s">
        <v>246</v>
      </c>
      <c r="S23" s="6" t="s">
        <v>147</v>
      </c>
      <c r="T23" s="6" t="s">
        <v>250</v>
      </c>
      <c r="U23" s="6" t="s">
        <v>252</v>
      </c>
      <c r="V23" s="6" t="s">
        <v>246</v>
      </c>
      <c r="W23" s="6" t="s">
        <v>158</v>
      </c>
      <c r="X23" s="6" t="s">
        <v>257</v>
      </c>
      <c r="Y23" s="6" t="s">
        <v>162</v>
      </c>
      <c r="Z23" s="6" t="s">
        <v>165</v>
      </c>
      <c r="AA23" s="6" t="s">
        <v>262</v>
      </c>
      <c r="AB23" s="6" t="s">
        <v>171</v>
      </c>
      <c r="AC23" s="6" t="s">
        <v>174</v>
      </c>
      <c r="AD23" s="6" t="s">
        <v>175</v>
      </c>
      <c r="AE23" s="6" t="s">
        <v>271</v>
      </c>
      <c r="AF23" s="6" t="s">
        <v>181</v>
      </c>
      <c r="AG23" s="6" t="s">
        <v>182</v>
      </c>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row>
    <row r="24" ht="22.5" customHeight="1">
      <c r="A24" s="4">
        <v>46229.695600798615</v>
      </c>
      <c r="B24" s="5">
        <v>0.0</v>
      </c>
      <c r="C24" s="6" t="s">
        <v>114</v>
      </c>
      <c r="D24" s="6" t="s">
        <v>111</v>
      </c>
      <c r="E24" s="6" t="s">
        <v>112</v>
      </c>
      <c r="F24" s="6">
        <v>6.9070501033E10</v>
      </c>
      <c r="G24" s="6" t="s">
        <v>1470</v>
      </c>
      <c r="H24" s="7"/>
      <c r="I24" s="6" t="s">
        <v>1472</v>
      </c>
      <c r="J24" s="6" t="s">
        <v>1474</v>
      </c>
      <c r="K24" s="6" t="s">
        <v>1476</v>
      </c>
      <c r="L24" s="6" t="s">
        <v>1477</v>
      </c>
      <c r="M24" s="6" t="s">
        <v>1479</v>
      </c>
      <c r="N24" s="7"/>
      <c r="O24" s="6" t="s">
        <v>1481</v>
      </c>
      <c r="P24" s="6" t="s">
        <v>1483</v>
      </c>
      <c r="Q24" s="6" t="s">
        <v>1485</v>
      </c>
      <c r="R24" s="6" t="s">
        <v>861</v>
      </c>
      <c r="S24" s="6" t="s">
        <v>147</v>
      </c>
      <c r="T24" s="6" t="s">
        <v>250</v>
      </c>
      <c r="U24" s="6" t="s">
        <v>152</v>
      </c>
      <c r="V24" s="6" t="s">
        <v>246</v>
      </c>
      <c r="W24" s="6" t="s">
        <v>158</v>
      </c>
      <c r="X24" s="6" t="s">
        <v>257</v>
      </c>
      <c r="Y24" s="6" t="s">
        <v>162</v>
      </c>
      <c r="Z24" s="6" t="s">
        <v>165</v>
      </c>
      <c r="AA24" s="6" t="s">
        <v>262</v>
      </c>
      <c r="AB24" s="6" t="s">
        <v>171</v>
      </c>
      <c r="AC24" s="6" t="s">
        <v>174</v>
      </c>
      <c r="AD24" s="6" t="s">
        <v>175</v>
      </c>
      <c r="AE24" s="6" t="s">
        <v>271</v>
      </c>
      <c r="AF24" s="6" t="s">
        <v>181</v>
      </c>
      <c r="AG24" s="6" t="s">
        <v>182</v>
      </c>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row>
    <row r="25" ht="22.5" customHeight="1">
      <c r="A25" s="4">
        <v>46229.695601064814</v>
      </c>
      <c r="B25" s="5">
        <v>0.0</v>
      </c>
      <c r="C25" s="6" t="s">
        <v>114</v>
      </c>
      <c r="D25" s="6" t="s">
        <v>113</v>
      </c>
      <c r="E25" s="6" t="s">
        <v>115</v>
      </c>
      <c r="F25" s="6">
        <v>6.9070500457E10</v>
      </c>
      <c r="G25" s="6" t="s">
        <v>310</v>
      </c>
      <c r="H25" s="7"/>
      <c r="I25" s="6" t="s">
        <v>1529</v>
      </c>
      <c r="J25" s="6" t="s">
        <v>1532</v>
      </c>
      <c r="K25" s="6" t="s">
        <v>1533</v>
      </c>
      <c r="L25" s="6" t="s">
        <v>1534</v>
      </c>
      <c r="M25" s="6" t="s">
        <v>1536</v>
      </c>
      <c r="N25" s="7"/>
      <c r="O25" s="6" t="s">
        <v>1539</v>
      </c>
      <c r="P25" s="6" t="s">
        <v>1540</v>
      </c>
      <c r="Q25" s="6" t="s">
        <v>1542</v>
      </c>
      <c r="R25" s="6" t="s">
        <v>246</v>
      </c>
      <c r="S25" s="6" t="s">
        <v>147</v>
      </c>
      <c r="T25" s="6" t="s">
        <v>246</v>
      </c>
      <c r="U25" s="6" t="s">
        <v>560</v>
      </c>
      <c r="V25" s="6" t="s">
        <v>246</v>
      </c>
      <c r="W25" s="6" t="s">
        <v>158</v>
      </c>
      <c r="X25" s="6" t="s">
        <v>458</v>
      </c>
      <c r="Y25" s="6" t="s">
        <v>162</v>
      </c>
      <c r="Z25" s="6" t="s">
        <v>165</v>
      </c>
      <c r="AA25" s="6" t="s">
        <v>262</v>
      </c>
      <c r="AB25" s="6" t="s">
        <v>171</v>
      </c>
      <c r="AC25" s="6" t="s">
        <v>174</v>
      </c>
      <c r="AD25" s="6" t="s">
        <v>175</v>
      </c>
      <c r="AE25" s="6" t="s">
        <v>271</v>
      </c>
      <c r="AF25" s="6" t="s">
        <v>181</v>
      </c>
      <c r="AG25" s="6" t="s">
        <v>641</v>
      </c>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row>
    <row r="26" ht="22.5" customHeight="1">
      <c r="A26" s="4">
        <v>46229.695604085646</v>
      </c>
      <c r="B26" s="5">
        <v>0.0</v>
      </c>
      <c r="C26" s="6" t="s">
        <v>114</v>
      </c>
      <c r="D26" s="6" t="s">
        <v>117</v>
      </c>
      <c r="E26" s="6" t="s">
        <v>118</v>
      </c>
      <c r="F26" s="6">
        <v>6.9070505237E10</v>
      </c>
      <c r="G26" s="6" t="s">
        <v>1470</v>
      </c>
      <c r="H26" s="7"/>
      <c r="I26" s="6" t="s">
        <v>1585</v>
      </c>
      <c r="J26" s="6" t="s">
        <v>1588</v>
      </c>
      <c r="K26" s="6" t="s">
        <v>1589</v>
      </c>
      <c r="L26" s="6" t="s">
        <v>1592</v>
      </c>
      <c r="M26" s="6" t="s">
        <v>1593</v>
      </c>
      <c r="N26" s="7"/>
      <c r="O26" s="6" t="s">
        <v>1596</v>
      </c>
      <c r="P26" s="6" t="s">
        <v>1597</v>
      </c>
      <c r="Q26" s="6" t="s">
        <v>1598</v>
      </c>
      <c r="R26" s="6" t="s">
        <v>257</v>
      </c>
      <c r="S26" s="6" t="s">
        <v>147</v>
      </c>
      <c r="T26" s="6" t="s">
        <v>250</v>
      </c>
      <c r="U26" s="6" t="s">
        <v>252</v>
      </c>
      <c r="V26" s="6" t="s">
        <v>246</v>
      </c>
      <c r="W26" s="6" t="s">
        <v>158</v>
      </c>
      <c r="X26" s="6" t="s">
        <v>257</v>
      </c>
      <c r="Y26" s="6" t="s">
        <v>162</v>
      </c>
      <c r="Z26" s="6" t="s">
        <v>152</v>
      </c>
      <c r="AA26" s="6" t="s">
        <v>262</v>
      </c>
      <c r="AB26" s="6" t="s">
        <v>521</v>
      </c>
      <c r="AC26" s="6" t="s">
        <v>174</v>
      </c>
      <c r="AD26" s="6" t="s">
        <v>175</v>
      </c>
      <c r="AE26" s="6" t="s">
        <v>524</v>
      </c>
      <c r="AF26" s="6" t="s">
        <v>181</v>
      </c>
      <c r="AG26" s="6" t="s">
        <v>182</v>
      </c>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row>
    <row r="27" ht="22.5" customHeight="1">
      <c r="A27" s="4">
        <v>46229.69561206018</v>
      </c>
      <c r="B27" s="5">
        <v>0.0</v>
      </c>
      <c r="C27" s="6" t="s">
        <v>114</v>
      </c>
      <c r="D27" s="6" t="s">
        <v>120</v>
      </c>
      <c r="E27" s="6" t="s">
        <v>121</v>
      </c>
      <c r="F27" s="6">
        <v>6.9070500414E10</v>
      </c>
      <c r="G27" s="6" t="s">
        <v>310</v>
      </c>
      <c r="H27" s="6" t="s">
        <v>1641</v>
      </c>
      <c r="I27" s="6" t="s">
        <v>1643</v>
      </c>
      <c r="J27" s="6" t="s">
        <v>1645</v>
      </c>
      <c r="K27" s="6" t="s">
        <v>1647</v>
      </c>
      <c r="L27" s="6" t="s">
        <v>1649</v>
      </c>
      <c r="M27" s="6" t="s">
        <v>1652</v>
      </c>
      <c r="N27" s="6" t="s">
        <v>1653</v>
      </c>
      <c r="O27" s="6" t="s">
        <v>1655</v>
      </c>
      <c r="P27" s="6" t="s">
        <v>1657</v>
      </c>
      <c r="Q27" s="6" t="s">
        <v>1658</v>
      </c>
      <c r="R27" s="6" t="s">
        <v>257</v>
      </c>
      <c r="S27" s="6" t="s">
        <v>147</v>
      </c>
      <c r="T27" s="6" t="s">
        <v>250</v>
      </c>
      <c r="U27" s="6" t="s">
        <v>252</v>
      </c>
      <c r="V27" s="6" t="s">
        <v>246</v>
      </c>
      <c r="W27" s="6" t="s">
        <v>158</v>
      </c>
      <c r="X27" s="6" t="s">
        <v>458</v>
      </c>
      <c r="Y27" s="6" t="s">
        <v>162</v>
      </c>
      <c r="Z27" s="6" t="s">
        <v>165</v>
      </c>
      <c r="AA27" s="6" t="s">
        <v>262</v>
      </c>
      <c r="AB27" s="6" t="s">
        <v>171</v>
      </c>
      <c r="AC27" s="6" t="s">
        <v>1669</v>
      </c>
      <c r="AD27" s="6" t="s">
        <v>175</v>
      </c>
      <c r="AE27" s="6" t="s">
        <v>271</v>
      </c>
      <c r="AF27" s="6" t="s">
        <v>181</v>
      </c>
      <c r="AG27" s="6" t="s">
        <v>182</v>
      </c>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row>
    <row r="28" ht="22.5" customHeight="1">
      <c r="A28" s="4">
        <v>46229.69561607639</v>
      </c>
      <c r="B28" s="5">
        <v>0.0</v>
      </c>
      <c r="C28" s="6" t="s">
        <v>114</v>
      </c>
      <c r="D28" s="6" t="s">
        <v>123</v>
      </c>
      <c r="E28" s="6" t="s">
        <v>124</v>
      </c>
      <c r="F28" s="6">
        <v>6.907050644E10</v>
      </c>
      <c r="G28" s="6" t="s">
        <v>599</v>
      </c>
      <c r="H28" s="7"/>
      <c r="I28" s="6" t="s">
        <v>1700</v>
      </c>
      <c r="J28" s="6" t="s">
        <v>1703</v>
      </c>
      <c r="K28" s="6" t="s">
        <v>1704</v>
      </c>
      <c r="L28" s="6" t="s">
        <v>1705</v>
      </c>
      <c r="M28" s="6" t="s">
        <v>1707</v>
      </c>
      <c r="N28" s="7"/>
      <c r="O28" s="6" t="s">
        <v>1710</v>
      </c>
      <c r="P28" s="6" t="s">
        <v>1711</v>
      </c>
      <c r="Q28" s="6" t="s">
        <v>1712</v>
      </c>
      <c r="R28" s="6" t="s">
        <v>246</v>
      </c>
      <c r="S28" s="6" t="s">
        <v>147</v>
      </c>
      <c r="T28" s="6" t="s">
        <v>149</v>
      </c>
      <c r="U28" s="6" t="s">
        <v>686</v>
      </c>
      <c r="V28" s="6" t="s">
        <v>155</v>
      </c>
      <c r="W28" s="6" t="s">
        <v>158</v>
      </c>
      <c r="X28" s="6" t="s">
        <v>257</v>
      </c>
      <c r="Y28" s="6" t="s">
        <v>162</v>
      </c>
      <c r="Z28" s="6" t="s">
        <v>165</v>
      </c>
      <c r="AA28" s="6" t="s">
        <v>262</v>
      </c>
      <c r="AB28" s="6" t="s">
        <v>521</v>
      </c>
      <c r="AC28" s="6" t="s">
        <v>174</v>
      </c>
      <c r="AD28" s="6" t="s">
        <v>1723</v>
      </c>
      <c r="AE28" s="6" t="s">
        <v>271</v>
      </c>
      <c r="AF28" s="6" t="s">
        <v>181</v>
      </c>
      <c r="AG28" s="6" t="s">
        <v>182</v>
      </c>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row>
    <row r="29" ht="22.5" customHeight="1">
      <c r="A29" s="4">
        <v>46229.69562979166</v>
      </c>
      <c r="B29" s="5">
        <v>0.0</v>
      </c>
      <c r="C29" s="6" t="s">
        <v>114</v>
      </c>
      <c r="D29" s="6" t="s">
        <v>126</v>
      </c>
      <c r="E29" s="6" t="s">
        <v>127</v>
      </c>
      <c r="F29" s="6">
        <v>6.9070505215E10</v>
      </c>
      <c r="G29" s="6" t="s">
        <v>1470</v>
      </c>
      <c r="H29" s="7"/>
      <c r="I29" s="6" t="s">
        <v>1750</v>
      </c>
      <c r="J29" s="6" t="s">
        <v>1753</v>
      </c>
      <c r="K29" s="6" t="s">
        <v>1754</v>
      </c>
      <c r="L29" s="6" t="s">
        <v>1756</v>
      </c>
      <c r="M29" s="6" t="s">
        <v>1757</v>
      </c>
      <c r="N29" s="7"/>
      <c r="O29" s="6" t="s">
        <v>1760</v>
      </c>
      <c r="P29" s="6" t="s">
        <v>1761</v>
      </c>
      <c r="Q29" s="6" t="s">
        <v>1763</v>
      </c>
      <c r="R29" s="6" t="s">
        <v>246</v>
      </c>
      <c r="S29" s="6" t="s">
        <v>147</v>
      </c>
      <c r="T29" s="6" t="s">
        <v>250</v>
      </c>
      <c r="U29" s="6" t="s">
        <v>252</v>
      </c>
      <c r="V29" s="6" t="s">
        <v>246</v>
      </c>
      <c r="W29" s="6" t="s">
        <v>158</v>
      </c>
      <c r="X29" s="6" t="s">
        <v>257</v>
      </c>
      <c r="Y29" s="6" t="s">
        <v>162</v>
      </c>
      <c r="Z29" s="6" t="s">
        <v>165</v>
      </c>
      <c r="AA29" s="6" t="s">
        <v>262</v>
      </c>
      <c r="AB29" s="6" t="s">
        <v>171</v>
      </c>
      <c r="AC29" s="6" t="s">
        <v>174</v>
      </c>
      <c r="AD29" s="6" t="s">
        <v>175</v>
      </c>
      <c r="AE29" s="6" t="s">
        <v>271</v>
      </c>
      <c r="AF29" s="6" t="s">
        <v>181</v>
      </c>
      <c r="AG29" s="6" t="s">
        <v>182</v>
      </c>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row>
    <row r="30" ht="22.5" customHeight="1">
      <c r="A30" s="4">
        <v>46229.695649699075</v>
      </c>
      <c r="B30" s="5">
        <v>0.0</v>
      </c>
      <c r="C30" s="6" t="s">
        <v>114</v>
      </c>
      <c r="D30" s="6" t="s">
        <v>129</v>
      </c>
      <c r="E30" s="6" t="s">
        <v>130</v>
      </c>
      <c r="F30" s="6">
        <v>6.9070502844E10</v>
      </c>
      <c r="G30" s="6" t="s">
        <v>310</v>
      </c>
      <c r="H30" s="6" t="s">
        <v>1795</v>
      </c>
      <c r="I30" s="6" t="s">
        <v>1797</v>
      </c>
      <c r="J30" s="6" t="s">
        <v>1798</v>
      </c>
      <c r="K30" s="6" t="s">
        <v>1801</v>
      </c>
      <c r="L30" s="6" t="s">
        <v>1802</v>
      </c>
      <c r="M30" s="6" t="s">
        <v>1804</v>
      </c>
      <c r="N30" s="7"/>
      <c r="O30" s="6" t="s">
        <v>1806</v>
      </c>
      <c r="P30" s="6" t="s">
        <v>1809</v>
      </c>
      <c r="Q30" s="6" t="s">
        <v>1810</v>
      </c>
      <c r="R30" s="6" t="s">
        <v>861</v>
      </c>
      <c r="S30" s="6" t="s">
        <v>147</v>
      </c>
      <c r="T30" s="6" t="s">
        <v>250</v>
      </c>
      <c r="U30" s="6" t="s">
        <v>152</v>
      </c>
      <c r="V30" s="6" t="s">
        <v>246</v>
      </c>
      <c r="W30" s="6" t="s">
        <v>158</v>
      </c>
      <c r="X30" s="6" t="s">
        <v>257</v>
      </c>
      <c r="Y30" s="6" t="s">
        <v>162</v>
      </c>
      <c r="Z30" s="6" t="s">
        <v>165</v>
      </c>
      <c r="AA30" s="6" t="s">
        <v>262</v>
      </c>
      <c r="AB30" s="6" t="s">
        <v>171</v>
      </c>
      <c r="AC30" s="6" t="s">
        <v>174</v>
      </c>
      <c r="AD30" s="6" t="s">
        <v>175</v>
      </c>
      <c r="AE30" s="6" t="s">
        <v>1211</v>
      </c>
      <c r="AF30" s="6" t="s">
        <v>181</v>
      </c>
      <c r="AG30" s="6" t="s">
        <v>182</v>
      </c>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row>
    <row r="31" ht="22.5" customHeight="1">
      <c r="A31" s="4">
        <v>46229.69565054398</v>
      </c>
      <c r="B31" s="5">
        <v>0.0</v>
      </c>
      <c r="C31" s="6" t="s">
        <v>114</v>
      </c>
      <c r="D31" s="6" t="s">
        <v>134</v>
      </c>
      <c r="E31" s="6" t="s">
        <v>135</v>
      </c>
      <c r="F31" s="6">
        <v>6.9070502503E10</v>
      </c>
      <c r="G31" s="6" t="s">
        <v>122</v>
      </c>
      <c r="H31" s="6" t="s">
        <v>1843</v>
      </c>
      <c r="I31" s="6" t="s">
        <v>1844</v>
      </c>
      <c r="J31" s="6" t="s">
        <v>1847</v>
      </c>
      <c r="K31" s="6" t="s">
        <v>1848</v>
      </c>
      <c r="L31" s="6" t="s">
        <v>1850</v>
      </c>
      <c r="M31" s="6" t="s">
        <v>1852</v>
      </c>
      <c r="N31" s="7"/>
      <c r="O31" s="6" t="s">
        <v>1854</v>
      </c>
      <c r="P31" s="6" t="s">
        <v>1856</v>
      </c>
      <c r="Q31" s="6" t="s">
        <v>1857</v>
      </c>
      <c r="R31" s="6" t="s">
        <v>246</v>
      </c>
      <c r="S31" s="6" t="s">
        <v>147</v>
      </c>
      <c r="T31" s="6" t="s">
        <v>250</v>
      </c>
      <c r="U31" s="6" t="s">
        <v>252</v>
      </c>
      <c r="V31" s="6" t="s">
        <v>155</v>
      </c>
      <c r="W31" s="6" t="s">
        <v>158</v>
      </c>
      <c r="X31" s="6" t="s">
        <v>257</v>
      </c>
      <c r="Y31" s="6" t="s">
        <v>162</v>
      </c>
      <c r="Z31" s="6" t="s">
        <v>165</v>
      </c>
      <c r="AA31" s="6" t="s">
        <v>262</v>
      </c>
      <c r="AB31" s="6" t="s">
        <v>171</v>
      </c>
      <c r="AC31" s="6" t="s">
        <v>174</v>
      </c>
      <c r="AD31" s="6" t="s">
        <v>175</v>
      </c>
      <c r="AE31" s="6" t="s">
        <v>271</v>
      </c>
      <c r="AF31" s="6" t="s">
        <v>181</v>
      </c>
      <c r="AG31" s="6" t="s">
        <v>182</v>
      </c>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row>
    <row r="32" ht="22.5" customHeight="1">
      <c r="A32" s="4">
        <v>46229.695710844906</v>
      </c>
      <c r="B32" s="5">
        <v>0.0</v>
      </c>
      <c r="C32" s="6" t="s">
        <v>114</v>
      </c>
      <c r="D32" s="6" t="s">
        <v>136</v>
      </c>
      <c r="E32" s="6" t="s">
        <v>137</v>
      </c>
      <c r="F32" s="6">
        <v>6.9070506433E10</v>
      </c>
      <c r="G32" s="6" t="s">
        <v>599</v>
      </c>
      <c r="H32" s="7"/>
      <c r="I32" s="6" t="s">
        <v>1901</v>
      </c>
      <c r="J32" s="6" t="s">
        <v>1903</v>
      </c>
      <c r="K32" s="6" t="s">
        <v>1904</v>
      </c>
      <c r="L32" s="6" t="s">
        <v>1907</v>
      </c>
      <c r="M32" s="6" t="s">
        <v>1908</v>
      </c>
      <c r="N32" s="6" t="s">
        <v>1910</v>
      </c>
      <c r="O32" s="6" t="s">
        <v>1912</v>
      </c>
      <c r="P32" s="6" t="s">
        <v>1913</v>
      </c>
      <c r="Q32" s="6" t="s">
        <v>1916</v>
      </c>
      <c r="R32" s="6" t="s">
        <v>246</v>
      </c>
      <c r="S32" s="6" t="s">
        <v>147</v>
      </c>
      <c r="T32" s="6" t="s">
        <v>250</v>
      </c>
      <c r="U32" s="6" t="s">
        <v>152</v>
      </c>
      <c r="V32" s="6" t="s">
        <v>246</v>
      </c>
      <c r="W32" s="6" t="s">
        <v>158</v>
      </c>
      <c r="X32" s="6" t="s">
        <v>257</v>
      </c>
      <c r="Y32" s="6" t="s">
        <v>162</v>
      </c>
      <c r="Z32" s="6" t="s">
        <v>165</v>
      </c>
      <c r="AA32" s="6" t="s">
        <v>262</v>
      </c>
      <c r="AB32" s="6" t="s">
        <v>171</v>
      </c>
      <c r="AC32" s="6" t="s">
        <v>174</v>
      </c>
      <c r="AD32" s="6" t="s">
        <v>175</v>
      </c>
      <c r="AE32" s="6" t="s">
        <v>524</v>
      </c>
      <c r="AF32" s="6" t="s">
        <v>181</v>
      </c>
      <c r="AG32" s="6" t="s">
        <v>182</v>
      </c>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row>
    <row r="33" ht="22.5" customHeight="1">
      <c r="A33" s="4">
        <v>46229.69573774305</v>
      </c>
      <c r="B33" s="5">
        <v>0.0</v>
      </c>
      <c r="C33" s="6" t="s">
        <v>114</v>
      </c>
      <c r="D33" s="6" t="s">
        <v>140</v>
      </c>
      <c r="E33" s="6" t="s">
        <v>141</v>
      </c>
      <c r="F33" s="6">
        <v>6.9070502522E10</v>
      </c>
      <c r="G33" s="6" t="s">
        <v>122</v>
      </c>
      <c r="H33" s="6" t="s">
        <v>1951</v>
      </c>
      <c r="I33" s="6" t="s">
        <v>1952</v>
      </c>
      <c r="J33" s="6" t="s">
        <v>1954</v>
      </c>
      <c r="K33" s="6" t="s">
        <v>1956</v>
      </c>
      <c r="L33" s="6" t="s">
        <v>1957</v>
      </c>
      <c r="M33" s="6" t="s">
        <v>1960</v>
      </c>
      <c r="N33" s="6" t="s">
        <v>1961</v>
      </c>
      <c r="O33" s="6" t="s">
        <v>1963</v>
      </c>
      <c r="P33" s="6" t="s">
        <v>1964</v>
      </c>
      <c r="Q33" s="6" t="s">
        <v>1967</v>
      </c>
      <c r="R33" s="6" t="s">
        <v>246</v>
      </c>
      <c r="S33" s="6" t="s">
        <v>147</v>
      </c>
      <c r="T33" s="6" t="s">
        <v>250</v>
      </c>
      <c r="U33" s="6" t="s">
        <v>252</v>
      </c>
      <c r="V33" s="6" t="s">
        <v>246</v>
      </c>
      <c r="W33" s="6" t="s">
        <v>158</v>
      </c>
      <c r="X33" s="6" t="s">
        <v>246</v>
      </c>
      <c r="Y33" s="6" t="s">
        <v>162</v>
      </c>
      <c r="Z33" s="6" t="s">
        <v>165</v>
      </c>
      <c r="AA33" s="6" t="s">
        <v>262</v>
      </c>
      <c r="AB33" s="6" t="s">
        <v>171</v>
      </c>
      <c r="AC33" s="6" t="s">
        <v>1669</v>
      </c>
      <c r="AD33" s="6" t="s">
        <v>635</v>
      </c>
      <c r="AE33" s="6" t="s">
        <v>271</v>
      </c>
      <c r="AF33" s="6" t="s">
        <v>181</v>
      </c>
      <c r="AG33" s="6" t="s">
        <v>182</v>
      </c>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row>
    <row r="34" ht="22.5" customHeight="1">
      <c r="A34" s="4">
        <v>46229.69573957176</v>
      </c>
      <c r="B34" s="5">
        <v>0.0</v>
      </c>
      <c r="C34" s="6" t="s">
        <v>114</v>
      </c>
      <c r="D34" s="6" t="s">
        <v>143</v>
      </c>
      <c r="E34" s="6" t="s">
        <v>144</v>
      </c>
      <c r="F34" s="6">
        <v>6.9070508229E10</v>
      </c>
      <c r="G34" s="6" t="s">
        <v>730</v>
      </c>
      <c r="H34" s="7"/>
      <c r="I34" s="6" t="s">
        <v>2010</v>
      </c>
      <c r="J34" s="6" t="s">
        <v>2011</v>
      </c>
      <c r="K34" s="6" t="s">
        <v>2012</v>
      </c>
      <c r="L34" s="6" t="s">
        <v>2013</v>
      </c>
      <c r="M34" s="6" t="s">
        <v>2015</v>
      </c>
      <c r="N34" s="7"/>
      <c r="O34" s="6" t="s">
        <v>2018</v>
      </c>
      <c r="P34" s="6" t="s">
        <v>2019</v>
      </c>
      <c r="Q34" s="6" t="s">
        <v>2022</v>
      </c>
      <c r="R34" s="6" t="s">
        <v>246</v>
      </c>
      <c r="S34" s="6" t="s">
        <v>147</v>
      </c>
      <c r="T34" s="6" t="s">
        <v>149</v>
      </c>
      <c r="U34" s="6" t="s">
        <v>560</v>
      </c>
      <c r="V34" s="6" t="s">
        <v>246</v>
      </c>
      <c r="W34" s="6" t="s">
        <v>158</v>
      </c>
      <c r="X34" s="6" t="s">
        <v>458</v>
      </c>
      <c r="Y34" s="6" t="s">
        <v>162</v>
      </c>
      <c r="Z34" s="6" t="s">
        <v>165</v>
      </c>
      <c r="AA34" s="6" t="s">
        <v>262</v>
      </c>
      <c r="AB34" s="6" t="s">
        <v>171</v>
      </c>
      <c r="AC34" s="6" t="s">
        <v>174</v>
      </c>
      <c r="AD34" s="6" t="s">
        <v>175</v>
      </c>
      <c r="AE34" s="6" t="s">
        <v>271</v>
      </c>
      <c r="AF34" s="6" t="s">
        <v>181</v>
      </c>
      <c r="AG34" s="6" t="s">
        <v>182</v>
      </c>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row>
    <row r="35" ht="22.5" customHeight="1">
      <c r="A35" s="4">
        <v>46229.69577118056</v>
      </c>
      <c r="B35" s="5">
        <v>0.0</v>
      </c>
      <c r="C35" s="6" t="s">
        <v>114</v>
      </c>
      <c r="D35" s="6" t="s">
        <v>146</v>
      </c>
      <c r="E35" s="6" t="s">
        <v>148</v>
      </c>
      <c r="F35" s="6">
        <v>6.9070500465E10</v>
      </c>
      <c r="G35" s="6" t="s">
        <v>310</v>
      </c>
      <c r="H35" s="7"/>
      <c r="I35" s="6" t="s">
        <v>2064</v>
      </c>
      <c r="J35" s="6" t="s">
        <v>2065</v>
      </c>
      <c r="K35" s="6" t="s">
        <v>2068</v>
      </c>
      <c r="L35" s="6" t="s">
        <v>2069</v>
      </c>
      <c r="M35" s="6" t="s">
        <v>2070</v>
      </c>
      <c r="N35" s="7"/>
      <c r="O35" s="6" t="s">
        <v>2073</v>
      </c>
      <c r="P35" s="6" t="s">
        <v>2074</v>
      </c>
      <c r="Q35" s="6" t="s">
        <v>2076</v>
      </c>
      <c r="R35" s="6" t="s">
        <v>246</v>
      </c>
      <c r="S35" s="6" t="s">
        <v>147</v>
      </c>
      <c r="T35" s="6" t="s">
        <v>250</v>
      </c>
      <c r="U35" s="6" t="s">
        <v>152</v>
      </c>
      <c r="V35" s="6" t="s">
        <v>246</v>
      </c>
      <c r="W35" s="6" t="s">
        <v>158</v>
      </c>
      <c r="X35" s="6" t="s">
        <v>257</v>
      </c>
      <c r="Y35" s="6" t="s">
        <v>162</v>
      </c>
      <c r="Z35" s="6" t="s">
        <v>165</v>
      </c>
      <c r="AA35" s="6" t="s">
        <v>262</v>
      </c>
      <c r="AB35" s="6" t="s">
        <v>1266</v>
      </c>
      <c r="AC35" s="6" t="s">
        <v>174</v>
      </c>
      <c r="AD35" s="6" t="s">
        <v>175</v>
      </c>
      <c r="AE35" s="6" t="s">
        <v>271</v>
      </c>
      <c r="AF35" s="6" t="s">
        <v>181</v>
      </c>
      <c r="AG35" s="6" t="s">
        <v>182</v>
      </c>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row>
    <row r="36" ht="22.5" customHeight="1">
      <c r="A36" s="4">
        <v>46229.69579420139</v>
      </c>
      <c r="B36" s="5">
        <v>0.0</v>
      </c>
      <c r="C36" s="6" t="s">
        <v>114</v>
      </c>
      <c r="D36" s="6" t="s">
        <v>150</v>
      </c>
      <c r="E36" s="6" t="s">
        <v>151</v>
      </c>
      <c r="F36" s="6">
        <v>6.9070500405E10</v>
      </c>
      <c r="G36" s="6" t="s">
        <v>310</v>
      </c>
      <c r="H36" s="6" t="s">
        <v>2120</v>
      </c>
      <c r="I36" s="6" t="s">
        <v>2122</v>
      </c>
      <c r="J36" s="6" t="s">
        <v>2125</v>
      </c>
      <c r="K36" s="6" t="s">
        <v>2126</v>
      </c>
      <c r="L36" s="6" t="s">
        <v>2128</v>
      </c>
      <c r="M36" s="6" t="s">
        <v>2129</v>
      </c>
      <c r="N36" s="7"/>
      <c r="O36" s="6" t="s">
        <v>2132</v>
      </c>
      <c r="P36" s="6" t="s">
        <v>2135</v>
      </c>
      <c r="Q36" s="6" t="s">
        <v>2136</v>
      </c>
      <c r="R36" s="6" t="s">
        <v>246</v>
      </c>
      <c r="S36" s="6" t="s">
        <v>147</v>
      </c>
      <c r="T36" s="6" t="s">
        <v>250</v>
      </c>
      <c r="U36" s="6" t="s">
        <v>252</v>
      </c>
      <c r="V36" s="6" t="s">
        <v>155</v>
      </c>
      <c r="W36" s="6" t="s">
        <v>158</v>
      </c>
      <c r="X36" s="6" t="s">
        <v>458</v>
      </c>
      <c r="Y36" s="6" t="s">
        <v>162</v>
      </c>
      <c r="Z36" s="6" t="s">
        <v>165</v>
      </c>
      <c r="AA36" s="6" t="s">
        <v>641</v>
      </c>
      <c r="AB36" s="6" t="s">
        <v>171</v>
      </c>
      <c r="AC36" s="6" t="s">
        <v>1669</v>
      </c>
      <c r="AD36" s="6" t="s">
        <v>641</v>
      </c>
      <c r="AE36" s="6" t="s">
        <v>524</v>
      </c>
      <c r="AF36" s="6" t="s">
        <v>174</v>
      </c>
      <c r="AG36" s="6" t="s">
        <v>641</v>
      </c>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row>
    <row r="37" ht="22.5" customHeight="1">
      <c r="A37" s="4">
        <v>46229.695819444445</v>
      </c>
      <c r="B37" s="5">
        <v>0.0</v>
      </c>
      <c r="C37" s="6" t="s">
        <v>114</v>
      </c>
      <c r="D37" s="6" t="s">
        <v>153</v>
      </c>
      <c r="E37" s="6" t="s">
        <v>154</v>
      </c>
      <c r="F37" s="6">
        <v>6.9070501018E10</v>
      </c>
      <c r="G37" s="6" t="s">
        <v>1470</v>
      </c>
      <c r="H37" s="7"/>
      <c r="I37" s="6" t="s">
        <v>2180</v>
      </c>
      <c r="J37" s="6" t="s">
        <v>2183</v>
      </c>
      <c r="K37" s="6" t="s">
        <v>2184</v>
      </c>
      <c r="L37" s="6" t="s">
        <v>2185</v>
      </c>
      <c r="M37" s="6" t="s">
        <v>2187</v>
      </c>
      <c r="N37" s="7"/>
      <c r="O37" s="6" t="s">
        <v>2189</v>
      </c>
      <c r="P37" s="6" t="s">
        <v>2191</v>
      </c>
      <c r="Q37" s="6" t="s">
        <v>2192</v>
      </c>
      <c r="R37" s="6" t="s">
        <v>246</v>
      </c>
      <c r="S37" s="6" t="s">
        <v>147</v>
      </c>
      <c r="T37" s="6" t="s">
        <v>250</v>
      </c>
      <c r="U37" s="6" t="s">
        <v>686</v>
      </c>
      <c r="V37" s="6" t="s">
        <v>246</v>
      </c>
      <c r="W37" s="6" t="s">
        <v>158</v>
      </c>
      <c r="X37" s="6" t="s">
        <v>257</v>
      </c>
      <c r="Y37" s="6" t="s">
        <v>162</v>
      </c>
      <c r="Z37" s="6" t="s">
        <v>165</v>
      </c>
      <c r="AA37" s="6" t="s">
        <v>262</v>
      </c>
      <c r="AB37" s="6" t="s">
        <v>171</v>
      </c>
      <c r="AC37" s="6" t="s">
        <v>174</v>
      </c>
      <c r="AD37" s="6" t="s">
        <v>175</v>
      </c>
      <c r="AE37" s="6" t="s">
        <v>271</v>
      </c>
      <c r="AF37" s="6" t="s">
        <v>181</v>
      </c>
      <c r="AG37" s="6" t="s">
        <v>182</v>
      </c>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row>
    <row r="38" ht="22.5" customHeight="1">
      <c r="A38" s="4">
        <v>46229.69584630787</v>
      </c>
      <c r="B38" s="5">
        <v>0.0</v>
      </c>
      <c r="C38" s="6" t="s">
        <v>114</v>
      </c>
      <c r="D38" s="6" t="s">
        <v>156</v>
      </c>
      <c r="E38" s="6" t="s">
        <v>157</v>
      </c>
      <c r="F38" s="6">
        <v>6.9070500455E10</v>
      </c>
      <c r="G38" s="6" t="s">
        <v>310</v>
      </c>
      <c r="H38" s="7"/>
      <c r="I38" s="6" t="s">
        <v>2236</v>
      </c>
      <c r="J38" s="6" t="s">
        <v>2238</v>
      </c>
      <c r="K38" s="6" t="s">
        <v>2240</v>
      </c>
      <c r="L38" s="6" t="s">
        <v>2242</v>
      </c>
      <c r="M38" s="6" t="s">
        <v>2243</v>
      </c>
      <c r="N38" s="6" t="s">
        <v>2245</v>
      </c>
      <c r="O38" s="6" t="s">
        <v>2247</v>
      </c>
      <c r="P38" s="6" t="s">
        <v>2248</v>
      </c>
      <c r="Q38" s="6" t="s">
        <v>2251</v>
      </c>
      <c r="R38" s="6" t="s">
        <v>246</v>
      </c>
      <c r="S38" s="6" t="s">
        <v>147</v>
      </c>
      <c r="T38" s="6" t="s">
        <v>250</v>
      </c>
      <c r="U38" s="6" t="s">
        <v>2254</v>
      </c>
      <c r="V38" s="6" t="s">
        <v>155</v>
      </c>
      <c r="W38" s="6" t="s">
        <v>158</v>
      </c>
      <c r="X38" s="6" t="s">
        <v>458</v>
      </c>
      <c r="Y38" s="6" t="s">
        <v>162</v>
      </c>
      <c r="Z38" s="6" t="s">
        <v>165</v>
      </c>
      <c r="AA38" s="6" t="s">
        <v>262</v>
      </c>
      <c r="AB38" s="6" t="s">
        <v>521</v>
      </c>
      <c r="AC38" s="6" t="s">
        <v>174</v>
      </c>
      <c r="AD38" s="6" t="s">
        <v>175</v>
      </c>
      <c r="AE38" s="6" t="s">
        <v>271</v>
      </c>
      <c r="AF38" s="6" t="s">
        <v>181</v>
      </c>
      <c r="AG38" s="6" t="s">
        <v>182</v>
      </c>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row>
    <row r="39" ht="22.5" customHeight="1">
      <c r="A39" s="4">
        <v>46229.69584945602</v>
      </c>
      <c r="B39" s="5">
        <v>0.0</v>
      </c>
      <c r="C39" s="6" t="s">
        <v>114</v>
      </c>
      <c r="D39" s="6" t="s">
        <v>159</v>
      </c>
      <c r="E39" s="6" t="s">
        <v>160</v>
      </c>
      <c r="F39" s="6">
        <v>6.9070509456E10</v>
      </c>
      <c r="G39" s="6" t="s">
        <v>122</v>
      </c>
      <c r="H39" s="6" t="s">
        <v>2286</v>
      </c>
      <c r="I39" s="6" t="s">
        <v>2287</v>
      </c>
      <c r="J39" s="6" t="s">
        <v>2289</v>
      </c>
      <c r="K39" s="6" t="s">
        <v>2290</v>
      </c>
      <c r="L39" s="6" t="s">
        <v>2293</v>
      </c>
      <c r="M39" s="6" t="s">
        <v>2294</v>
      </c>
      <c r="N39" s="7"/>
      <c r="O39" s="6" t="s">
        <v>2296</v>
      </c>
      <c r="P39" s="6" t="s">
        <v>2297</v>
      </c>
      <c r="Q39" s="6" t="s">
        <v>2299</v>
      </c>
      <c r="R39" s="6" t="s">
        <v>246</v>
      </c>
      <c r="S39" s="6" t="s">
        <v>147</v>
      </c>
      <c r="T39" s="6" t="s">
        <v>149</v>
      </c>
      <c r="U39" s="6" t="s">
        <v>252</v>
      </c>
      <c r="V39" s="6" t="s">
        <v>2302</v>
      </c>
      <c r="W39" s="6" t="s">
        <v>158</v>
      </c>
      <c r="X39" s="6" t="s">
        <v>458</v>
      </c>
      <c r="Y39" s="6" t="s">
        <v>162</v>
      </c>
      <c r="Z39" s="6" t="s">
        <v>165</v>
      </c>
      <c r="AA39" s="6" t="s">
        <v>2307</v>
      </c>
      <c r="AB39" s="6" t="s">
        <v>1266</v>
      </c>
      <c r="AC39" s="6" t="s">
        <v>174</v>
      </c>
      <c r="AD39" s="6" t="s">
        <v>175</v>
      </c>
      <c r="AE39" s="6" t="s">
        <v>271</v>
      </c>
      <c r="AF39" s="6" t="s">
        <v>811</v>
      </c>
      <c r="AG39" s="6" t="s">
        <v>1213</v>
      </c>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row>
    <row r="40" ht="22.5" customHeight="1">
      <c r="A40" s="4">
        <v>46229.69586263889</v>
      </c>
      <c r="B40" s="5">
        <v>0.0</v>
      </c>
      <c r="C40" s="6" t="s">
        <v>114</v>
      </c>
      <c r="D40" s="6" t="s">
        <v>163</v>
      </c>
      <c r="E40" s="6" t="s">
        <v>164</v>
      </c>
      <c r="F40" s="6">
        <v>6.9070500285E10</v>
      </c>
      <c r="G40" s="6" t="s">
        <v>599</v>
      </c>
      <c r="H40" s="6" t="s">
        <v>2342</v>
      </c>
      <c r="I40" s="6" t="s">
        <v>2343</v>
      </c>
      <c r="J40" s="6" t="s">
        <v>2346</v>
      </c>
      <c r="K40" s="6" t="s">
        <v>2347</v>
      </c>
      <c r="L40" s="6" t="s">
        <v>2350</v>
      </c>
      <c r="M40" s="6" t="s">
        <v>2351</v>
      </c>
      <c r="N40" s="7"/>
      <c r="O40" s="6" t="s">
        <v>2354</v>
      </c>
      <c r="P40" s="6" t="s">
        <v>2355</v>
      </c>
      <c r="Q40" s="6" t="s">
        <v>2356</v>
      </c>
      <c r="R40" s="6" t="s">
        <v>257</v>
      </c>
      <c r="S40" s="6" t="s">
        <v>147</v>
      </c>
      <c r="T40" s="6" t="s">
        <v>246</v>
      </c>
      <c r="U40" s="6" t="s">
        <v>152</v>
      </c>
      <c r="V40" s="6" t="s">
        <v>246</v>
      </c>
      <c r="W40" s="6" t="s">
        <v>158</v>
      </c>
      <c r="X40" s="6" t="s">
        <v>250</v>
      </c>
      <c r="Y40" s="6" t="s">
        <v>162</v>
      </c>
      <c r="Z40" s="6" t="s">
        <v>165</v>
      </c>
      <c r="AA40" s="6" t="s">
        <v>262</v>
      </c>
      <c r="AB40" s="6" t="s">
        <v>171</v>
      </c>
      <c r="AC40" s="6" t="s">
        <v>174</v>
      </c>
      <c r="AD40" s="6" t="s">
        <v>175</v>
      </c>
      <c r="AE40" s="6" t="s">
        <v>271</v>
      </c>
      <c r="AF40" s="6" t="s">
        <v>181</v>
      </c>
      <c r="AG40" s="6" t="s">
        <v>182</v>
      </c>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row>
    <row r="41" ht="22.5" customHeight="1">
      <c r="A41" s="4">
        <v>46229.69587938658</v>
      </c>
      <c r="B41" s="5">
        <v>0.0</v>
      </c>
      <c r="C41" s="6" t="s">
        <v>114</v>
      </c>
      <c r="D41" s="6" t="s">
        <v>166</v>
      </c>
      <c r="E41" s="6" t="s">
        <v>167</v>
      </c>
      <c r="F41" s="6">
        <v>6.9070500822E10</v>
      </c>
      <c r="G41" s="6" t="s">
        <v>496</v>
      </c>
      <c r="H41" s="7"/>
      <c r="I41" s="6" t="s">
        <v>2394</v>
      </c>
      <c r="J41" s="6" t="s">
        <v>2397</v>
      </c>
      <c r="K41" s="6" t="s">
        <v>2398</v>
      </c>
      <c r="L41" s="6" t="s">
        <v>2400</v>
      </c>
      <c r="M41" s="6" t="s">
        <v>2401</v>
      </c>
      <c r="N41" s="7"/>
      <c r="O41" s="6" t="s">
        <v>2404</v>
      </c>
      <c r="P41" s="6" t="s">
        <v>2405</v>
      </c>
      <c r="Q41" s="6" t="s">
        <v>2407</v>
      </c>
      <c r="R41" s="6" t="s">
        <v>246</v>
      </c>
      <c r="S41" s="6" t="s">
        <v>147</v>
      </c>
      <c r="T41" s="6" t="s">
        <v>246</v>
      </c>
      <c r="U41" s="6" t="s">
        <v>252</v>
      </c>
      <c r="V41" s="6" t="s">
        <v>246</v>
      </c>
      <c r="W41" s="6" t="s">
        <v>158</v>
      </c>
      <c r="X41" s="6" t="s">
        <v>257</v>
      </c>
      <c r="Y41" s="6" t="s">
        <v>162</v>
      </c>
      <c r="Z41" s="6" t="s">
        <v>165</v>
      </c>
      <c r="AA41" s="6" t="s">
        <v>2307</v>
      </c>
      <c r="AB41" s="6" t="s">
        <v>521</v>
      </c>
      <c r="AC41" s="6" t="s">
        <v>174</v>
      </c>
      <c r="AD41" s="6" t="s">
        <v>175</v>
      </c>
      <c r="AE41" s="6" t="s">
        <v>271</v>
      </c>
      <c r="AF41" s="6" t="s">
        <v>181</v>
      </c>
      <c r="AG41" s="6" t="s">
        <v>182</v>
      </c>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row>
    <row r="42" ht="22.5" customHeight="1">
      <c r="A42" s="4">
        <v>46229.69592353009</v>
      </c>
      <c r="B42" s="5">
        <v>0.0</v>
      </c>
      <c r="C42" s="6" t="s">
        <v>114</v>
      </c>
      <c r="D42" s="6" t="s">
        <v>169</v>
      </c>
      <c r="E42" s="6" t="s">
        <v>170</v>
      </c>
      <c r="F42" s="6">
        <v>6.9070505238E10</v>
      </c>
      <c r="G42" s="6" t="s">
        <v>1470</v>
      </c>
      <c r="H42" s="6" t="s">
        <v>2442</v>
      </c>
      <c r="I42" s="6" t="s">
        <v>2444</v>
      </c>
      <c r="J42" s="6" t="s">
        <v>2446</v>
      </c>
      <c r="K42" s="6" t="s">
        <v>2447</v>
      </c>
      <c r="L42" s="6" t="s">
        <v>2450</v>
      </c>
      <c r="M42" s="6" t="s">
        <v>2451</v>
      </c>
      <c r="N42" s="6" t="s">
        <v>2452</v>
      </c>
      <c r="O42" s="6" t="s">
        <v>2454</v>
      </c>
      <c r="P42" s="6" t="s">
        <v>2455</v>
      </c>
      <c r="Q42" s="6" t="s">
        <v>2457</v>
      </c>
      <c r="R42" s="6" t="s">
        <v>246</v>
      </c>
      <c r="S42" s="6" t="s">
        <v>147</v>
      </c>
      <c r="T42" s="6" t="s">
        <v>149</v>
      </c>
      <c r="U42" s="6" t="s">
        <v>686</v>
      </c>
      <c r="V42" s="6" t="s">
        <v>246</v>
      </c>
      <c r="W42" s="6" t="s">
        <v>158</v>
      </c>
      <c r="X42" s="6" t="s">
        <v>250</v>
      </c>
      <c r="Y42" s="6" t="s">
        <v>162</v>
      </c>
      <c r="Z42" s="6" t="s">
        <v>165</v>
      </c>
      <c r="AA42" s="6" t="s">
        <v>1322</v>
      </c>
      <c r="AB42" s="6" t="s">
        <v>521</v>
      </c>
      <c r="AC42" s="6" t="s">
        <v>1669</v>
      </c>
      <c r="AD42" s="6" t="s">
        <v>175</v>
      </c>
      <c r="AE42" s="6" t="s">
        <v>271</v>
      </c>
      <c r="AF42" s="6" t="s">
        <v>181</v>
      </c>
      <c r="AG42" s="6" t="s">
        <v>182</v>
      </c>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row>
    <row r="43" ht="22.5" customHeight="1">
      <c r="A43" s="4">
        <v>46229.695954826384</v>
      </c>
      <c r="B43" s="5">
        <v>0.0</v>
      </c>
      <c r="C43" s="6" t="s">
        <v>114</v>
      </c>
      <c r="D43" s="6" t="s">
        <v>172</v>
      </c>
      <c r="E43" s="6" t="s">
        <v>173</v>
      </c>
      <c r="F43" s="6">
        <v>6.9070501061E10</v>
      </c>
      <c r="G43" s="6" t="s">
        <v>1470</v>
      </c>
      <c r="H43" s="7"/>
      <c r="I43" s="6" t="s">
        <v>2500</v>
      </c>
      <c r="J43" s="6" t="s">
        <v>2502</v>
      </c>
      <c r="K43" s="6" t="s">
        <v>2503</v>
      </c>
      <c r="L43" s="6" t="s">
        <v>2506</v>
      </c>
      <c r="M43" s="6" t="s">
        <v>2507</v>
      </c>
      <c r="N43" s="7"/>
      <c r="O43" s="6" t="s">
        <v>2510</v>
      </c>
      <c r="P43" s="6" t="s">
        <v>2511</v>
      </c>
      <c r="Q43" s="6" t="s">
        <v>2512</v>
      </c>
      <c r="R43" s="6" t="s">
        <v>861</v>
      </c>
      <c r="S43" s="6" t="s">
        <v>147</v>
      </c>
      <c r="T43" s="6" t="s">
        <v>250</v>
      </c>
      <c r="U43" s="6" t="s">
        <v>2254</v>
      </c>
      <c r="V43" s="6" t="s">
        <v>155</v>
      </c>
      <c r="W43" s="6" t="s">
        <v>932</v>
      </c>
      <c r="X43" s="6" t="s">
        <v>257</v>
      </c>
      <c r="Y43" s="6" t="s">
        <v>162</v>
      </c>
      <c r="Z43" s="6" t="s">
        <v>804</v>
      </c>
      <c r="AA43" s="6" t="s">
        <v>1322</v>
      </c>
      <c r="AB43" s="6" t="s">
        <v>1266</v>
      </c>
      <c r="AC43" s="6" t="s">
        <v>1669</v>
      </c>
      <c r="AD43" s="6" t="s">
        <v>641</v>
      </c>
      <c r="AE43" s="6" t="s">
        <v>1211</v>
      </c>
      <c r="AF43" s="6" t="s">
        <v>633</v>
      </c>
      <c r="AG43" s="6" t="s">
        <v>1326</v>
      </c>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row>
    <row r="44" ht="22.5" customHeight="1">
      <c r="A44" s="4">
        <v>46229.69596005787</v>
      </c>
      <c r="B44" s="5">
        <v>0.0</v>
      </c>
      <c r="C44" s="6" t="s">
        <v>114</v>
      </c>
      <c r="D44" s="6" t="s">
        <v>176</v>
      </c>
      <c r="E44" s="6" t="s">
        <v>177</v>
      </c>
      <c r="F44" s="6">
        <v>6.9070509616E10</v>
      </c>
      <c r="G44" s="6" t="s">
        <v>730</v>
      </c>
      <c r="H44" s="7"/>
      <c r="I44" s="6" t="s">
        <v>2553</v>
      </c>
      <c r="J44" s="6" t="s">
        <v>2554</v>
      </c>
      <c r="K44" s="6" t="s">
        <v>2557</v>
      </c>
      <c r="L44" s="6" t="s">
        <v>2558</v>
      </c>
      <c r="M44" s="6" t="s">
        <v>2561</v>
      </c>
      <c r="N44" s="6" t="s">
        <v>2562</v>
      </c>
      <c r="O44" s="6" t="s">
        <v>2563</v>
      </c>
      <c r="P44" s="6" t="s">
        <v>2565</v>
      </c>
      <c r="Q44" s="6" t="s">
        <v>2567</v>
      </c>
      <c r="R44" s="6" t="s">
        <v>246</v>
      </c>
      <c r="S44" s="6" t="s">
        <v>147</v>
      </c>
      <c r="T44" s="6" t="s">
        <v>246</v>
      </c>
      <c r="U44" s="6" t="s">
        <v>252</v>
      </c>
      <c r="V44" s="6" t="s">
        <v>155</v>
      </c>
      <c r="W44" s="6" t="s">
        <v>158</v>
      </c>
      <c r="X44" s="6" t="s">
        <v>246</v>
      </c>
      <c r="Y44" s="6" t="s">
        <v>162</v>
      </c>
      <c r="Z44" s="6" t="s">
        <v>165</v>
      </c>
      <c r="AA44" s="6" t="s">
        <v>262</v>
      </c>
      <c r="AB44" s="6" t="s">
        <v>171</v>
      </c>
      <c r="AC44" s="6" t="s">
        <v>1669</v>
      </c>
      <c r="AD44" s="6" t="s">
        <v>635</v>
      </c>
      <c r="AE44" s="6" t="s">
        <v>524</v>
      </c>
      <c r="AF44" s="6" t="s">
        <v>811</v>
      </c>
      <c r="AG44" s="6" t="s">
        <v>1326</v>
      </c>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row>
    <row r="45" ht="22.5" customHeight="1">
      <c r="A45" s="4">
        <v>46229.69597221065</v>
      </c>
      <c r="B45" s="5">
        <v>0.0</v>
      </c>
      <c r="C45" s="6" t="s">
        <v>114</v>
      </c>
      <c r="D45" s="6" t="s">
        <v>179</v>
      </c>
      <c r="E45" s="6" t="s">
        <v>180</v>
      </c>
      <c r="F45" s="6">
        <v>6.907050281E10</v>
      </c>
      <c r="G45" s="6" t="s">
        <v>310</v>
      </c>
      <c r="H45" s="7"/>
      <c r="I45" s="6" t="s">
        <v>2601</v>
      </c>
      <c r="J45" s="6" t="s">
        <v>2604</v>
      </c>
      <c r="K45" s="6" t="s">
        <v>2605</v>
      </c>
      <c r="L45" s="6" t="s">
        <v>2606</v>
      </c>
      <c r="M45" s="6" t="s">
        <v>2609</v>
      </c>
      <c r="N45" s="6" t="s">
        <v>2610</v>
      </c>
      <c r="O45" s="6" t="s">
        <v>2612</v>
      </c>
      <c r="P45" s="6" t="s">
        <v>2614</v>
      </c>
      <c r="Q45" s="6" t="s">
        <v>2615</v>
      </c>
      <c r="R45" s="6" t="s">
        <v>246</v>
      </c>
      <c r="S45" s="6" t="s">
        <v>147</v>
      </c>
      <c r="T45" s="6" t="s">
        <v>250</v>
      </c>
      <c r="U45" s="6" t="s">
        <v>560</v>
      </c>
      <c r="V45" s="6" t="s">
        <v>246</v>
      </c>
      <c r="W45" s="6" t="s">
        <v>158</v>
      </c>
      <c r="X45" s="6" t="s">
        <v>257</v>
      </c>
      <c r="Y45" s="6" t="s">
        <v>162</v>
      </c>
      <c r="Z45" s="6" t="s">
        <v>165</v>
      </c>
      <c r="AA45" s="6" t="s">
        <v>262</v>
      </c>
      <c r="AB45" s="6" t="s">
        <v>171</v>
      </c>
      <c r="AC45" s="6" t="s">
        <v>174</v>
      </c>
      <c r="AD45" s="6" t="s">
        <v>175</v>
      </c>
      <c r="AE45" s="6" t="s">
        <v>271</v>
      </c>
      <c r="AF45" s="6" t="s">
        <v>181</v>
      </c>
      <c r="AG45" s="6" t="s">
        <v>182</v>
      </c>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row>
    <row r="46" ht="22.5" customHeight="1">
      <c r="A46" s="4">
        <v>46229.69602256945</v>
      </c>
      <c r="B46" s="5">
        <v>0.0</v>
      </c>
      <c r="C46" s="6" t="s">
        <v>114</v>
      </c>
      <c r="D46" s="6" t="s">
        <v>183</v>
      </c>
      <c r="E46" s="6" t="s">
        <v>184</v>
      </c>
      <c r="F46" s="6">
        <v>6.9070508232E10</v>
      </c>
      <c r="G46" s="6" t="s">
        <v>730</v>
      </c>
      <c r="H46" s="6" t="s">
        <v>2683</v>
      </c>
      <c r="I46" s="6" t="s">
        <v>2685</v>
      </c>
      <c r="J46" s="6" t="s">
        <v>2688</v>
      </c>
      <c r="K46" s="6" t="s">
        <v>1138</v>
      </c>
      <c r="L46" s="6" t="s">
        <v>1138</v>
      </c>
      <c r="M46" s="6" t="s">
        <v>1138</v>
      </c>
      <c r="N46" s="6" t="s">
        <v>2633</v>
      </c>
      <c r="O46" s="6" t="s">
        <v>2694</v>
      </c>
      <c r="P46" s="6" t="s">
        <v>2697</v>
      </c>
      <c r="Q46" s="6" t="s">
        <v>2700</v>
      </c>
      <c r="R46" s="6" t="s">
        <v>257</v>
      </c>
      <c r="S46" s="6" t="s">
        <v>147</v>
      </c>
      <c r="T46" s="6" t="s">
        <v>516</v>
      </c>
      <c r="U46" s="6" t="s">
        <v>560</v>
      </c>
      <c r="V46" s="6" t="s">
        <v>458</v>
      </c>
      <c r="W46" s="6" t="s">
        <v>158</v>
      </c>
      <c r="X46" s="6" t="s">
        <v>161</v>
      </c>
      <c r="Y46" s="6" t="s">
        <v>162</v>
      </c>
      <c r="Z46" s="6" t="s">
        <v>165</v>
      </c>
      <c r="AA46" s="6" t="s">
        <v>2307</v>
      </c>
      <c r="AB46" s="6" t="s">
        <v>521</v>
      </c>
      <c r="AC46" s="6" t="s">
        <v>2718</v>
      </c>
      <c r="AD46" s="6" t="s">
        <v>635</v>
      </c>
      <c r="AE46" s="6" t="s">
        <v>524</v>
      </c>
      <c r="AF46" s="6" t="s">
        <v>633</v>
      </c>
      <c r="AG46" s="6" t="s">
        <v>1213</v>
      </c>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row>
    <row r="47" ht="22.5" customHeight="1">
      <c r="A47" s="4">
        <v>46229.696044571756</v>
      </c>
      <c r="B47" s="5">
        <v>0.0</v>
      </c>
      <c r="C47" s="6" t="s">
        <v>114</v>
      </c>
      <c r="D47" s="6" t="s">
        <v>185</v>
      </c>
      <c r="E47" s="6" t="s">
        <v>186</v>
      </c>
      <c r="F47" s="6">
        <v>6.9070501816E10</v>
      </c>
      <c r="G47" s="6" t="s">
        <v>730</v>
      </c>
      <c r="H47" s="6" t="s">
        <v>2442</v>
      </c>
      <c r="I47" s="6" t="s">
        <v>2771</v>
      </c>
      <c r="J47" s="6" t="s">
        <v>2772</v>
      </c>
      <c r="K47" s="6" t="s">
        <v>2774</v>
      </c>
      <c r="L47" s="6" t="s">
        <v>2777</v>
      </c>
      <c r="M47" s="6" t="s">
        <v>2779</v>
      </c>
      <c r="N47" s="6" t="s">
        <v>2782</v>
      </c>
      <c r="O47" s="6" t="s">
        <v>2784</v>
      </c>
      <c r="P47" s="6" t="s">
        <v>2787</v>
      </c>
      <c r="Q47" s="6" t="s">
        <v>2789</v>
      </c>
      <c r="R47" s="6" t="s">
        <v>257</v>
      </c>
      <c r="S47" s="6" t="s">
        <v>147</v>
      </c>
      <c r="T47" s="6" t="s">
        <v>250</v>
      </c>
      <c r="U47" s="6" t="s">
        <v>686</v>
      </c>
      <c r="V47" s="6" t="s">
        <v>246</v>
      </c>
      <c r="W47" s="6" t="s">
        <v>158</v>
      </c>
      <c r="X47" s="6" t="s">
        <v>458</v>
      </c>
      <c r="Y47" s="6" t="s">
        <v>162</v>
      </c>
      <c r="Z47" s="6" t="s">
        <v>165</v>
      </c>
      <c r="AA47" s="6" t="s">
        <v>168</v>
      </c>
      <c r="AB47" s="6" t="s">
        <v>521</v>
      </c>
      <c r="AC47" s="6" t="s">
        <v>174</v>
      </c>
      <c r="AD47" s="6" t="s">
        <v>175</v>
      </c>
      <c r="AE47" s="6" t="s">
        <v>271</v>
      </c>
      <c r="AF47" s="6" t="s">
        <v>181</v>
      </c>
      <c r="AG47" s="6" t="s">
        <v>182</v>
      </c>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row>
    <row r="48" ht="22.5" customHeight="1">
      <c r="A48" s="4">
        <v>46229.6960475</v>
      </c>
      <c r="B48" s="5">
        <v>0.0</v>
      </c>
      <c r="C48" s="6" t="s">
        <v>114</v>
      </c>
      <c r="D48" s="6" t="s">
        <v>187</v>
      </c>
      <c r="E48" s="6" t="s">
        <v>188</v>
      </c>
      <c r="F48" s="6">
        <v>6.9070509814E10</v>
      </c>
      <c r="G48" s="6" t="s">
        <v>496</v>
      </c>
      <c r="H48" s="6" t="s">
        <v>2853</v>
      </c>
      <c r="I48" s="6" t="s">
        <v>2856</v>
      </c>
      <c r="J48" s="6" t="s">
        <v>2858</v>
      </c>
      <c r="K48" s="6" t="s">
        <v>2860</v>
      </c>
      <c r="L48" s="6" t="s">
        <v>1907</v>
      </c>
      <c r="M48" s="6" t="s">
        <v>2864</v>
      </c>
      <c r="N48" s="7"/>
      <c r="O48" s="6" t="s">
        <v>2868</v>
      </c>
      <c r="P48" s="6" t="s">
        <v>2870</v>
      </c>
      <c r="Q48" s="6" t="s">
        <v>2872</v>
      </c>
      <c r="R48" s="6" t="s">
        <v>246</v>
      </c>
      <c r="S48" s="6" t="s">
        <v>147</v>
      </c>
      <c r="T48" s="6" t="s">
        <v>149</v>
      </c>
      <c r="U48" s="6" t="s">
        <v>686</v>
      </c>
      <c r="V48" s="6" t="s">
        <v>246</v>
      </c>
      <c r="W48" s="6" t="s">
        <v>158</v>
      </c>
      <c r="X48" s="6" t="s">
        <v>161</v>
      </c>
      <c r="Y48" s="6" t="s">
        <v>162</v>
      </c>
      <c r="Z48" s="6" t="s">
        <v>165</v>
      </c>
      <c r="AA48" s="6" t="s">
        <v>262</v>
      </c>
      <c r="AB48" s="6" t="s">
        <v>171</v>
      </c>
      <c r="AC48" s="6" t="s">
        <v>174</v>
      </c>
      <c r="AD48" s="6" t="s">
        <v>175</v>
      </c>
      <c r="AE48" s="6" t="s">
        <v>178</v>
      </c>
      <c r="AF48" s="6" t="s">
        <v>181</v>
      </c>
      <c r="AG48" s="6" t="s">
        <v>182</v>
      </c>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row>
    <row r="49" ht="22.5" customHeight="1">
      <c r="A49" s="4">
        <v>46229.696056898145</v>
      </c>
      <c r="B49" s="5">
        <v>0.0</v>
      </c>
      <c r="C49" s="6" t="s">
        <v>114</v>
      </c>
      <c r="D49" s="6" t="s">
        <v>189</v>
      </c>
      <c r="E49" s="6" t="s">
        <v>190</v>
      </c>
      <c r="F49" s="6">
        <v>6.9070500844E10</v>
      </c>
      <c r="G49" s="6" t="s">
        <v>496</v>
      </c>
      <c r="H49" s="6" t="s">
        <v>2633</v>
      </c>
      <c r="I49" s="6" t="s">
        <v>2941</v>
      </c>
      <c r="J49" s="6" t="s">
        <v>2942</v>
      </c>
      <c r="K49" s="6" t="s">
        <v>2943</v>
      </c>
      <c r="L49" s="6" t="s">
        <v>2946</v>
      </c>
      <c r="M49" s="6" t="s">
        <v>2947</v>
      </c>
      <c r="N49" s="6" t="s">
        <v>2633</v>
      </c>
      <c r="O49" s="6" t="s">
        <v>2952</v>
      </c>
      <c r="P49" s="6" t="s">
        <v>2954</v>
      </c>
      <c r="Q49" s="6" t="s">
        <v>2956</v>
      </c>
      <c r="R49" s="6" t="s">
        <v>246</v>
      </c>
      <c r="S49" s="6" t="s">
        <v>147</v>
      </c>
      <c r="T49" s="6" t="s">
        <v>516</v>
      </c>
      <c r="U49" s="6" t="s">
        <v>252</v>
      </c>
      <c r="V49" s="6" t="s">
        <v>155</v>
      </c>
      <c r="W49" s="6" t="s">
        <v>158</v>
      </c>
      <c r="X49" s="6" t="s">
        <v>257</v>
      </c>
      <c r="Y49" s="6" t="s">
        <v>162</v>
      </c>
      <c r="Z49" s="6" t="s">
        <v>165</v>
      </c>
      <c r="AA49" s="6" t="s">
        <v>2307</v>
      </c>
      <c r="AB49" s="6" t="s">
        <v>171</v>
      </c>
      <c r="AC49" s="6" t="s">
        <v>174</v>
      </c>
      <c r="AD49" s="6" t="s">
        <v>635</v>
      </c>
      <c r="AE49" s="6" t="s">
        <v>178</v>
      </c>
      <c r="AF49" s="6" t="s">
        <v>181</v>
      </c>
      <c r="AG49" s="6" t="s">
        <v>182</v>
      </c>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row>
    <row r="50" ht="22.5" customHeight="1">
      <c r="A50" s="4">
        <v>46229.69606219907</v>
      </c>
      <c r="B50" s="5">
        <v>0.0</v>
      </c>
      <c r="C50" s="6" t="s">
        <v>114</v>
      </c>
      <c r="D50" s="6" t="s">
        <v>191</v>
      </c>
      <c r="E50" s="6" t="s">
        <v>192</v>
      </c>
      <c r="F50" s="6">
        <v>6.9070500216E10</v>
      </c>
      <c r="G50" s="6" t="s">
        <v>599</v>
      </c>
      <c r="H50" s="7"/>
      <c r="I50" s="6" t="s">
        <v>3033</v>
      </c>
      <c r="J50" s="6" t="s">
        <v>3035</v>
      </c>
      <c r="K50" s="6" t="s">
        <v>3037</v>
      </c>
      <c r="L50" s="6" t="s">
        <v>3040</v>
      </c>
      <c r="M50" s="6" t="s">
        <v>3042</v>
      </c>
      <c r="N50" s="7"/>
      <c r="O50" s="6" t="s">
        <v>3045</v>
      </c>
      <c r="P50" s="6" t="s">
        <v>3046</v>
      </c>
      <c r="Q50" s="6" t="s">
        <v>3047</v>
      </c>
      <c r="R50" s="6" t="s">
        <v>257</v>
      </c>
      <c r="S50" s="6" t="s">
        <v>147</v>
      </c>
      <c r="T50" s="6" t="s">
        <v>250</v>
      </c>
      <c r="U50" s="6" t="s">
        <v>2254</v>
      </c>
      <c r="V50" s="6" t="s">
        <v>246</v>
      </c>
      <c r="W50" s="6" t="s">
        <v>158</v>
      </c>
      <c r="X50" s="6" t="s">
        <v>458</v>
      </c>
      <c r="Y50" s="6" t="s">
        <v>162</v>
      </c>
      <c r="Z50" s="6" t="s">
        <v>165</v>
      </c>
      <c r="AA50" s="6" t="s">
        <v>168</v>
      </c>
      <c r="AB50" s="6" t="s">
        <v>1266</v>
      </c>
      <c r="AC50" s="6" t="s">
        <v>174</v>
      </c>
      <c r="AD50" s="6" t="s">
        <v>175</v>
      </c>
      <c r="AE50" s="6" t="s">
        <v>271</v>
      </c>
      <c r="AF50" s="6" t="s">
        <v>181</v>
      </c>
      <c r="AG50" s="6" t="s">
        <v>182</v>
      </c>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row>
    <row r="51" ht="22.5" customHeight="1">
      <c r="A51" s="4">
        <v>46229.69608098379</v>
      </c>
      <c r="B51" s="5">
        <v>0.0</v>
      </c>
      <c r="C51" s="6" t="s">
        <v>114</v>
      </c>
      <c r="D51" s="6" t="s">
        <v>193</v>
      </c>
      <c r="E51" s="6" t="s">
        <v>194</v>
      </c>
      <c r="F51" s="6">
        <v>6.9070506401E10</v>
      </c>
      <c r="G51" s="6" t="s">
        <v>599</v>
      </c>
      <c r="H51" s="6" t="s">
        <v>2633</v>
      </c>
      <c r="I51" s="6" t="s">
        <v>3048</v>
      </c>
      <c r="J51" s="6" t="s">
        <v>3049</v>
      </c>
      <c r="K51" s="6" t="s">
        <v>3050</v>
      </c>
      <c r="L51" s="6" t="s">
        <v>3051</v>
      </c>
      <c r="M51" s="6" t="s">
        <v>3052</v>
      </c>
      <c r="N51" s="6" t="s">
        <v>2633</v>
      </c>
      <c r="O51" s="6" t="s">
        <v>3053</v>
      </c>
      <c r="P51" s="6" t="s">
        <v>3054</v>
      </c>
      <c r="Q51" s="6" t="s">
        <v>3055</v>
      </c>
      <c r="R51" s="6" t="s">
        <v>246</v>
      </c>
      <c r="S51" s="6" t="s">
        <v>147</v>
      </c>
      <c r="T51" s="6" t="s">
        <v>250</v>
      </c>
      <c r="U51" s="6" t="s">
        <v>252</v>
      </c>
      <c r="V51" s="6" t="s">
        <v>246</v>
      </c>
      <c r="W51" s="6" t="s">
        <v>158</v>
      </c>
      <c r="X51" s="6" t="s">
        <v>257</v>
      </c>
      <c r="Y51" s="6" t="s">
        <v>162</v>
      </c>
      <c r="Z51" s="6" t="s">
        <v>165</v>
      </c>
      <c r="AA51" s="6" t="s">
        <v>262</v>
      </c>
      <c r="AB51" s="6" t="s">
        <v>521</v>
      </c>
      <c r="AC51" s="6" t="s">
        <v>1210</v>
      </c>
      <c r="AD51" s="6" t="s">
        <v>175</v>
      </c>
      <c r="AE51" s="6" t="s">
        <v>271</v>
      </c>
      <c r="AF51" s="6" t="s">
        <v>181</v>
      </c>
      <c r="AG51" s="6" t="s">
        <v>182</v>
      </c>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row>
    <row r="52" ht="22.5" customHeight="1">
      <c r="A52" s="4">
        <v>46229.696094479164</v>
      </c>
      <c r="B52" s="5">
        <v>0.0</v>
      </c>
      <c r="C52" s="6" t="s">
        <v>114</v>
      </c>
      <c r="D52" s="6" t="s">
        <v>195</v>
      </c>
      <c r="E52" s="6" t="s">
        <v>196</v>
      </c>
      <c r="F52" s="6">
        <v>6.9070502458E10</v>
      </c>
      <c r="G52" s="6" t="s">
        <v>122</v>
      </c>
      <c r="H52" s="6" t="s">
        <v>3056</v>
      </c>
      <c r="I52" s="6" t="s">
        <v>3057</v>
      </c>
      <c r="J52" s="6" t="s">
        <v>1186</v>
      </c>
      <c r="K52" s="6" t="s">
        <v>3058</v>
      </c>
      <c r="L52" s="6" t="s">
        <v>3059</v>
      </c>
      <c r="M52" s="6" t="s">
        <v>3060</v>
      </c>
      <c r="N52" s="6" t="s">
        <v>2633</v>
      </c>
      <c r="O52" s="6" t="s">
        <v>3061</v>
      </c>
      <c r="P52" s="6" t="s">
        <v>3062</v>
      </c>
      <c r="Q52" s="6" t="s">
        <v>3063</v>
      </c>
      <c r="R52" s="6" t="s">
        <v>246</v>
      </c>
      <c r="S52" s="6" t="s">
        <v>147</v>
      </c>
      <c r="T52" s="6" t="s">
        <v>246</v>
      </c>
      <c r="U52" s="6" t="s">
        <v>152</v>
      </c>
      <c r="V52" s="6" t="s">
        <v>246</v>
      </c>
      <c r="W52" s="6" t="s">
        <v>158</v>
      </c>
      <c r="X52" s="6" t="s">
        <v>458</v>
      </c>
      <c r="Y52" s="6" t="s">
        <v>162</v>
      </c>
      <c r="Z52" s="6" t="s">
        <v>165</v>
      </c>
      <c r="AA52" s="6" t="s">
        <v>262</v>
      </c>
      <c r="AB52" s="6" t="s">
        <v>521</v>
      </c>
      <c r="AC52" s="6" t="s">
        <v>174</v>
      </c>
      <c r="AD52" s="6" t="s">
        <v>175</v>
      </c>
      <c r="AE52" s="6" t="s">
        <v>271</v>
      </c>
      <c r="AF52" s="6" t="s">
        <v>181</v>
      </c>
      <c r="AG52" s="6" t="s">
        <v>182</v>
      </c>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row>
    <row r="53" ht="22.5" customHeight="1">
      <c r="A53" s="4">
        <v>46229.6961555787</v>
      </c>
      <c r="B53" s="5">
        <v>0.0</v>
      </c>
      <c r="C53" s="6" t="s">
        <v>114</v>
      </c>
      <c r="D53" s="6" t="s">
        <v>197</v>
      </c>
      <c r="E53" s="6" t="s">
        <v>198</v>
      </c>
      <c r="F53" s="6">
        <v>6.9070500459E10</v>
      </c>
      <c r="G53" s="6" t="s">
        <v>310</v>
      </c>
      <c r="H53" s="6" t="s">
        <v>3064</v>
      </c>
      <c r="I53" s="6" t="s">
        <v>3065</v>
      </c>
      <c r="J53" s="6" t="s">
        <v>1534</v>
      </c>
      <c r="K53" s="6" t="s">
        <v>3066</v>
      </c>
      <c r="L53" s="6" t="s">
        <v>3067</v>
      </c>
      <c r="M53" s="6" t="s">
        <v>3068</v>
      </c>
      <c r="N53" s="7"/>
      <c r="O53" s="6" t="s">
        <v>3069</v>
      </c>
      <c r="P53" s="6" t="s">
        <v>3070</v>
      </c>
      <c r="Q53" s="6" t="s">
        <v>3071</v>
      </c>
      <c r="R53" s="6" t="s">
        <v>246</v>
      </c>
      <c r="S53" s="6" t="s">
        <v>1148</v>
      </c>
      <c r="T53" s="6" t="s">
        <v>250</v>
      </c>
      <c r="U53" s="6" t="s">
        <v>252</v>
      </c>
      <c r="V53" s="6" t="s">
        <v>246</v>
      </c>
      <c r="W53" s="6" t="s">
        <v>158</v>
      </c>
      <c r="X53" s="6" t="s">
        <v>257</v>
      </c>
      <c r="Y53" s="6" t="s">
        <v>162</v>
      </c>
      <c r="Z53" s="6" t="s">
        <v>165</v>
      </c>
      <c r="AA53" s="6" t="s">
        <v>641</v>
      </c>
      <c r="AB53" s="6" t="s">
        <v>171</v>
      </c>
      <c r="AC53" s="6" t="s">
        <v>633</v>
      </c>
      <c r="AD53" s="6" t="s">
        <v>1723</v>
      </c>
      <c r="AE53" s="6" t="s">
        <v>271</v>
      </c>
      <c r="AF53" s="6" t="s">
        <v>174</v>
      </c>
      <c r="AG53" s="6" t="s">
        <v>182</v>
      </c>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row>
    <row r="54" ht="22.5" customHeight="1">
      <c r="A54" s="4">
        <v>46229.69615675926</v>
      </c>
      <c r="B54" s="5">
        <v>0.0</v>
      </c>
      <c r="C54" s="6" t="s">
        <v>114</v>
      </c>
      <c r="D54" s="6" t="s">
        <v>199</v>
      </c>
      <c r="E54" s="6" t="s">
        <v>200</v>
      </c>
      <c r="F54" s="6">
        <v>6.9070505207E10</v>
      </c>
      <c r="G54" s="6" t="s">
        <v>1470</v>
      </c>
      <c r="H54" s="6" t="s">
        <v>3072</v>
      </c>
      <c r="I54" s="6" t="s">
        <v>2180</v>
      </c>
      <c r="J54" s="6" t="s">
        <v>3073</v>
      </c>
      <c r="K54" s="6" t="s">
        <v>3074</v>
      </c>
      <c r="L54" s="6" t="s">
        <v>3075</v>
      </c>
      <c r="M54" s="6" t="s">
        <v>3076</v>
      </c>
      <c r="N54" s="6" t="s">
        <v>3077</v>
      </c>
      <c r="O54" s="6" t="s">
        <v>3078</v>
      </c>
      <c r="P54" s="6" t="s">
        <v>3079</v>
      </c>
      <c r="Q54" s="6" t="s">
        <v>3080</v>
      </c>
      <c r="R54" s="6" t="s">
        <v>246</v>
      </c>
      <c r="S54" s="6" t="s">
        <v>147</v>
      </c>
      <c r="T54" s="6" t="s">
        <v>250</v>
      </c>
      <c r="U54" s="6" t="s">
        <v>252</v>
      </c>
      <c r="V54" s="6" t="s">
        <v>246</v>
      </c>
      <c r="W54" s="6" t="s">
        <v>158</v>
      </c>
      <c r="X54" s="6" t="s">
        <v>161</v>
      </c>
      <c r="Y54" s="6" t="s">
        <v>162</v>
      </c>
      <c r="Z54" s="6" t="s">
        <v>165</v>
      </c>
      <c r="AA54" s="6" t="s">
        <v>262</v>
      </c>
      <c r="AB54" s="6" t="s">
        <v>521</v>
      </c>
      <c r="AC54" s="6" t="s">
        <v>174</v>
      </c>
      <c r="AD54" s="6" t="s">
        <v>175</v>
      </c>
      <c r="AE54" s="6" t="s">
        <v>524</v>
      </c>
      <c r="AF54" s="6" t="s">
        <v>181</v>
      </c>
      <c r="AG54" s="6" t="s">
        <v>182</v>
      </c>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row>
    <row r="55" ht="22.5" customHeight="1">
      <c r="A55" s="4">
        <v>46229.696159583335</v>
      </c>
      <c r="B55" s="5">
        <v>0.0</v>
      </c>
      <c r="C55" s="6" t="s">
        <v>114</v>
      </c>
      <c r="D55" s="6" t="s">
        <v>201</v>
      </c>
      <c r="E55" s="6" t="s">
        <v>202</v>
      </c>
      <c r="F55" s="6">
        <v>6.9070502201E10</v>
      </c>
      <c r="G55" s="6" t="s">
        <v>496</v>
      </c>
      <c r="H55" s="7"/>
      <c r="I55" s="6" t="s">
        <v>3081</v>
      </c>
      <c r="J55" s="6" t="s">
        <v>3082</v>
      </c>
      <c r="K55" s="6" t="s">
        <v>3083</v>
      </c>
      <c r="L55" s="6" t="s">
        <v>3084</v>
      </c>
      <c r="M55" s="6" t="s">
        <v>3085</v>
      </c>
      <c r="N55" s="7"/>
      <c r="O55" s="6" t="s">
        <v>3086</v>
      </c>
      <c r="P55" s="6" t="s">
        <v>3087</v>
      </c>
      <c r="Q55" s="6" t="s">
        <v>3088</v>
      </c>
      <c r="R55" s="6" t="s">
        <v>257</v>
      </c>
      <c r="S55" s="6" t="s">
        <v>147</v>
      </c>
      <c r="T55" s="6" t="s">
        <v>250</v>
      </c>
      <c r="U55" s="6" t="s">
        <v>152</v>
      </c>
      <c r="V55" s="6" t="s">
        <v>246</v>
      </c>
      <c r="W55" s="6" t="s">
        <v>158</v>
      </c>
      <c r="X55" s="6" t="s">
        <v>246</v>
      </c>
      <c r="Y55" s="6" t="s">
        <v>162</v>
      </c>
      <c r="Z55" s="6" t="s">
        <v>165</v>
      </c>
      <c r="AA55" s="6" t="s">
        <v>262</v>
      </c>
      <c r="AB55" s="6" t="s">
        <v>171</v>
      </c>
      <c r="AC55" s="6" t="s">
        <v>2718</v>
      </c>
      <c r="AD55" s="6" t="s">
        <v>175</v>
      </c>
      <c r="AE55" s="6" t="s">
        <v>271</v>
      </c>
      <c r="AF55" s="6" t="s">
        <v>181</v>
      </c>
      <c r="AG55" s="6" t="s">
        <v>182</v>
      </c>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row>
    <row r="56" ht="22.5" customHeight="1">
      <c r="A56" s="4">
        <v>46229.69627980324</v>
      </c>
      <c r="B56" s="5">
        <v>0.0</v>
      </c>
      <c r="C56" s="6" t="s">
        <v>114</v>
      </c>
      <c r="D56" s="6" t="s">
        <v>203</v>
      </c>
      <c r="E56" s="6" t="s">
        <v>204</v>
      </c>
      <c r="F56" s="6">
        <v>6.9070509813E10</v>
      </c>
      <c r="G56" s="6" t="s">
        <v>496</v>
      </c>
      <c r="H56" s="7"/>
      <c r="I56" s="6" t="s">
        <v>3089</v>
      </c>
      <c r="J56" s="6" t="s">
        <v>3090</v>
      </c>
      <c r="K56" s="6" t="s">
        <v>3091</v>
      </c>
      <c r="L56" s="6" t="s">
        <v>3092</v>
      </c>
      <c r="M56" s="6" t="s">
        <v>3093</v>
      </c>
      <c r="N56" s="6" t="s">
        <v>3094</v>
      </c>
      <c r="O56" s="6" t="s">
        <v>3095</v>
      </c>
      <c r="P56" s="6" t="s">
        <v>3096</v>
      </c>
      <c r="Q56" s="6" t="s">
        <v>3097</v>
      </c>
      <c r="R56" s="6" t="s">
        <v>257</v>
      </c>
      <c r="S56" s="6" t="s">
        <v>147</v>
      </c>
      <c r="T56" s="6" t="s">
        <v>246</v>
      </c>
      <c r="U56" s="6" t="s">
        <v>2254</v>
      </c>
      <c r="V56" s="6" t="s">
        <v>246</v>
      </c>
      <c r="W56" s="6" t="s">
        <v>158</v>
      </c>
      <c r="X56" s="6" t="s">
        <v>257</v>
      </c>
      <c r="Y56" s="6" t="s">
        <v>162</v>
      </c>
      <c r="Z56" s="6" t="s">
        <v>165</v>
      </c>
      <c r="AA56" s="6" t="s">
        <v>262</v>
      </c>
      <c r="AB56" s="6" t="s">
        <v>171</v>
      </c>
      <c r="AC56" s="6" t="s">
        <v>174</v>
      </c>
      <c r="AD56" s="6" t="s">
        <v>1723</v>
      </c>
      <c r="AE56" s="6" t="s">
        <v>524</v>
      </c>
      <c r="AF56" s="6" t="s">
        <v>181</v>
      </c>
      <c r="AG56" s="6" t="s">
        <v>182</v>
      </c>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row>
    <row r="57" ht="22.5" customHeight="1">
      <c r="A57" s="4">
        <v>46229.696321979165</v>
      </c>
      <c r="B57" s="5">
        <v>0.0</v>
      </c>
      <c r="C57" s="6" t="s">
        <v>114</v>
      </c>
      <c r="D57" s="6" t="s">
        <v>205</v>
      </c>
      <c r="E57" s="6" t="s">
        <v>206</v>
      </c>
      <c r="F57" s="6">
        <v>6.9070502507E10</v>
      </c>
      <c r="G57" s="6" t="s">
        <v>122</v>
      </c>
      <c r="H57" s="7"/>
      <c r="I57" s="6" t="s">
        <v>3098</v>
      </c>
      <c r="J57" s="6" t="s">
        <v>3057</v>
      </c>
      <c r="K57" s="6" t="s">
        <v>3099</v>
      </c>
      <c r="L57" s="6" t="s">
        <v>3100</v>
      </c>
      <c r="M57" s="6" t="s">
        <v>3101</v>
      </c>
      <c r="N57" s="7"/>
      <c r="O57" s="6" t="s">
        <v>3102</v>
      </c>
      <c r="P57" s="6" t="s">
        <v>3103</v>
      </c>
      <c r="Q57" s="6" t="s">
        <v>3104</v>
      </c>
      <c r="R57" s="6" t="s">
        <v>246</v>
      </c>
      <c r="S57" s="6" t="s">
        <v>147</v>
      </c>
      <c r="T57" s="6" t="s">
        <v>250</v>
      </c>
      <c r="U57" s="6" t="s">
        <v>252</v>
      </c>
      <c r="V57" s="6" t="s">
        <v>246</v>
      </c>
      <c r="W57" s="6" t="s">
        <v>158</v>
      </c>
      <c r="X57" s="6" t="s">
        <v>458</v>
      </c>
      <c r="Y57" s="6" t="s">
        <v>162</v>
      </c>
      <c r="Z57" s="6" t="s">
        <v>804</v>
      </c>
      <c r="AA57" s="6" t="s">
        <v>168</v>
      </c>
      <c r="AB57" s="6" t="s">
        <v>521</v>
      </c>
      <c r="AC57" s="6" t="s">
        <v>1669</v>
      </c>
      <c r="AD57" s="6" t="s">
        <v>175</v>
      </c>
      <c r="AE57" s="6" t="s">
        <v>3105</v>
      </c>
      <c r="AF57" s="6" t="s">
        <v>181</v>
      </c>
      <c r="AG57" s="6" t="s">
        <v>641</v>
      </c>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row>
    <row r="58" ht="22.5" customHeight="1">
      <c r="A58" s="4">
        <v>46229.696324895835</v>
      </c>
      <c r="B58" s="5">
        <v>0.0</v>
      </c>
      <c r="C58" s="6" t="s">
        <v>114</v>
      </c>
      <c r="D58" s="6" t="s">
        <v>207</v>
      </c>
      <c r="E58" s="6" t="s">
        <v>208</v>
      </c>
      <c r="F58" s="6">
        <v>6.9070501005E10</v>
      </c>
      <c r="G58" s="6" t="s">
        <v>1470</v>
      </c>
      <c r="H58" s="6">
        <v>5.0</v>
      </c>
      <c r="I58" s="6" t="s">
        <v>3106</v>
      </c>
      <c r="J58" s="6" t="s">
        <v>3107</v>
      </c>
      <c r="K58" s="6" t="s">
        <v>3108</v>
      </c>
      <c r="L58" s="6" t="s">
        <v>3109</v>
      </c>
      <c r="M58" s="6" t="s">
        <v>3110</v>
      </c>
      <c r="N58" s="7"/>
      <c r="O58" s="6" t="s">
        <v>3111</v>
      </c>
      <c r="P58" s="6" t="s">
        <v>3112</v>
      </c>
      <c r="Q58" s="6" t="s">
        <v>3113</v>
      </c>
      <c r="R58" s="6" t="s">
        <v>257</v>
      </c>
      <c r="S58" s="6" t="s">
        <v>147</v>
      </c>
      <c r="T58" s="6" t="s">
        <v>250</v>
      </c>
      <c r="U58" s="6" t="s">
        <v>152</v>
      </c>
      <c r="V58" s="6" t="s">
        <v>246</v>
      </c>
      <c r="W58" s="6" t="s">
        <v>158</v>
      </c>
      <c r="X58" s="6" t="s">
        <v>458</v>
      </c>
      <c r="Y58" s="6" t="s">
        <v>162</v>
      </c>
      <c r="Z58" s="6" t="s">
        <v>165</v>
      </c>
      <c r="AA58" s="6" t="s">
        <v>262</v>
      </c>
      <c r="AB58" s="6" t="s">
        <v>171</v>
      </c>
      <c r="AC58" s="6" t="s">
        <v>174</v>
      </c>
      <c r="AD58" s="6" t="s">
        <v>175</v>
      </c>
      <c r="AE58" s="6" t="s">
        <v>271</v>
      </c>
      <c r="AF58" s="6" t="s">
        <v>181</v>
      </c>
      <c r="AG58" s="6" t="s">
        <v>182</v>
      </c>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row>
    <row r="59" ht="22.5" customHeight="1">
      <c r="A59" s="4">
        <v>46229.696326944446</v>
      </c>
      <c r="B59" s="5">
        <v>0.0</v>
      </c>
      <c r="C59" s="6" t="s">
        <v>114</v>
      </c>
      <c r="D59" s="6" t="s">
        <v>209</v>
      </c>
      <c r="E59" s="6" t="s">
        <v>210</v>
      </c>
      <c r="F59" s="6">
        <v>6.9070500877E10</v>
      </c>
      <c r="G59" s="6" t="s">
        <v>496</v>
      </c>
      <c r="H59" s="7"/>
      <c r="I59" s="6" t="s">
        <v>3114</v>
      </c>
      <c r="J59" s="6" t="s">
        <v>3115</v>
      </c>
      <c r="K59" s="6" t="s">
        <v>3116</v>
      </c>
      <c r="L59" s="6" t="s">
        <v>3117</v>
      </c>
      <c r="M59" s="6" t="s">
        <v>2856</v>
      </c>
      <c r="N59" s="7"/>
      <c r="O59" s="6" t="s">
        <v>3118</v>
      </c>
      <c r="P59" s="6" t="s">
        <v>3119</v>
      </c>
      <c r="Q59" s="6" t="s">
        <v>3119</v>
      </c>
      <c r="R59" s="6" t="s">
        <v>246</v>
      </c>
      <c r="S59" s="6" t="s">
        <v>147</v>
      </c>
      <c r="T59" s="6" t="s">
        <v>246</v>
      </c>
      <c r="U59" s="6" t="s">
        <v>152</v>
      </c>
      <c r="V59" s="6" t="s">
        <v>246</v>
      </c>
      <c r="W59" s="6" t="s">
        <v>158</v>
      </c>
      <c r="X59" s="6" t="s">
        <v>257</v>
      </c>
      <c r="Y59" s="6" t="s">
        <v>162</v>
      </c>
      <c r="Z59" s="6" t="s">
        <v>165</v>
      </c>
      <c r="AA59" s="6" t="s">
        <v>262</v>
      </c>
      <c r="AB59" s="6" t="s">
        <v>521</v>
      </c>
      <c r="AC59" s="6" t="s">
        <v>1669</v>
      </c>
      <c r="AD59" s="6" t="s">
        <v>175</v>
      </c>
      <c r="AE59" s="6" t="s">
        <v>271</v>
      </c>
      <c r="AF59" s="6" t="s">
        <v>181</v>
      </c>
      <c r="AG59" s="6" t="s">
        <v>182</v>
      </c>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row>
    <row r="60" ht="22.5" customHeight="1">
      <c r="A60" s="4">
        <v>46229.6963453125</v>
      </c>
      <c r="B60" s="5">
        <v>0.0</v>
      </c>
      <c r="C60" s="6" t="s">
        <v>114</v>
      </c>
      <c r="D60" s="6" t="s">
        <v>211</v>
      </c>
      <c r="E60" s="6" t="s">
        <v>212</v>
      </c>
      <c r="F60" s="6">
        <v>6.907050245E10</v>
      </c>
      <c r="G60" s="6" t="s">
        <v>122</v>
      </c>
      <c r="H60" s="7"/>
      <c r="I60" s="6" t="s">
        <v>3120</v>
      </c>
      <c r="J60" s="6" t="s">
        <v>3121</v>
      </c>
      <c r="K60" s="6" t="s">
        <v>3122</v>
      </c>
      <c r="L60" s="6" t="s">
        <v>3123</v>
      </c>
      <c r="M60" s="6" t="s">
        <v>3124</v>
      </c>
      <c r="N60" s="6" t="s">
        <v>3125</v>
      </c>
      <c r="O60" s="6" t="s">
        <v>3126</v>
      </c>
      <c r="P60" s="6" t="s">
        <v>3127</v>
      </c>
      <c r="Q60" s="6" t="s">
        <v>3128</v>
      </c>
      <c r="R60" s="6" t="s">
        <v>246</v>
      </c>
      <c r="S60" s="6" t="s">
        <v>147</v>
      </c>
      <c r="T60" s="6" t="s">
        <v>250</v>
      </c>
      <c r="U60" s="6" t="s">
        <v>152</v>
      </c>
      <c r="V60" s="6" t="s">
        <v>246</v>
      </c>
      <c r="W60" s="6" t="s">
        <v>158</v>
      </c>
      <c r="X60" s="6" t="s">
        <v>161</v>
      </c>
      <c r="Y60" s="6" t="s">
        <v>162</v>
      </c>
      <c r="Z60" s="6" t="s">
        <v>165</v>
      </c>
      <c r="AA60" s="6" t="s">
        <v>262</v>
      </c>
      <c r="AB60" s="6" t="s">
        <v>521</v>
      </c>
      <c r="AC60" s="6" t="s">
        <v>174</v>
      </c>
      <c r="AD60" s="6" t="s">
        <v>175</v>
      </c>
      <c r="AE60" s="6" t="s">
        <v>271</v>
      </c>
      <c r="AF60" s="6" t="s">
        <v>181</v>
      </c>
      <c r="AG60" s="6" t="s">
        <v>182</v>
      </c>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row>
    <row r="61" ht="22.5" customHeight="1">
      <c r="A61" s="4">
        <v>46229.69636938657</v>
      </c>
      <c r="B61" s="5">
        <v>0.0</v>
      </c>
      <c r="C61" s="6" t="s">
        <v>114</v>
      </c>
      <c r="D61" s="6" t="s">
        <v>213</v>
      </c>
      <c r="E61" s="6" t="s">
        <v>214</v>
      </c>
      <c r="F61" s="6">
        <v>6.9070502236E10</v>
      </c>
      <c r="G61" s="6" t="s">
        <v>496</v>
      </c>
      <c r="H61" s="7"/>
      <c r="I61" s="6" t="s">
        <v>3129</v>
      </c>
      <c r="J61" s="6" t="s">
        <v>3130</v>
      </c>
      <c r="K61" s="6" t="s">
        <v>3131</v>
      </c>
      <c r="L61" s="6" t="s">
        <v>3132</v>
      </c>
      <c r="M61" s="6" t="s">
        <v>3133</v>
      </c>
      <c r="N61" s="6" t="s">
        <v>3134</v>
      </c>
      <c r="O61" s="6" t="s">
        <v>3135</v>
      </c>
      <c r="P61" s="6" t="s">
        <v>3136</v>
      </c>
      <c r="Q61" s="6" t="s">
        <v>3137</v>
      </c>
      <c r="R61" s="6" t="s">
        <v>246</v>
      </c>
      <c r="S61" s="6" t="s">
        <v>147</v>
      </c>
      <c r="T61" s="6" t="s">
        <v>246</v>
      </c>
      <c r="U61" s="6" t="s">
        <v>152</v>
      </c>
      <c r="V61" s="6" t="s">
        <v>246</v>
      </c>
      <c r="W61" s="6" t="s">
        <v>158</v>
      </c>
      <c r="X61" s="6" t="s">
        <v>246</v>
      </c>
      <c r="Y61" s="6" t="s">
        <v>162</v>
      </c>
      <c r="Z61" s="6" t="s">
        <v>165</v>
      </c>
      <c r="AA61" s="6" t="s">
        <v>262</v>
      </c>
      <c r="AB61" s="6" t="s">
        <v>521</v>
      </c>
      <c r="AC61" s="6" t="s">
        <v>174</v>
      </c>
      <c r="AD61" s="6" t="s">
        <v>1723</v>
      </c>
      <c r="AE61" s="6" t="s">
        <v>271</v>
      </c>
      <c r="AF61" s="6" t="s">
        <v>181</v>
      </c>
      <c r="AG61" s="6" t="s">
        <v>182</v>
      </c>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row>
    <row r="62" ht="22.5" customHeight="1">
      <c r="A62" s="4">
        <v>46229.69637650463</v>
      </c>
      <c r="B62" s="5">
        <v>0.0</v>
      </c>
      <c r="C62" s="6" t="s">
        <v>114</v>
      </c>
      <c r="D62" s="6" t="s">
        <v>215</v>
      </c>
      <c r="E62" s="6" t="s">
        <v>216</v>
      </c>
      <c r="F62" s="6">
        <v>6.9070509819E10</v>
      </c>
      <c r="G62" s="6" t="s">
        <v>496</v>
      </c>
      <c r="H62" s="7"/>
      <c r="I62" s="6" t="s">
        <v>3138</v>
      </c>
      <c r="J62" s="6" t="s">
        <v>3139</v>
      </c>
      <c r="K62" s="6" t="s">
        <v>3140</v>
      </c>
      <c r="L62" s="6" t="s">
        <v>3141</v>
      </c>
      <c r="M62" s="6" t="s">
        <v>3142</v>
      </c>
      <c r="N62" s="7"/>
      <c r="O62" s="6" t="s">
        <v>3143</v>
      </c>
      <c r="P62" s="6" t="s">
        <v>3144</v>
      </c>
      <c r="Q62" s="6" t="s">
        <v>3145</v>
      </c>
      <c r="R62" s="6" t="s">
        <v>246</v>
      </c>
      <c r="S62" s="6" t="s">
        <v>147</v>
      </c>
      <c r="T62" s="6" t="s">
        <v>250</v>
      </c>
      <c r="U62" s="6" t="s">
        <v>252</v>
      </c>
      <c r="V62" s="6" t="s">
        <v>246</v>
      </c>
      <c r="W62" s="6" t="s">
        <v>158</v>
      </c>
      <c r="X62" s="6" t="s">
        <v>257</v>
      </c>
      <c r="Y62" s="6" t="s">
        <v>162</v>
      </c>
      <c r="Z62" s="6" t="s">
        <v>804</v>
      </c>
      <c r="AA62" s="6" t="s">
        <v>262</v>
      </c>
      <c r="AB62" s="6" t="s">
        <v>171</v>
      </c>
      <c r="AC62" s="6" t="s">
        <v>174</v>
      </c>
      <c r="AD62" s="6" t="s">
        <v>175</v>
      </c>
      <c r="AE62" s="6" t="s">
        <v>271</v>
      </c>
      <c r="AF62" s="6" t="s">
        <v>181</v>
      </c>
      <c r="AG62" s="6" t="s">
        <v>182</v>
      </c>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row>
    <row r="63" ht="22.5" customHeight="1">
      <c r="A63" s="4">
        <v>46229.69638570602</v>
      </c>
      <c r="B63" s="5">
        <v>0.0</v>
      </c>
      <c r="C63" s="6" t="s">
        <v>114</v>
      </c>
      <c r="D63" s="6" t="s">
        <v>217</v>
      </c>
      <c r="E63" s="6" t="s">
        <v>218</v>
      </c>
      <c r="F63" s="6">
        <v>6.9070505217E10</v>
      </c>
      <c r="G63" s="6" t="s">
        <v>1470</v>
      </c>
      <c r="H63" s="7"/>
      <c r="I63" s="6" t="s">
        <v>3146</v>
      </c>
      <c r="J63" s="6" t="s">
        <v>3147</v>
      </c>
      <c r="K63" s="6" t="s">
        <v>3148</v>
      </c>
      <c r="L63" s="6" t="s">
        <v>3149</v>
      </c>
      <c r="M63" s="6" t="s">
        <v>3150</v>
      </c>
      <c r="N63" s="7"/>
      <c r="O63" s="6" t="s">
        <v>3151</v>
      </c>
      <c r="P63" s="6" t="s">
        <v>3152</v>
      </c>
      <c r="Q63" s="6" t="s">
        <v>3153</v>
      </c>
      <c r="R63" s="6" t="s">
        <v>246</v>
      </c>
      <c r="S63" s="6" t="s">
        <v>147</v>
      </c>
      <c r="T63" s="6" t="s">
        <v>246</v>
      </c>
      <c r="U63" s="6" t="s">
        <v>252</v>
      </c>
      <c r="V63" s="6" t="s">
        <v>155</v>
      </c>
      <c r="W63" s="6" t="s">
        <v>158</v>
      </c>
      <c r="X63" s="6" t="s">
        <v>257</v>
      </c>
      <c r="Y63" s="6" t="s">
        <v>162</v>
      </c>
      <c r="Z63" s="6" t="s">
        <v>165</v>
      </c>
      <c r="AA63" s="6" t="s">
        <v>262</v>
      </c>
      <c r="AB63" s="6" t="s">
        <v>521</v>
      </c>
      <c r="AC63" s="6" t="s">
        <v>174</v>
      </c>
      <c r="AD63" s="6" t="s">
        <v>175</v>
      </c>
      <c r="AE63" s="6" t="s">
        <v>271</v>
      </c>
      <c r="AF63" s="6" t="s">
        <v>181</v>
      </c>
      <c r="AG63" s="6" t="s">
        <v>182</v>
      </c>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row>
    <row r="64" ht="22.5" customHeight="1">
      <c r="A64" s="4">
        <v>46229.69639652778</v>
      </c>
      <c r="B64" s="5">
        <v>0.0</v>
      </c>
      <c r="C64" s="6" t="s">
        <v>114</v>
      </c>
      <c r="D64" s="6" t="s">
        <v>219</v>
      </c>
      <c r="E64" s="6" t="s">
        <v>220</v>
      </c>
      <c r="F64" s="6">
        <v>6.9070500419E10</v>
      </c>
      <c r="G64" s="6" t="s">
        <v>310</v>
      </c>
      <c r="H64" s="7"/>
      <c r="I64" s="6" t="s">
        <v>3154</v>
      </c>
      <c r="J64" s="6" t="s">
        <v>314</v>
      </c>
      <c r="K64" s="6" t="s">
        <v>3155</v>
      </c>
      <c r="L64" s="6" t="s">
        <v>3156</v>
      </c>
      <c r="M64" s="6" t="s">
        <v>3157</v>
      </c>
      <c r="N64" s="7"/>
      <c r="O64" s="6" t="s">
        <v>3158</v>
      </c>
      <c r="P64" s="6" t="s">
        <v>3159</v>
      </c>
      <c r="Q64" s="6" t="s">
        <v>3160</v>
      </c>
      <c r="R64" s="6" t="s">
        <v>257</v>
      </c>
      <c r="S64" s="6" t="s">
        <v>147</v>
      </c>
      <c r="T64" s="6" t="s">
        <v>250</v>
      </c>
      <c r="U64" s="6" t="s">
        <v>252</v>
      </c>
      <c r="V64" s="6" t="s">
        <v>155</v>
      </c>
      <c r="W64" s="6" t="s">
        <v>158</v>
      </c>
      <c r="X64" s="6" t="s">
        <v>257</v>
      </c>
      <c r="Y64" s="6" t="s">
        <v>162</v>
      </c>
      <c r="Z64" s="6" t="s">
        <v>165</v>
      </c>
      <c r="AA64" s="6" t="s">
        <v>262</v>
      </c>
      <c r="AB64" s="6" t="s">
        <v>521</v>
      </c>
      <c r="AC64" s="6" t="s">
        <v>1669</v>
      </c>
      <c r="AD64" s="6" t="s">
        <v>175</v>
      </c>
      <c r="AE64" s="6" t="s">
        <v>271</v>
      </c>
      <c r="AF64" s="6" t="s">
        <v>181</v>
      </c>
      <c r="AG64" s="6" t="s">
        <v>182</v>
      </c>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row>
    <row r="65" ht="22.5" customHeight="1">
      <c r="A65" s="4">
        <v>46229.69643142361</v>
      </c>
      <c r="B65" s="5">
        <v>0.0</v>
      </c>
      <c r="C65" s="6" t="s">
        <v>114</v>
      </c>
      <c r="D65" s="6" t="s">
        <v>221</v>
      </c>
      <c r="E65" s="6" t="s">
        <v>222</v>
      </c>
      <c r="F65" s="6">
        <v>6.9070506449E10</v>
      </c>
      <c r="G65" s="6" t="s">
        <v>599</v>
      </c>
      <c r="H65" s="6">
        <v>7.0</v>
      </c>
      <c r="I65" s="6" t="s">
        <v>3161</v>
      </c>
      <c r="J65" s="6" t="s">
        <v>3162</v>
      </c>
      <c r="K65" s="6" t="s">
        <v>3163</v>
      </c>
      <c r="L65" s="6" t="s">
        <v>3164</v>
      </c>
      <c r="M65" s="6" t="s">
        <v>3165</v>
      </c>
      <c r="N65" s="6" t="s">
        <v>3166</v>
      </c>
      <c r="O65" s="6" t="s">
        <v>3167</v>
      </c>
      <c r="P65" s="6" t="s">
        <v>3167</v>
      </c>
      <c r="Q65" s="6" t="s">
        <v>3167</v>
      </c>
      <c r="R65" s="6" t="s">
        <v>246</v>
      </c>
      <c r="S65" s="6" t="s">
        <v>147</v>
      </c>
      <c r="T65" s="6" t="s">
        <v>246</v>
      </c>
      <c r="U65" s="6" t="s">
        <v>152</v>
      </c>
      <c r="V65" s="6" t="s">
        <v>246</v>
      </c>
      <c r="W65" s="6" t="s">
        <v>158</v>
      </c>
      <c r="X65" s="6" t="s">
        <v>458</v>
      </c>
      <c r="Y65" s="6" t="s">
        <v>162</v>
      </c>
      <c r="Z65" s="6" t="s">
        <v>165</v>
      </c>
      <c r="AA65" s="6" t="s">
        <v>262</v>
      </c>
      <c r="AB65" s="6" t="s">
        <v>171</v>
      </c>
      <c r="AC65" s="6" t="s">
        <v>2718</v>
      </c>
      <c r="AD65" s="6" t="s">
        <v>1324</v>
      </c>
      <c r="AE65" s="6" t="s">
        <v>178</v>
      </c>
      <c r="AF65" s="6" t="s">
        <v>811</v>
      </c>
      <c r="AG65" s="6" t="s">
        <v>1326</v>
      </c>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row>
    <row r="66" ht="22.5" customHeight="1">
      <c r="A66" s="4">
        <v>46229.696456875</v>
      </c>
      <c r="B66" s="5">
        <v>0.0</v>
      </c>
      <c r="C66" s="6" t="s">
        <v>114</v>
      </c>
      <c r="D66" s="6" t="s">
        <v>223</v>
      </c>
      <c r="E66" s="6" t="s">
        <v>224</v>
      </c>
      <c r="F66" s="6">
        <v>6.9070502835E10</v>
      </c>
      <c r="G66" s="6" t="s">
        <v>310</v>
      </c>
      <c r="H66" s="7"/>
      <c r="I66" s="6" t="s">
        <v>3168</v>
      </c>
      <c r="J66" s="6" t="s">
        <v>3169</v>
      </c>
      <c r="K66" s="6" t="s">
        <v>3170</v>
      </c>
      <c r="L66" s="6" t="s">
        <v>3171</v>
      </c>
      <c r="M66" s="6" t="s">
        <v>3172</v>
      </c>
      <c r="N66" s="7"/>
      <c r="O66" s="6" t="s">
        <v>3173</v>
      </c>
      <c r="P66" s="6" t="s">
        <v>3174</v>
      </c>
      <c r="Q66" s="6" t="s">
        <v>3175</v>
      </c>
      <c r="R66" s="6" t="s">
        <v>246</v>
      </c>
      <c r="S66" s="6" t="s">
        <v>147</v>
      </c>
      <c r="T66" s="6" t="s">
        <v>250</v>
      </c>
      <c r="U66" s="6" t="s">
        <v>252</v>
      </c>
      <c r="V66" s="6" t="s">
        <v>246</v>
      </c>
      <c r="W66" s="6" t="s">
        <v>158</v>
      </c>
      <c r="X66" s="6" t="s">
        <v>257</v>
      </c>
      <c r="Y66" s="6" t="s">
        <v>162</v>
      </c>
      <c r="Z66" s="6" t="s">
        <v>165</v>
      </c>
      <c r="AA66" s="6" t="s">
        <v>262</v>
      </c>
      <c r="AB66" s="6" t="s">
        <v>521</v>
      </c>
      <c r="AC66" s="6" t="s">
        <v>1210</v>
      </c>
      <c r="AD66" s="6" t="s">
        <v>175</v>
      </c>
      <c r="AE66" s="6" t="s">
        <v>271</v>
      </c>
      <c r="AF66" s="6" t="s">
        <v>181</v>
      </c>
      <c r="AG66" s="6" t="s">
        <v>641</v>
      </c>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row>
    <row r="67" ht="22.5" customHeight="1">
      <c r="A67" s="4">
        <v>46229.69645931713</v>
      </c>
      <c r="B67" s="5">
        <v>0.0</v>
      </c>
      <c r="C67" s="6" t="s">
        <v>114</v>
      </c>
      <c r="D67" s="6" t="s">
        <v>225</v>
      </c>
      <c r="E67" s="6" t="s">
        <v>226</v>
      </c>
      <c r="F67" s="6">
        <v>6.907050104E10</v>
      </c>
      <c r="G67" s="6" t="s">
        <v>1470</v>
      </c>
      <c r="H67" s="7"/>
      <c r="I67" s="6" t="s">
        <v>3176</v>
      </c>
      <c r="J67" s="6" t="s">
        <v>1472</v>
      </c>
      <c r="K67" s="6" t="s">
        <v>3177</v>
      </c>
      <c r="L67" s="6" t="s">
        <v>1476</v>
      </c>
      <c r="M67" s="6" t="s">
        <v>3178</v>
      </c>
      <c r="N67" s="7"/>
      <c r="O67" s="6" t="s">
        <v>3179</v>
      </c>
      <c r="P67" s="6" t="s">
        <v>3180</v>
      </c>
      <c r="Q67" s="6" t="s">
        <v>3181</v>
      </c>
      <c r="R67" s="6" t="s">
        <v>246</v>
      </c>
      <c r="S67" s="6" t="s">
        <v>147</v>
      </c>
      <c r="T67" s="6" t="s">
        <v>250</v>
      </c>
      <c r="U67" s="6" t="s">
        <v>252</v>
      </c>
      <c r="V67" s="6" t="s">
        <v>246</v>
      </c>
      <c r="W67" s="6" t="s">
        <v>158</v>
      </c>
      <c r="X67" s="6" t="s">
        <v>257</v>
      </c>
      <c r="Y67" s="6" t="s">
        <v>162</v>
      </c>
      <c r="Z67" s="6" t="s">
        <v>165</v>
      </c>
      <c r="AA67" s="6" t="s">
        <v>262</v>
      </c>
      <c r="AB67" s="6" t="s">
        <v>171</v>
      </c>
      <c r="AC67" s="6" t="s">
        <v>174</v>
      </c>
      <c r="AD67" s="6" t="s">
        <v>175</v>
      </c>
      <c r="AE67" s="6" t="s">
        <v>271</v>
      </c>
      <c r="AF67" s="6" t="s">
        <v>181</v>
      </c>
      <c r="AG67" s="6" t="s">
        <v>182</v>
      </c>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row>
    <row r="68" ht="22.5" customHeight="1">
      <c r="A68" s="4">
        <v>46229.69647298611</v>
      </c>
      <c r="B68" s="5">
        <v>0.0</v>
      </c>
      <c r="C68" s="6" t="s">
        <v>114</v>
      </c>
      <c r="D68" s="6" t="s">
        <v>86</v>
      </c>
      <c r="E68" s="6" t="s">
        <v>227</v>
      </c>
      <c r="F68" s="6">
        <v>6.9070501017E10</v>
      </c>
      <c r="G68" s="6" t="s">
        <v>1470</v>
      </c>
      <c r="H68" s="7"/>
      <c r="I68" s="6" t="s">
        <v>3182</v>
      </c>
      <c r="J68" s="6" t="s">
        <v>2500</v>
      </c>
      <c r="K68" s="6" t="s">
        <v>3183</v>
      </c>
      <c r="L68" s="6" t="s">
        <v>3184</v>
      </c>
      <c r="M68" s="6" t="s">
        <v>3185</v>
      </c>
      <c r="N68" s="6" t="s">
        <v>3186</v>
      </c>
      <c r="O68" s="6" t="s">
        <v>3187</v>
      </c>
      <c r="P68" s="6" t="s">
        <v>3188</v>
      </c>
      <c r="Q68" s="6" t="s">
        <v>3189</v>
      </c>
      <c r="R68" s="6" t="s">
        <v>246</v>
      </c>
      <c r="S68" s="6" t="s">
        <v>147</v>
      </c>
      <c r="T68" s="6" t="s">
        <v>250</v>
      </c>
      <c r="U68" s="6" t="s">
        <v>560</v>
      </c>
      <c r="V68" s="6" t="s">
        <v>246</v>
      </c>
      <c r="W68" s="6" t="s">
        <v>158</v>
      </c>
      <c r="X68" s="6" t="s">
        <v>257</v>
      </c>
      <c r="Y68" s="6" t="s">
        <v>162</v>
      </c>
      <c r="Z68" s="6" t="s">
        <v>165</v>
      </c>
      <c r="AA68" s="6" t="s">
        <v>262</v>
      </c>
      <c r="AB68" s="6" t="s">
        <v>171</v>
      </c>
      <c r="AC68" s="6" t="s">
        <v>1669</v>
      </c>
      <c r="AD68" s="6" t="s">
        <v>175</v>
      </c>
      <c r="AE68" s="6" t="s">
        <v>271</v>
      </c>
      <c r="AF68" s="6" t="s">
        <v>181</v>
      </c>
      <c r="AG68" s="6" t="s">
        <v>182</v>
      </c>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row>
    <row r="69" ht="22.5" customHeight="1">
      <c r="A69" s="4">
        <v>46229.69648300926</v>
      </c>
      <c r="B69" s="5">
        <v>0.0</v>
      </c>
      <c r="C69" s="6" t="s">
        <v>114</v>
      </c>
      <c r="D69" s="6" t="s">
        <v>229</v>
      </c>
      <c r="E69" s="6" t="s">
        <v>230</v>
      </c>
      <c r="F69" s="6">
        <v>6.9070500889E10</v>
      </c>
      <c r="G69" s="6" t="s">
        <v>496</v>
      </c>
      <c r="H69" s="7"/>
      <c r="I69" s="6" t="s">
        <v>3190</v>
      </c>
      <c r="J69" s="6" t="s">
        <v>3191</v>
      </c>
      <c r="K69" s="6" t="s">
        <v>3192</v>
      </c>
      <c r="L69" s="6" t="s">
        <v>3193</v>
      </c>
      <c r="M69" s="6" t="s">
        <v>3194</v>
      </c>
      <c r="N69" s="7"/>
      <c r="O69" s="6" t="s">
        <v>3195</v>
      </c>
      <c r="P69" s="6" t="s">
        <v>3196</v>
      </c>
      <c r="Q69" s="6" t="s">
        <v>3197</v>
      </c>
      <c r="R69" s="6" t="s">
        <v>246</v>
      </c>
      <c r="S69" s="6" t="s">
        <v>147</v>
      </c>
      <c r="T69" s="6" t="s">
        <v>257</v>
      </c>
      <c r="U69" s="6" t="s">
        <v>560</v>
      </c>
      <c r="V69" s="6" t="s">
        <v>246</v>
      </c>
      <c r="W69" s="6" t="s">
        <v>158</v>
      </c>
      <c r="X69" s="6" t="s">
        <v>257</v>
      </c>
      <c r="Y69" s="6" t="s">
        <v>162</v>
      </c>
      <c r="Z69" s="6" t="s">
        <v>165</v>
      </c>
      <c r="AA69" s="6" t="s">
        <v>262</v>
      </c>
      <c r="AB69" s="6" t="s">
        <v>171</v>
      </c>
      <c r="AC69" s="6" t="s">
        <v>174</v>
      </c>
      <c r="AD69" s="6" t="s">
        <v>175</v>
      </c>
      <c r="AE69" s="6" t="s">
        <v>271</v>
      </c>
      <c r="AF69" s="6" t="s">
        <v>181</v>
      </c>
      <c r="AG69" s="6" t="s">
        <v>182</v>
      </c>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row>
    <row r="70" ht="22.5" customHeight="1">
      <c r="A70" s="4">
        <v>46229.69649569444</v>
      </c>
      <c r="B70" s="5">
        <v>0.0</v>
      </c>
      <c r="C70" s="6" t="s">
        <v>114</v>
      </c>
      <c r="D70" s="6" t="s">
        <v>233</v>
      </c>
      <c r="E70" s="6" t="s">
        <v>234</v>
      </c>
      <c r="F70" s="6">
        <v>6.9070508206E10</v>
      </c>
      <c r="G70" s="6" t="s">
        <v>730</v>
      </c>
      <c r="H70" s="7"/>
      <c r="I70" s="6" t="s">
        <v>3198</v>
      </c>
      <c r="J70" s="6" t="s">
        <v>3199</v>
      </c>
      <c r="K70" s="6" t="s">
        <v>3200</v>
      </c>
      <c r="L70" s="6" t="s">
        <v>3201</v>
      </c>
      <c r="M70" s="6" t="s">
        <v>3202</v>
      </c>
      <c r="N70" s="7"/>
      <c r="O70" s="6" t="s">
        <v>3203</v>
      </c>
      <c r="P70" s="6" t="s">
        <v>3204</v>
      </c>
      <c r="Q70" s="6" t="s">
        <v>3205</v>
      </c>
      <c r="R70" s="6" t="s">
        <v>246</v>
      </c>
      <c r="S70" s="6" t="s">
        <v>147</v>
      </c>
      <c r="T70" s="6" t="s">
        <v>250</v>
      </c>
      <c r="U70" s="6" t="s">
        <v>152</v>
      </c>
      <c r="V70" s="6" t="s">
        <v>246</v>
      </c>
      <c r="W70" s="6" t="s">
        <v>158</v>
      </c>
      <c r="X70" s="6" t="s">
        <v>458</v>
      </c>
      <c r="Y70" s="6" t="s">
        <v>162</v>
      </c>
      <c r="Z70" s="6" t="s">
        <v>165</v>
      </c>
      <c r="AA70" s="6" t="s">
        <v>2307</v>
      </c>
      <c r="AB70" s="6" t="s">
        <v>521</v>
      </c>
      <c r="AC70" s="6" t="s">
        <v>174</v>
      </c>
      <c r="AD70" s="6" t="s">
        <v>175</v>
      </c>
      <c r="AE70" s="6" t="s">
        <v>271</v>
      </c>
      <c r="AF70" s="6" t="s">
        <v>181</v>
      </c>
      <c r="AG70" s="6" t="s">
        <v>182</v>
      </c>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row>
    <row r="71" ht="22.5" customHeight="1">
      <c r="A71" s="4">
        <v>46229.69651101852</v>
      </c>
      <c r="B71" s="5">
        <v>0.0</v>
      </c>
      <c r="C71" s="6" t="s">
        <v>114</v>
      </c>
      <c r="D71" s="6" t="s">
        <v>237</v>
      </c>
      <c r="E71" s="6" t="s">
        <v>238</v>
      </c>
      <c r="F71" s="6">
        <v>6.9070501051E10</v>
      </c>
      <c r="G71" s="6" t="s">
        <v>1470</v>
      </c>
      <c r="H71" s="7"/>
      <c r="I71" s="6" t="s">
        <v>3206</v>
      </c>
      <c r="J71" s="6" t="s">
        <v>3207</v>
      </c>
      <c r="K71" s="6" t="s">
        <v>3208</v>
      </c>
      <c r="L71" s="6" t="s">
        <v>3209</v>
      </c>
      <c r="M71" s="6" t="s">
        <v>3210</v>
      </c>
      <c r="N71" s="7"/>
      <c r="O71" s="6" t="s">
        <v>3211</v>
      </c>
      <c r="P71" s="6" t="s">
        <v>3212</v>
      </c>
      <c r="Q71" s="6" t="s">
        <v>3213</v>
      </c>
      <c r="R71" s="6" t="s">
        <v>257</v>
      </c>
      <c r="S71" s="6" t="s">
        <v>147</v>
      </c>
      <c r="T71" s="6" t="s">
        <v>250</v>
      </c>
      <c r="U71" s="6" t="s">
        <v>686</v>
      </c>
      <c r="V71" s="6" t="s">
        <v>246</v>
      </c>
      <c r="W71" s="6" t="s">
        <v>158</v>
      </c>
      <c r="X71" s="6" t="s">
        <v>458</v>
      </c>
      <c r="Y71" s="6" t="s">
        <v>162</v>
      </c>
      <c r="Z71" s="6" t="s">
        <v>629</v>
      </c>
      <c r="AA71" s="6" t="s">
        <v>262</v>
      </c>
      <c r="AB71" s="6" t="s">
        <v>1266</v>
      </c>
      <c r="AC71" s="6" t="s">
        <v>174</v>
      </c>
      <c r="AD71" s="6" t="s">
        <v>175</v>
      </c>
      <c r="AE71" s="6" t="s">
        <v>271</v>
      </c>
      <c r="AF71" s="6" t="s">
        <v>181</v>
      </c>
      <c r="AG71" s="6" t="s">
        <v>182</v>
      </c>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row>
    <row r="72" ht="22.5" customHeight="1">
      <c r="A72" s="4">
        <v>46229.69651707176</v>
      </c>
      <c r="B72" s="5">
        <v>0.0</v>
      </c>
      <c r="C72" s="6" t="s">
        <v>114</v>
      </c>
      <c r="D72" s="6" t="s">
        <v>240</v>
      </c>
      <c r="E72" s="6" t="s">
        <v>241</v>
      </c>
      <c r="F72" s="6">
        <v>6.9070501034E10</v>
      </c>
      <c r="G72" s="6" t="s">
        <v>1470</v>
      </c>
      <c r="H72" s="7"/>
      <c r="I72" s="6" t="s">
        <v>3214</v>
      </c>
      <c r="J72" s="6" t="s">
        <v>3215</v>
      </c>
      <c r="K72" s="6" t="s">
        <v>3216</v>
      </c>
      <c r="L72" s="6" t="s">
        <v>3217</v>
      </c>
      <c r="M72" s="6" t="s">
        <v>3218</v>
      </c>
      <c r="N72" s="6" t="s">
        <v>3219</v>
      </c>
      <c r="O72" s="6" t="s">
        <v>3220</v>
      </c>
      <c r="P72" s="6" t="s">
        <v>3221</v>
      </c>
      <c r="Q72" s="6" t="s">
        <v>3222</v>
      </c>
      <c r="R72" s="6" t="s">
        <v>246</v>
      </c>
      <c r="S72" s="6" t="s">
        <v>147</v>
      </c>
      <c r="T72" s="6" t="s">
        <v>246</v>
      </c>
      <c r="U72" s="6" t="s">
        <v>252</v>
      </c>
      <c r="V72" s="6" t="s">
        <v>246</v>
      </c>
      <c r="W72" s="6" t="s">
        <v>158</v>
      </c>
      <c r="X72" s="6" t="s">
        <v>250</v>
      </c>
      <c r="Y72" s="6" t="s">
        <v>162</v>
      </c>
      <c r="Z72" s="6" t="s">
        <v>165</v>
      </c>
      <c r="AA72" s="6" t="s">
        <v>262</v>
      </c>
      <c r="AB72" s="6" t="s">
        <v>171</v>
      </c>
      <c r="AC72" s="6" t="s">
        <v>174</v>
      </c>
      <c r="AD72" s="6" t="s">
        <v>175</v>
      </c>
      <c r="AE72" s="6" t="s">
        <v>271</v>
      </c>
      <c r="AF72" s="6" t="s">
        <v>181</v>
      </c>
      <c r="AG72" s="6" t="s">
        <v>182</v>
      </c>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row>
    <row r="73" ht="22.5" customHeight="1">
      <c r="A73" s="4">
        <v>46229.69652107639</v>
      </c>
      <c r="B73" s="5">
        <v>0.0</v>
      </c>
      <c r="C73" s="6" t="s">
        <v>114</v>
      </c>
      <c r="D73" s="6" t="s">
        <v>244</v>
      </c>
      <c r="E73" s="6" t="s">
        <v>245</v>
      </c>
      <c r="F73" s="6">
        <v>6.9070509812E10</v>
      </c>
      <c r="G73" s="6" t="s">
        <v>496</v>
      </c>
      <c r="H73" s="6" t="s">
        <v>3223</v>
      </c>
      <c r="I73" s="6" t="s">
        <v>3224</v>
      </c>
      <c r="J73" s="6" t="s">
        <v>3225</v>
      </c>
      <c r="K73" s="6" t="s">
        <v>3226</v>
      </c>
      <c r="L73" s="6" t="s">
        <v>3227</v>
      </c>
      <c r="M73" s="6" t="s">
        <v>3228</v>
      </c>
      <c r="N73" s="6" t="s">
        <v>3229</v>
      </c>
      <c r="O73" s="6" t="s">
        <v>3230</v>
      </c>
      <c r="P73" s="6" t="s">
        <v>3231</v>
      </c>
      <c r="Q73" s="6" t="s">
        <v>3232</v>
      </c>
      <c r="R73" s="6" t="s">
        <v>246</v>
      </c>
      <c r="S73" s="6" t="s">
        <v>147</v>
      </c>
      <c r="T73" s="6" t="s">
        <v>250</v>
      </c>
      <c r="U73" s="6" t="s">
        <v>686</v>
      </c>
      <c r="V73" s="6" t="s">
        <v>246</v>
      </c>
      <c r="W73" s="6" t="s">
        <v>158</v>
      </c>
      <c r="X73" s="6" t="s">
        <v>257</v>
      </c>
      <c r="Y73" s="6" t="s">
        <v>162</v>
      </c>
      <c r="Z73" s="6" t="s">
        <v>165</v>
      </c>
      <c r="AA73" s="6" t="s">
        <v>262</v>
      </c>
      <c r="AB73" s="6" t="s">
        <v>171</v>
      </c>
      <c r="AC73" s="6" t="s">
        <v>1669</v>
      </c>
      <c r="AD73" s="6" t="s">
        <v>175</v>
      </c>
      <c r="AE73" s="6" t="s">
        <v>271</v>
      </c>
      <c r="AF73" s="6" t="s">
        <v>181</v>
      </c>
      <c r="AG73" s="6" t="s">
        <v>182</v>
      </c>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row>
    <row r="74" ht="22.5" customHeight="1">
      <c r="A74" s="4">
        <v>46229.696548368054</v>
      </c>
      <c r="B74" s="5">
        <v>0.0</v>
      </c>
      <c r="C74" s="6" t="s">
        <v>114</v>
      </c>
      <c r="D74" s="6" t="s">
        <v>247</v>
      </c>
      <c r="E74" s="6" t="s">
        <v>248</v>
      </c>
      <c r="F74" s="6">
        <v>6.9070500879E10</v>
      </c>
      <c r="G74" s="6" t="s">
        <v>496</v>
      </c>
      <c r="H74" s="7"/>
      <c r="I74" s="6" t="s">
        <v>3233</v>
      </c>
      <c r="J74" s="6" t="s">
        <v>3234</v>
      </c>
      <c r="K74" s="6" t="s">
        <v>1138</v>
      </c>
      <c r="L74" s="6" t="s">
        <v>1138</v>
      </c>
      <c r="M74" s="6" t="s">
        <v>1138</v>
      </c>
      <c r="N74" s="7"/>
      <c r="O74" s="6" t="s">
        <v>3235</v>
      </c>
      <c r="P74" s="6" t="s">
        <v>3236</v>
      </c>
      <c r="Q74" s="6" t="s">
        <v>3237</v>
      </c>
      <c r="R74" s="6" t="s">
        <v>246</v>
      </c>
      <c r="S74" s="6" t="s">
        <v>147</v>
      </c>
      <c r="T74" s="6" t="s">
        <v>250</v>
      </c>
      <c r="U74" s="6" t="s">
        <v>560</v>
      </c>
      <c r="V74" s="6" t="s">
        <v>246</v>
      </c>
      <c r="W74" s="6" t="s">
        <v>158</v>
      </c>
      <c r="X74" s="6" t="s">
        <v>257</v>
      </c>
      <c r="Y74" s="6" t="s">
        <v>162</v>
      </c>
      <c r="Z74" s="6" t="s">
        <v>165</v>
      </c>
      <c r="AA74" s="6" t="s">
        <v>262</v>
      </c>
      <c r="AB74" s="6" t="s">
        <v>171</v>
      </c>
      <c r="AC74" s="6" t="s">
        <v>174</v>
      </c>
      <c r="AD74" s="6" t="s">
        <v>175</v>
      </c>
      <c r="AE74" s="6" t="s">
        <v>3105</v>
      </c>
      <c r="AF74" s="6" t="s">
        <v>181</v>
      </c>
      <c r="AG74" s="6" t="s">
        <v>182</v>
      </c>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row>
    <row r="75" ht="22.5" customHeight="1">
      <c r="A75" s="4">
        <v>46229.69656418981</v>
      </c>
      <c r="B75" s="5">
        <v>0.0</v>
      </c>
      <c r="C75" s="6" t="s">
        <v>114</v>
      </c>
      <c r="D75" s="6" t="s">
        <v>249</v>
      </c>
      <c r="E75" s="6" t="s">
        <v>251</v>
      </c>
      <c r="F75" s="6">
        <v>6.9070509837E10</v>
      </c>
      <c r="G75" s="6" t="s">
        <v>496</v>
      </c>
      <c r="H75" s="6" t="s">
        <v>3238</v>
      </c>
      <c r="I75" s="6" t="s">
        <v>3239</v>
      </c>
      <c r="J75" s="6" t="s">
        <v>3240</v>
      </c>
      <c r="K75" s="6" t="s">
        <v>3229</v>
      </c>
      <c r="L75" s="6" t="s">
        <v>3241</v>
      </c>
      <c r="M75" s="6" t="s">
        <v>3242</v>
      </c>
      <c r="N75" s="7"/>
      <c r="O75" s="6" t="s">
        <v>3243</v>
      </c>
      <c r="P75" s="6" t="s">
        <v>3244</v>
      </c>
      <c r="Q75" s="6" t="s">
        <v>3245</v>
      </c>
      <c r="R75" s="6" t="s">
        <v>246</v>
      </c>
      <c r="S75" s="6" t="s">
        <v>147</v>
      </c>
      <c r="T75" s="6" t="s">
        <v>250</v>
      </c>
      <c r="U75" s="6" t="s">
        <v>686</v>
      </c>
      <c r="V75" s="6" t="s">
        <v>246</v>
      </c>
      <c r="W75" s="6" t="s">
        <v>158</v>
      </c>
      <c r="X75" s="6" t="s">
        <v>257</v>
      </c>
      <c r="Y75" s="6" t="s">
        <v>162</v>
      </c>
      <c r="Z75" s="6" t="s">
        <v>165</v>
      </c>
      <c r="AA75" s="6" t="s">
        <v>262</v>
      </c>
      <c r="AB75" s="6" t="s">
        <v>171</v>
      </c>
      <c r="AC75" s="6" t="s">
        <v>1669</v>
      </c>
      <c r="AD75" s="6" t="s">
        <v>175</v>
      </c>
      <c r="AE75" s="6" t="s">
        <v>271</v>
      </c>
      <c r="AF75" s="6" t="s">
        <v>181</v>
      </c>
      <c r="AG75" s="6" t="s">
        <v>182</v>
      </c>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row>
    <row r="76" ht="22.5" customHeight="1">
      <c r="A76" s="4">
        <v>46229.69660045139</v>
      </c>
      <c r="B76" s="5">
        <v>0.0</v>
      </c>
      <c r="C76" s="6" t="s">
        <v>114</v>
      </c>
      <c r="D76" s="6" t="s">
        <v>253</v>
      </c>
      <c r="E76" s="6" t="s">
        <v>254</v>
      </c>
      <c r="F76" s="6">
        <v>6.9070500317E10</v>
      </c>
      <c r="G76" s="6" t="s">
        <v>599</v>
      </c>
      <c r="H76" s="7"/>
      <c r="I76" s="6" t="s">
        <v>3246</v>
      </c>
      <c r="J76" s="6" t="s">
        <v>3247</v>
      </c>
      <c r="K76" s="6" t="s">
        <v>3248</v>
      </c>
      <c r="L76" s="6" t="s">
        <v>3249</v>
      </c>
      <c r="M76" s="6" t="s">
        <v>1082</v>
      </c>
      <c r="N76" s="7"/>
      <c r="O76" s="6" t="s">
        <v>3250</v>
      </c>
      <c r="P76" s="6" t="s">
        <v>3251</v>
      </c>
      <c r="Q76" s="6" t="s">
        <v>3252</v>
      </c>
      <c r="R76" s="6" t="s">
        <v>246</v>
      </c>
      <c r="S76" s="6" t="s">
        <v>147</v>
      </c>
      <c r="T76" s="6" t="s">
        <v>516</v>
      </c>
      <c r="U76" s="6" t="s">
        <v>560</v>
      </c>
      <c r="V76" s="6" t="s">
        <v>246</v>
      </c>
      <c r="W76" s="6" t="s">
        <v>158</v>
      </c>
      <c r="X76" s="6" t="s">
        <v>250</v>
      </c>
      <c r="Y76" s="6" t="s">
        <v>162</v>
      </c>
      <c r="Z76" s="6" t="s">
        <v>165</v>
      </c>
      <c r="AA76" s="6" t="s">
        <v>262</v>
      </c>
      <c r="AB76" s="6" t="s">
        <v>1266</v>
      </c>
      <c r="AC76" s="6" t="s">
        <v>1210</v>
      </c>
      <c r="AD76" s="6" t="s">
        <v>175</v>
      </c>
      <c r="AE76" s="6" t="s">
        <v>178</v>
      </c>
      <c r="AF76" s="6" t="s">
        <v>181</v>
      </c>
      <c r="AG76" s="6" t="s">
        <v>641</v>
      </c>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row>
    <row r="77" ht="22.5" customHeight="1">
      <c r="A77" s="4">
        <v>46229.69661351852</v>
      </c>
      <c r="B77" s="5">
        <v>0.0</v>
      </c>
      <c r="C77" s="6" t="s">
        <v>114</v>
      </c>
      <c r="D77" s="6" t="s">
        <v>255</v>
      </c>
      <c r="E77" s="6" t="s">
        <v>256</v>
      </c>
      <c r="F77" s="6">
        <v>6.9070500878E10</v>
      </c>
      <c r="G77" s="6" t="s">
        <v>496</v>
      </c>
      <c r="H77" s="6" t="s">
        <v>3253</v>
      </c>
      <c r="I77" s="6" t="s">
        <v>3253</v>
      </c>
      <c r="J77" s="6" t="s">
        <v>3253</v>
      </c>
      <c r="K77" s="6" t="s">
        <v>3253</v>
      </c>
      <c r="L77" s="6" t="s">
        <v>3253</v>
      </c>
      <c r="M77" s="6" t="s">
        <v>3253</v>
      </c>
      <c r="N77" s="7"/>
      <c r="O77" s="6" t="s">
        <v>3254</v>
      </c>
      <c r="P77" s="6" t="s">
        <v>3255</v>
      </c>
      <c r="Q77" s="6" t="s">
        <v>3256</v>
      </c>
      <c r="R77" s="6" t="s">
        <v>246</v>
      </c>
      <c r="S77" s="6" t="s">
        <v>147</v>
      </c>
      <c r="T77" s="6" t="s">
        <v>246</v>
      </c>
      <c r="U77" s="6" t="s">
        <v>252</v>
      </c>
      <c r="V77" s="6" t="s">
        <v>155</v>
      </c>
      <c r="W77" s="6" t="s">
        <v>158</v>
      </c>
      <c r="X77" s="6" t="s">
        <v>257</v>
      </c>
      <c r="Y77" s="6" t="s">
        <v>162</v>
      </c>
      <c r="Z77" s="6" t="s">
        <v>165</v>
      </c>
      <c r="AA77" s="6" t="s">
        <v>262</v>
      </c>
      <c r="AB77" s="6" t="s">
        <v>171</v>
      </c>
      <c r="AC77" s="6" t="s">
        <v>633</v>
      </c>
      <c r="AD77" s="6" t="s">
        <v>175</v>
      </c>
      <c r="AE77" s="6" t="s">
        <v>271</v>
      </c>
      <c r="AF77" s="6" t="s">
        <v>181</v>
      </c>
      <c r="AG77" s="6" t="s">
        <v>182</v>
      </c>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row>
    <row r="78" ht="22.5" customHeight="1">
      <c r="A78" s="4">
        <v>46229.69667856481</v>
      </c>
      <c r="B78" s="5">
        <v>0.0</v>
      </c>
      <c r="C78" s="6" t="s">
        <v>114</v>
      </c>
      <c r="D78" s="6" t="s">
        <v>258</v>
      </c>
      <c r="E78" s="6" t="s">
        <v>259</v>
      </c>
      <c r="F78" s="6">
        <v>6.9070506478E10</v>
      </c>
      <c r="G78" s="6" t="s">
        <v>599</v>
      </c>
      <c r="H78" s="7"/>
      <c r="I78" s="6" t="s">
        <v>3257</v>
      </c>
      <c r="J78" s="6" t="s">
        <v>3258</v>
      </c>
      <c r="K78" s="6" t="s">
        <v>3259</v>
      </c>
      <c r="L78" s="6" t="s">
        <v>3260</v>
      </c>
      <c r="M78" s="6" t="s">
        <v>3261</v>
      </c>
      <c r="N78" s="7"/>
      <c r="O78" s="6" t="s">
        <v>3262</v>
      </c>
      <c r="P78" s="6" t="s">
        <v>3263</v>
      </c>
      <c r="Q78" s="6" t="s">
        <v>3264</v>
      </c>
      <c r="R78" s="6" t="s">
        <v>257</v>
      </c>
      <c r="S78" s="6" t="s">
        <v>147</v>
      </c>
      <c r="T78" s="6" t="s">
        <v>250</v>
      </c>
      <c r="U78" s="6" t="s">
        <v>252</v>
      </c>
      <c r="V78" s="6" t="s">
        <v>246</v>
      </c>
      <c r="W78" s="6" t="s">
        <v>158</v>
      </c>
      <c r="X78" s="6" t="s">
        <v>257</v>
      </c>
      <c r="Y78" s="6" t="s">
        <v>162</v>
      </c>
      <c r="Z78" s="6" t="s">
        <v>165</v>
      </c>
      <c r="AA78" s="6" t="s">
        <v>262</v>
      </c>
      <c r="AB78" s="6" t="s">
        <v>521</v>
      </c>
      <c r="AC78" s="6" t="s">
        <v>1669</v>
      </c>
      <c r="AD78" s="6" t="s">
        <v>175</v>
      </c>
      <c r="AE78" s="6" t="s">
        <v>271</v>
      </c>
      <c r="AF78" s="6" t="s">
        <v>181</v>
      </c>
      <c r="AG78" s="6" t="s">
        <v>182</v>
      </c>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row>
    <row r="79" ht="22.5" customHeight="1">
      <c r="A79" s="4">
        <v>46229.69670729167</v>
      </c>
      <c r="B79" s="5">
        <v>0.0</v>
      </c>
      <c r="C79" s="6" t="s">
        <v>114</v>
      </c>
      <c r="D79" s="6" t="s">
        <v>260</v>
      </c>
      <c r="E79" s="6" t="s">
        <v>261</v>
      </c>
      <c r="F79" s="6">
        <v>6.907050043E10</v>
      </c>
      <c r="G79" s="6" t="s">
        <v>310</v>
      </c>
      <c r="H79" s="6" t="s">
        <v>2633</v>
      </c>
      <c r="I79" s="6" t="s">
        <v>3265</v>
      </c>
      <c r="J79" s="6" t="s">
        <v>1080</v>
      </c>
      <c r="K79" s="6" t="s">
        <v>3266</v>
      </c>
      <c r="L79" s="6" t="s">
        <v>3267</v>
      </c>
      <c r="M79" s="6" t="s">
        <v>3268</v>
      </c>
      <c r="N79" s="7"/>
      <c r="O79" s="6" t="s">
        <v>3269</v>
      </c>
      <c r="P79" s="6" t="s">
        <v>3270</v>
      </c>
      <c r="Q79" s="6" t="s">
        <v>3271</v>
      </c>
      <c r="R79" s="6" t="s">
        <v>246</v>
      </c>
      <c r="S79" s="6" t="s">
        <v>147</v>
      </c>
      <c r="T79" s="6" t="s">
        <v>250</v>
      </c>
      <c r="U79" s="6" t="s">
        <v>252</v>
      </c>
      <c r="V79" s="6" t="s">
        <v>246</v>
      </c>
      <c r="W79" s="6" t="s">
        <v>158</v>
      </c>
      <c r="X79" s="6" t="s">
        <v>257</v>
      </c>
      <c r="Y79" s="6" t="s">
        <v>162</v>
      </c>
      <c r="Z79" s="6" t="s">
        <v>165</v>
      </c>
      <c r="AA79" s="6" t="s">
        <v>262</v>
      </c>
      <c r="AB79" s="6" t="s">
        <v>521</v>
      </c>
      <c r="AC79" s="6" t="s">
        <v>174</v>
      </c>
      <c r="AD79" s="6" t="s">
        <v>175</v>
      </c>
      <c r="AE79" s="6" t="s">
        <v>271</v>
      </c>
      <c r="AF79" s="6" t="s">
        <v>181</v>
      </c>
      <c r="AG79" s="6" t="s">
        <v>182</v>
      </c>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row>
    <row r="80" ht="22.5" customHeight="1">
      <c r="A80" s="4">
        <v>46229.69671181713</v>
      </c>
      <c r="B80" s="5">
        <v>0.0</v>
      </c>
      <c r="C80" s="6" t="s">
        <v>114</v>
      </c>
      <c r="D80" s="6" t="s">
        <v>263</v>
      </c>
      <c r="E80" s="6" t="s">
        <v>264</v>
      </c>
      <c r="F80" s="6">
        <v>6.9070500402E10</v>
      </c>
      <c r="G80" s="6" t="s">
        <v>310</v>
      </c>
      <c r="H80" s="7"/>
      <c r="I80" s="6" t="s">
        <v>3272</v>
      </c>
      <c r="J80" s="6" t="s">
        <v>3273</v>
      </c>
      <c r="K80" s="6" t="s">
        <v>3274</v>
      </c>
      <c r="L80" s="6" t="s">
        <v>3275</v>
      </c>
      <c r="M80" s="6" t="s">
        <v>3276</v>
      </c>
      <c r="N80" s="7"/>
      <c r="O80" s="6" t="s">
        <v>3277</v>
      </c>
      <c r="P80" s="6" t="s">
        <v>3278</v>
      </c>
      <c r="Q80" s="6" t="s">
        <v>3279</v>
      </c>
      <c r="R80" s="6" t="s">
        <v>246</v>
      </c>
      <c r="S80" s="6" t="s">
        <v>147</v>
      </c>
      <c r="T80" s="6" t="s">
        <v>250</v>
      </c>
      <c r="U80" s="6" t="s">
        <v>560</v>
      </c>
      <c r="V80" s="6" t="s">
        <v>246</v>
      </c>
      <c r="W80" s="6" t="s">
        <v>158</v>
      </c>
      <c r="X80" s="6" t="s">
        <v>257</v>
      </c>
      <c r="Y80" s="6" t="s">
        <v>162</v>
      </c>
      <c r="Z80" s="6" t="s">
        <v>165</v>
      </c>
      <c r="AA80" s="6" t="s">
        <v>262</v>
      </c>
      <c r="AB80" s="6" t="s">
        <v>171</v>
      </c>
      <c r="AC80" s="6" t="s">
        <v>174</v>
      </c>
      <c r="AD80" s="6" t="s">
        <v>175</v>
      </c>
      <c r="AE80" s="6" t="s">
        <v>271</v>
      </c>
      <c r="AF80" s="6" t="s">
        <v>181</v>
      </c>
      <c r="AG80" s="6" t="s">
        <v>182</v>
      </c>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row>
    <row r="81" ht="22.5" customHeight="1">
      <c r="A81" s="4">
        <v>46229.69671912037</v>
      </c>
      <c r="B81" s="5">
        <v>0.0</v>
      </c>
      <c r="C81" s="6" t="s">
        <v>114</v>
      </c>
      <c r="D81" s="6" t="s">
        <v>265</v>
      </c>
      <c r="E81" s="6" t="s">
        <v>266</v>
      </c>
      <c r="F81" s="6">
        <v>6.9070501056E10</v>
      </c>
      <c r="G81" s="6" t="s">
        <v>1470</v>
      </c>
      <c r="H81" s="6" t="s">
        <v>2633</v>
      </c>
      <c r="I81" s="6" t="s">
        <v>3280</v>
      </c>
      <c r="J81" s="6" t="s">
        <v>3281</v>
      </c>
      <c r="K81" s="6" t="s">
        <v>3282</v>
      </c>
      <c r="L81" s="6" t="s">
        <v>3283</v>
      </c>
      <c r="M81" s="6" t="s">
        <v>3284</v>
      </c>
      <c r="N81" s="7"/>
      <c r="O81" s="6" t="s">
        <v>3285</v>
      </c>
      <c r="P81" s="6" t="s">
        <v>3286</v>
      </c>
      <c r="Q81" s="6" t="s">
        <v>3287</v>
      </c>
      <c r="R81" s="6" t="s">
        <v>246</v>
      </c>
      <c r="S81" s="6" t="s">
        <v>147</v>
      </c>
      <c r="T81" s="6" t="s">
        <v>250</v>
      </c>
      <c r="U81" s="6" t="s">
        <v>252</v>
      </c>
      <c r="V81" s="6" t="s">
        <v>246</v>
      </c>
      <c r="W81" s="6" t="s">
        <v>158</v>
      </c>
      <c r="X81" s="6" t="s">
        <v>257</v>
      </c>
      <c r="Y81" s="6" t="s">
        <v>162</v>
      </c>
      <c r="Z81" s="6" t="s">
        <v>165</v>
      </c>
      <c r="AA81" s="6" t="s">
        <v>262</v>
      </c>
      <c r="AB81" s="6" t="s">
        <v>1266</v>
      </c>
      <c r="AC81" s="6" t="s">
        <v>1210</v>
      </c>
      <c r="AD81" s="6" t="s">
        <v>175</v>
      </c>
      <c r="AE81" s="6" t="s">
        <v>271</v>
      </c>
      <c r="AF81" s="6" t="s">
        <v>181</v>
      </c>
      <c r="AG81" s="6" t="s">
        <v>182</v>
      </c>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row>
    <row r="82" ht="22.5" customHeight="1">
      <c r="A82" s="4">
        <v>46229.696728449075</v>
      </c>
      <c r="B82" s="5">
        <v>0.0</v>
      </c>
      <c r="C82" s="6" t="s">
        <v>114</v>
      </c>
      <c r="D82" s="6" t="s">
        <v>267</v>
      </c>
      <c r="E82" s="6" t="s">
        <v>268</v>
      </c>
      <c r="F82" s="6">
        <v>6.9070500475E10</v>
      </c>
      <c r="G82" s="6" t="s">
        <v>310</v>
      </c>
      <c r="H82" s="7"/>
      <c r="I82" s="6" t="s">
        <v>3288</v>
      </c>
      <c r="J82" s="6" t="s">
        <v>3289</v>
      </c>
      <c r="K82" s="6" t="s">
        <v>3290</v>
      </c>
      <c r="L82" s="6" t="s">
        <v>3291</v>
      </c>
      <c r="M82" s="6" t="s">
        <v>3292</v>
      </c>
      <c r="N82" s="7"/>
      <c r="O82" s="6" t="s">
        <v>3293</v>
      </c>
      <c r="P82" s="6" t="s">
        <v>3294</v>
      </c>
      <c r="Q82" s="6" t="s">
        <v>3295</v>
      </c>
      <c r="R82" s="6" t="s">
        <v>257</v>
      </c>
      <c r="S82" s="6" t="s">
        <v>147</v>
      </c>
      <c r="T82" s="6" t="s">
        <v>246</v>
      </c>
      <c r="U82" s="6" t="s">
        <v>252</v>
      </c>
      <c r="V82" s="6" t="s">
        <v>246</v>
      </c>
      <c r="W82" s="6" t="s">
        <v>158</v>
      </c>
      <c r="X82" s="6" t="s">
        <v>257</v>
      </c>
      <c r="Y82" s="6" t="s">
        <v>1205</v>
      </c>
      <c r="Z82" s="6" t="s">
        <v>165</v>
      </c>
      <c r="AA82" s="6" t="s">
        <v>262</v>
      </c>
      <c r="AB82" s="6" t="s">
        <v>171</v>
      </c>
      <c r="AC82" s="6" t="s">
        <v>174</v>
      </c>
      <c r="AD82" s="6" t="s">
        <v>175</v>
      </c>
      <c r="AE82" s="6" t="s">
        <v>271</v>
      </c>
      <c r="AF82" s="6" t="s">
        <v>181</v>
      </c>
      <c r="AG82" s="6" t="s">
        <v>182</v>
      </c>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row>
    <row r="83" ht="22.5" customHeight="1">
      <c r="A83" s="4">
        <v>46229.69674626157</v>
      </c>
      <c r="B83" s="5">
        <v>0.0</v>
      </c>
      <c r="C83" s="6" t="s">
        <v>3296</v>
      </c>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6" t="s">
        <v>2616</v>
      </c>
      <c r="AI83" s="6" t="s">
        <v>2617</v>
      </c>
      <c r="AJ83" s="6">
        <v>6.9070503473E10</v>
      </c>
      <c r="AK83" s="6" t="s">
        <v>3297</v>
      </c>
      <c r="AL83" s="7"/>
      <c r="AM83" s="6" t="s">
        <v>3298</v>
      </c>
      <c r="AN83" s="6" t="s">
        <v>3299</v>
      </c>
      <c r="AO83" s="6" t="s">
        <v>3300</v>
      </c>
      <c r="AP83" s="6" t="s">
        <v>3301</v>
      </c>
      <c r="AQ83" s="6" t="s">
        <v>3302</v>
      </c>
      <c r="AR83" s="7"/>
      <c r="AS83" s="6" t="s">
        <v>3303</v>
      </c>
      <c r="AT83" s="6" t="s">
        <v>3304</v>
      </c>
      <c r="AU83" s="6" t="s">
        <v>3305</v>
      </c>
      <c r="AV83" s="6" t="s">
        <v>3306</v>
      </c>
      <c r="AW83" s="6" t="s">
        <v>3307</v>
      </c>
      <c r="AX83" s="6" t="s">
        <v>3308</v>
      </c>
      <c r="AY83" s="6" t="s">
        <v>3309</v>
      </c>
      <c r="AZ83" s="6" t="s">
        <v>3310</v>
      </c>
      <c r="BA83" s="6" t="s">
        <v>3311</v>
      </c>
      <c r="BB83" s="6" t="s">
        <v>3312</v>
      </c>
      <c r="BC83" s="6" t="s">
        <v>3313</v>
      </c>
      <c r="BD83" s="6" t="s">
        <v>165</v>
      </c>
      <c r="BE83" s="6" t="s">
        <v>3314</v>
      </c>
      <c r="BF83" s="6" t="s">
        <v>3315</v>
      </c>
      <c r="BG83" s="6" t="s">
        <v>3316</v>
      </c>
      <c r="BH83" s="6" t="s">
        <v>3317</v>
      </c>
      <c r="BI83" s="6" t="s">
        <v>271</v>
      </c>
      <c r="BJ83" s="6" t="s">
        <v>3318</v>
      </c>
      <c r="BK83" s="6" t="s">
        <v>3319</v>
      </c>
    </row>
    <row r="84" ht="22.5" customHeight="1">
      <c r="A84" s="4">
        <v>46229.696763761574</v>
      </c>
      <c r="B84" s="5">
        <v>0.0</v>
      </c>
      <c r="C84" s="6" t="s">
        <v>114</v>
      </c>
      <c r="D84" s="6" t="s">
        <v>269</v>
      </c>
      <c r="E84" s="6" t="s">
        <v>270</v>
      </c>
      <c r="F84" s="6">
        <v>6.9070501834E10</v>
      </c>
      <c r="G84" s="6" t="s">
        <v>730</v>
      </c>
      <c r="H84" s="7"/>
      <c r="I84" s="6" t="s">
        <v>2397</v>
      </c>
      <c r="J84" s="6" t="s">
        <v>3320</v>
      </c>
      <c r="K84" s="6" t="s">
        <v>3321</v>
      </c>
      <c r="L84" s="6" t="s">
        <v>3322</v>
      </c>
      <c r="M84" s="6" t="s">
        <v>3323</v>
      </c>
      <c r="N84" s="6" t="s">
        <v>3324</v>
      </c>
      <c r="O84" s="6" t="s">
        <v>3325</v>
      </c>
      <c r="P84" s="6" t="s">
        <v>3326</v>
      </c>
      <c r="Q84" s="6" t="s">
        <v>3327</v>
      </c>
      <c r="R84" s="6" t="s">
        <v>257</v>
      </c>
      <c r="S84" s="6" t="s">
        <v>147</v>
      </c>
      <c r="T84" s="6" t="s">
        <v>250</v>
      </c>
      <c r="U84" s="6" t="s">
        <v>252</v>
      </c>
      <c r="V84" s="6" t="s">
        <v>458</v>
      </c>
      <c r="W84" s="6" t="s">
        <v>932</v>
      </c>
      <c r="X84" s="6" t="s">
        <v>257</v>
      </c>
      <c r="Y84" s="6" t="s">
        <v>162</v>
      </c>
      <c r="Z84" s="6" t="s">
        <v>165</v>
      </c>
      <c r="AA84" s="6" t="s">
        <v>262</v>
      </c>
      <c r="AB84" s="6" t="s">
        <v>521</v>
      </c>
      <c r="AC84" s="6" t="s">
        <v>2718</v>
      </c>
      <c r="AD84" s="6" t="s">
        <v>635</v>
      </c>
      <c r="AE84" s="6" t="s">
        <v>271</v>
      </c>
      <c r="AF84" s="6" t="s">
        <v>638</v>
      </c>
      <c r="AG84" s="6" t="s">
        <v>1326</v>
      </c>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row>
    <row r="85" ht="22.5" customHeight="1">
      <c r="A85" s="4">
        <v>46229.69679253473</v>
      </c>
      <c r="B85" s="5">
        <v>0.0</v>
      </c>
      <c r="C85" s="6" t="s">
        <v>114</v>
      </c>
      <c r="D85" s="6" t="s">
        <v>272</v>
      </c>
      <c r="E85" s="6" t="s">
        <v>273</v>
      </c>
      <c r="F85" s="6">
        <v>6.9070501264E10</v>
      </c>
      <c r="G85" s="6" t="s">
        <v>228</v>
      </c>
      <c r="H85" s="6" t="s">
        <v>3328</v>
      </c>
      <c r="I85" s="6" t="s">
        <v>3329</v>
      </c>
      <c r="J85" s="6" t="s">
        <v>3330</v>
      </c>
      <c r="K85" s="6" t="s">
        <v>3331</v>
      </c>
      <c r="L85" s="6" t="s">
        <v>3332</v>
      </c>
      <c r="M85" s="6" t="s">
        <v>3333</v>
      </c>
      <c r="N85" s="6" t="s">
        <v>2633</v>
      </c>
      <c r="O85" s="6" t="s">
        <v>3334</v>
      </c>
      <c r="P85" s="6" t="s">
        <v>3335</v>
      </c>
      <c r="Q85" s="6" t="s">
        <v>3336</v>
      </c>
      <c r="R85" s="6" t="s">
        <v>246</v>
      </c>
      <c r="S85" s="6" t="s">
        <v>147</v>
      </c>
      <c r="T85" s="6" t="s">
        <v>257</v>
      </c>
      <c r="U85" s="6" t="s">
        <v>686</v>
      </c>
      <c r="V85" s="6" t="s">
        <v>246</v>
      </c>
      <c r="W85" s="6" t="s">
        <v>158</v>
      </c>
      <c r="X85" s="6" t="s">
        <v>257</v>
      </c>
      <c r="Y85" s="6" t="s">
        <v>162</v>
      </c>
      <c r="Z85" s="6" t="s">
        <v>165</v>
      </c>
      <c r="AA85" s="6" t="s">
        <v>262</v>
      </c>
      <c r="AB85" s="6" t="s">
        <v>521</v>
      </c>
      <c r="AC85" s="6" t="s">
        <v>174</v>
      </c>
      <c r="AD85" s="6" t="s">
        <v>175</v>
      </c>
      <c r="AE85" s="6" t="s">
        <v>271</v>
      </c>
      <c r="AF85" s="6" t="s">
        <v>181</v>
      </c>
      <c r="AG85" s="6" t="s">
        <v>182</v>
      </c>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row>
    <row r="86" ht="22.5" customHeight="1">
      <c r="A86" s="4">
        <v>46229.69682719908</v>
      </c>
      <c r="B86" s="5">
        <v>0.0</v>
      </c>
      <c r="C86" s="6" t="s">
        <v>114</v>
      </c>
      <c r="D86" s="6" t="s">
        <v>274</v>
      </c>
      <c r="E86" s="6" t="s">
        <v>275</v>
      </c>
      <c r="F86" s="6">
        <v>6.9070501805E10</v>
      </c>
      <c r="G86" s="6" t="s">
        <v>730</v>
      </c>
      <c r="H86" s="7"/>
      <c r="I86" s="6" t="s">
        <v>3337</v>
      </c>
      <c r="J86" s="6" t="s">
        <v>3338</v>
      </c>
      <c r="K86" s="6" t="s">
        <v>3339</v>
      </c>
      <c r="L86" s="6" t="s">
        <v>3340</v>
      </c>
      <c r="M86" s="6" t="s">
        <v>3341</v>
      </c>
      <c r="N86" s="6" t="s">
        <v>3342</v>
      </c>
      <c r="O86" s="6" t="s">
        <v>3343</v>
      </c>
      <c r="P86" s="6" t="s">
        <v>3344</v>
      </c>
      <c r="Q86" s="6" t="s">
        <v>3345</v>
      </c>
      <c r="R86" s="6" t="s">
        <v>246</v>
      </c>
      <c r="S86" s="6" t="s">
        <v>147</v>
      </c>
      <c r="T86" s="6" t="s">
        <v>250</v>
      </c>
      <c r="U86" s="6" t="s">
        <v>560</v>
      </c>
      <c r="V86" s="6" t="s">
        <v>246</v>
      </c>
      <c r="W86" s="6" t="s">
        <v>158</v>
      </c>
      <c r="X86" s="6" t="s">
        <v>257</v>
      </c>
      <c r="Y86" s="6" t="s">
        <v>162</v>
      </c>
      <c r="Z86" s="6" t="s">
        <v>165</v>
      </c>
      <c r="AA86" s="6" t="s">
        <v>262</v>
      </c>
      <c r="AB86" s="6" t="s">
        <v>521</v>
      </c>
      <c r="AC86" s="6" t="s">
        <v>174</v>
      </c>
      <c r="AD86" s="6" t="s">
        <v>175</v>
      </c>
      <c r="AE86" s="6" t="s">
        <v>271</v>
      </c>
      <c r="AF86" s="6" t="s">
        <v>181</v>
      </c>
      <c r="AG86" s="6" t="s">
        <v>182</v>
      </c>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row>
    <row r="87" ht="22.5" customHeight="1">
      <c r="A87" s="4">
        <v>46229.6968284375</v>
      </c>
      <c r="B87" s="5">
        <v>0.0</v>
      </c>
      <c r="C87" s="6" t="s">
        <v>114</v>
      </c>
      <c r="D87" s="6" t="s">
        <v>276</v>
      </c>
      <c r="E87" s="6" t="s">
        <v>277</v>
      </c>
      <c r="F87" s="6">
        <v>6.9070500446E10</v>
      </c>
      <c r="G87" s="6" t="s">
        <v>310</v>
      </c>
      <c r="H87" s="6" t="s">
        <v>3346</v>
      </c>
      <c r="I87" s="6" t="s">
        <v>3347</v>
      </c>
      <c r="J87" s="6" t="s">
        <v>3348</v>
      </c>
      <c r="K87" s="6" t="s">
        <v>3349</v>
      </c>
      <c r="L87" s="6" t="s">
        <v>3350</v>
      </c>
      <c r="M87" s="6" t="s">
        <v>3351</v>
      </c>
      <c r="N87" s="6" t="s">
        <v>3352</v>
      </c>
      <c r="O87" s="6" t="s">
        <v>3353</v>
      </c>
      <c r="P87" s="6" t="s">
        <v>3354</v>
      </c>
      <c r="Q87" s="6" t="s">
        <v>3355</v>
      </c>
      <c r="R87" s="6" t="s">
        <v>246</v>
      </c>
      <c r="S87" s="6" t="s">
        <v>147</v>
      </c>
      <c r="T87" s="6" t="s">
        <v>250</v>
      </c>
      <c r="U87" s="6" t="s">
        <v>2254</v>
      </c>
      <c r="V87" s="6" t="s">
        <v>246</v>
      </c>
      <c r="W87" s="6" t="s">
        <v>158</v>
      </c>
      <c r="X87" s="6" t="s">
        <v>257</v>
      </c>
      <c r="Y87" s="6" t="s">
        <v>162</v>
      </c>
      <c r="Z87" s="6" t="s">
        <v>165</v>
      </c>
      <c r="AA87" s="6" t="s">
        <v>262</v>
      </c>
      <c r="AB87" s="6" t="s">
        <v>521</v>
      </c>
      <c r="AC87" s="6" t="s">
        <v>174</v>
      </c>
      <c r="AD87" s="6" t="s">
        <v>175</v>
      </c>
      <c r="AE87" s="6" t="s">
        <v>271</v>
      </c>
      <c r="AF87" s="6" t="s">
        <v>181</v>
      </c>
      <c r="AG87" s="6" t="s">
        <v>182</v>
      </c>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row>
    <row r="88" ht="22.5" customHeight="1">
      <c r="A88" s="4">
        <v>46229.69683078704</v>
      </c>
      <c r="B88" s="5">
        <v>0.0</v>
      </c>
      <c r="C88" s="6" t="s">
        <v>114</v>
      </c>
      <c r="D88" s="6" t="s">
        <v>278</v>
      </c>
      <c r="E88" s="6" t="s">
        <v>279</v>
      </c>
      <c r="F88" s="6">
        <v>6.9070508212E10</v>
      </c>
      <c r="G88" s="6" t="s">
        <v>730</v>
      </c>
      <c r="H88" s="7"/>
      <c r="I88" s="6" t="s">
        <v>1082</v>
      </c>
      <c r="J88" s="6" t="s">
        <v>3356</v>
      </c>
      <c r="K88" s="6" t="s">
        <v>3357</v>
      </c>
      <c r="L88" s="6" t="s">
        <v>3358</v>
      </c>
      <c r="M88" s="6" t="s">
        <v>3359</v>
      </c>
      <c r="N88" s="6" t="s">
        <v>3360</v>
      </c>
      <c r="O88" s="6" t="s">
        <v>3361</v>
      </c>
      <c r="P88" s="6" t="s">
        <v>3362</v>
      </c>
      <c r="Q88" s="6" t="s">
        <v>3363</v>
      </c>
      <c r="R88" s="6" t="s">
        <v>257</v>
      </c>
      <c r="S88" s="6" t="s">
        <v>147</v>
      </c>
      <c r="T88" s="6" t="s">
        <v>250</v>
      </c>
      <c r="U88" s="6" t="s">
        <v>252</v>
      </c>
      <c r="V88" s="6" t="s">
        <v>246</v>
      </c>
      <c r="W88" s="6" t="s">
        <v>158</v>
      </c>
      <c r="X88" s="6" t="s">
        <v>458</v>
      </c>
      <c r="Y88" s="6" t="s">
        <v>162</v>
      </c>
      <c r="Z88" s="6" t="s">
        <v>165</v>
      </c>
      <c r="AA88" s="6" t="s">
        <v>262</v>
      </c>
      <c r="AB88" s="6" t="s">
        <v>521</v>
      </c>
      <c r="AC88" s="6" t="s">
        <v>2718</v>
      </c>
      <c r="AD88" s="6" t="s">
        <v>175</v>
      </c>
      <c r="AE88" s="6" t="s">
        <v>271</v>
      </c>
      <c r="AF88" s="6" t="s">
        <v>181</v>
      </c>
      <c r="AG88" s="6" t="s">
        <v>182</v>
      </c>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row>
    <row r="89" ht="22.5" customHeight="1">
      <c r="A89" s="4">
        <v>46229.69687478009</v>
      </c>
      <c r="B89" s="5">
        <v>0.0</v>
      </c>
      <c r="C89" s="6" t="s">
        <v>114</v>
      </c>
      <c r="D89" s="6" t="s">
        <v>280</v>
      </c>
      <c r="E89" s="6" t="s">
        <v>281</v>
      </c>
      <c r="F89" s="6">
        <v>6.907050243E10</v>
      </c>
      <c r="G89" s="6" t="s">
        <v>122</v>
      </c>
      <c r="H89" s="6" t="s">
        <v>3364</v>
      </c>
      <c r="I89" s="6" t="s">
        <v>3365</v>
      </c>
      <c r="J89" s="6" t="s">
        <v>3366</v>
      </c>
      <c r="K89" s="6" t="s">
        <v>3367</v>
      </c>
      <c r="L89" s="6" t="s">
        <v>3368</v>
      </c>
      <c r="M89" s="6" t="s">
        <v>3369</v>
      </c>
      <c r="N89" s="6" t="s">
        <v>3370</v>
      </c>
      <c r="O89" s="6" t="s">
        <v>3371</v>
      </c>
      <c r="P89" s="6" t="s">
        <v>3372</v>
      </c>
      <c r="Q89" s="6" t="s">
        <v>3373</v>
      </c>
      <c r="R89" s="6" t="s">
        <v>246</v>
      </c>
      <c r="S89" s="6" t="s">
        <v>147</v>
      </c>
      <c r="T89" s="6" t="s">
        <v>250</v>
      </c>
      <c r="U89" s="6" t="s">
        <v>560</v>
      </c>
      <c r="V89" s="6" t="s">
        <v>246</v>
      </c>
      <c r="W89" s="6" t="s">
        <v>158</v>
      </c>
      <c r="X89" s="6" t="s">
        <v>257</v>
      </c>
      <c r="Y89" s="6" t="s">
        <v>162</v>
      </c>
      <c r="Z89" s="6" t="s">
        <v>165</v>
      </c>
      <c r="AA89" s="6" t="s">
        <v>262</v>
      </c>
      <c r="AB89" s="6" t="s">
        <v>171</v>
      </c>
      <c r="AC89" s="6" t="s">
        <v>174</v>
      </c>
      <c r="AD89" s="6" t="s">
        <v>175</v>
      </c>
      <c r="AE89" s="6" t="s">
        <v>271</v>
      </c>
      <c r="AF89" s="6" t="s">
        <v>181</v>
      </c>
      <c r="AG89" s="6" t="s">
        <v>182</v>
      </c>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row>
    <row r="90" ht="22.5" customHeight="1">
      <c r="A90" s="4">
        <v>46229.69690760417</v>
      </c>
      <c r="B90" s="5">
        <v>0.0</v>
      </c>
      <c r="C90" s="6" t="s">
        <v>114</v>
      </c>
      <c r="D90" s="6" t="s">
        <v>282</v>
      </c>
      <c r="E90" s="6" t="s">
        <v>283</v>
      </c>
      <c r="F90" s="6">
        <v>6.907050182E10</v>
      </c>
      <c r="G90" s="6" t="s">
        <v>730</v>
      </c>
      <c r="H90" s="6" t="s">
        <v>3374</v>
      </c>
      <c r="I90" s="6" t="s">
        <v>3375</v>
      </c>
      <c r="J90" s="6" t="s">
        <v>3376</v>
      </c>
      <c r="K90" s="6" t="s">
        <v>3377</v>
      </c>
      <c r="L90" s="6" t="s">
        <v>3378</v>
      </c>
      <c r="M90" s="6" t="s">
        <v>3379</v>
      </c>
      <c r="N90" s="6" t="s">
        <v>3380</v>
      </c>
      <c r="O90" s="6" t="s">
        <v>3381</v>
      </c>
      <c r="P90" s="6" t="s">
        <v>3382</v>
      </c>
      <c r="Q90" s="6" t="s">
        <v>3383</v>
      </c>
      <c r="R90" s="6" t="s">
        <v>246</v>
      </c>
      <c r="S90" s="6" t="s">
        <v>147</v>
      </c>
      <c r="T90" s="6" t="s">
        <v>246</v>
      </c>
      <c r="U90" s="6" t="s">
        <v>2254</v>
      </c>
      <c r="V90" s="6" t="s">
        <v>246</v>
      </c>
      <c r="W90" s="6" t="s">
        <v>158</v>
      </c>
      <c r="X90" s="6" t="s">
        <v>257</v>
      </c>
      <c r="Y90" s="6" t="s">
        <v>162</v>
      </c>
      <c r="Z90" s="6" t="s">
        <v>165</v>
      </c>
      <c r="AA90" s="6" t="s">
        <v>262</v>
      </c>
      <c r="AB90" s="6" t="s">
        <v>521</v>
      </c>
      <c r="AC90" s="6" t="s">
        <v>174</v>
      </c>
      <c r="AD90" s="6" t="s">
        <v>175</v>
      </c>
      <c r="AE90" s="6" t="s">
        <v>271</v>
      </c>
      <c r="AF90" s="6" t="s">
        <v>181</v>
      </c>
      <c r="AG90" s="6" t="s">
        <v>812</v>
      </c>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row>
    <row r="91" ht="22.5" customHeight="1">
      <c r="A91" s="4">
        <v>46229.69691513889</v>
      </c>
      <c r="B91" s="5">
        <v>0.0</v>
      </c>
      <c r="C91" s="6" t="s">
        <v>114</v>
      </c>
      <c r="D91" s="6" t="s">
        <v>284</v>
      </c>
      <c r="E91" s="6" t="s">
        <v>285</v>
      </c>
      <c r="F91" s="6">
        <v>6.9070502481E10</v>
      </c>
      <c r="G91" s="6" t="s">
        <v>122</v>
      </c>
      <c r="H91" s="6" t="s">
        <v>1951</v>
      </c>
      <c r="I91" s="6" t="s">
        <v>3384</v>
      </c>
      <c r="J91" s="6" t="s">
        <v>3385</v>
      </c>
      <c r="K91" s="6" t="s">
        <v>3386</v>
      </c>
      <c r="L91" s="6" t="s">
        <v>3387</v>
      </c>
      <c r="M91" s="6" t="s">
        <v>3388</v>
      </c>
      <c r="N91" s="7"/>
      <c r="O91" s="6" t="s">
        <v>3389</v>
      </c>
      <c r="P91" s="6" t="s">
        <v>3390</v>
      </c>
      <c r="Q91" s="6" t="s">
        <v>3391</v>
      </c>
      <c r="R91" s="6" t="s">
        <v>246</v>
      </c>
      <c r="S91" s="6" t="s">
        <v>147</v>
      </c>
      <c r="T91" s="6" t="s">
        <v>250</v>
      </c>
      <c r="U91" s="6" t="s">
        <v>252</v>
      </c>
      <c r="V91" s="6" t="s">
        <v>246</v>
      </c>
      <c r="W91" s="6" t="s">
        <v>158</v>
      </c>
      <c r="X91" s="6" t="s">
        <v>246</v>
      </c>
      <c r="Y91" s="6" t="s">
        <v>162</v>
      </c>
      <c r="Z91" s="6" t="s">
        <v>165</v>
      </c>
      <c r="AA91" s="6" t="s">
        <v>262</v>
      </c>
      <c r="AB91" s="6" t="s">
        <v>171</v>
      </c>
      <c r="AC91" s="6" t="s">
        <v>1669</v>
      </c>
      <c r="AD91" s="6" t="s">
        <v>175</v>
      </c>
      <c r="AE91" s="6" t="s">
        <v>271</v>
      </c>
      <c r="AF91" s="6" t="s">
        <v>181</v>
      </c>
      <c r="AG91" s="6" t="s">
        <v>182</v>
      </c>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row>
    <row r="92" ht="22.5" customHeight="1">
      <c r="A92" s="4">
        <v>46229.69692043982</v>
      </c>
      <c r="B92" s="5">
        <v>0.0</v>
      </c>
      <c r="C92" s="6" t="s">
        <v>114</v>
      </c>
      <c r="D92" s="6" t="s">
        <v>286</v>
      </c>
      <c r="E92" s="6" t="s">
        <v>287</v>
      </c>
      <c r="F92" s="6">
        <v>6.9070502202E10</v>
      </c>
      <c r="G92" s="6" t="s">
        <v>496</v>
      </c>
      <c r="H92" s="7"/>
      <c r="I92" s="6" t="s">
        <v>3392</v>
      </c>
      <c r="J92" s="6" t="s">
        <v>3393</v>
      </c>
      <c r="K92" s="6" t="s">
        <v>3394</v>
      </c>
      <c r="L92" s="6" t="s">
        <v>3129</v>
      </c>
      <c r="M92" s="6" t="s">
        <v>3395</v>
      </c>
      <c r="N92" s="7"/>
      <c r="O92" s="6" t="s">
        <v>3396</v>
      </c>
      <c r="P92" s="6" t="s">
        <v>3397</v>
      </c>
      <c r="Q92" s="6" t="s">
        <v>3398</v>
      </c>
      <c r="R92" s="6" t="s">
        <v>246</v>
      </c>
      <c r="S92" s="6" t="s">
        <v>147</v>
      </c>
      <c r="T92" s="6" t="s">
        <v>250</v>
      </c>
      <c r="U92" s="6" t="s">
        <v>152</v>
      </c>
      <c r="V92" s="6" t="s">
        <v>155</v>
      </c>
      <c r="W92" s="6" t="s">
        <v>158</v>
      </c>
      <c r="X92" s="6" t="s">
        <v>257</v>
      </c>
      <c r="Y92" s="6" t="s">
        <v>162</v>
      </c>
      <c r="Z92" s="6" t="s">
        <v>165</v>
      </c>
      <c r="AA92" s="6" t="s">
        <v>262</v>
      </c>
      <c r="AB92" s="6" t="s">
        <v>171</v>
      </c>
      <c r="AC92" s="6" t="s">
        <v>174</v>
      </c>
      <c r="AD92" s="6" t="s">
        <v>175</v>
      </c>
      <c r="AE92" s="6" t="s">
        <v>524</v>
      </c>
      <c r="AF92" s="6" t="s">
        <v>181</v>
      </c>
      <c r="AG92" s="6" t="s">
        <v>182</v>
      </c>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row>
    <row r="93" ht="22.5" customHeight="1">
      <c r="A93" s="4">
        <v>46229.696925474535</v>
      </c>
      <c r="B93" s="5">
        <v>0.0</v>
      </c>
      <c r="C93" s="6" t="s">
        <v>114</v>
      </c>
      <c r="D93" s="6" t="s">
        <v>288</v>
      </c>
      <c r="E93" s="6" t="s">
        <v>289</v>
      </c>
      <c r="F93" s="6">
        <v>6.9070501015E10</v>
      </c>
      <c r="G93" s="6" t="s">
        <v>1470</v>
      </c>
      <c r="H93" s="7"/>
      <c r="I93" s="6" t="s">
        <v>3399</v>
      </c>
      <c r="J93" s="6" t="s">
        <v>3400</v>
      </c>
      <c r="K93" s="6" t="s">
        <v>3401</v>
      </c>
      <c r="L93" s="6" t="s">
        <v>3402</v>
      </c>
      <c r="M93" s="6" t="s">
        <v>3403</v>
      </c>
      <c r="N93" s="6" t="s">
        <v>3302</v>
      </c>
      <c r="O93" s="6" t="s">
        <v>3404</v>
      </c>
      <c r="P93" s="6" t="s">
        <v>3405</v>
      </c>
      <c r="Q93" s="6" t="s">
        <v>3406</v>
      </c>
      <c r="R93" s="6" t="s">
        <v>246</v>
      </c>
      <c r="S93" s="6" t="s">
        <v>147</v>
      </c>
      <c r="T93" s="6" t="s">
        <v>149</v>
      </c>
      <c r="U93" s="6" t="s">
        <v>252</v>
      </c>
      <c r="V93" s="6" t="s">
        <v>155</v>
      </c>
      <c r="W93" s="6" t="s">
        <v>158</v>
      </c>
      <c r="X93" s="6" t="s">
        <v>257</v>
      </c>
      <c r="Y93" s="6" t="s">
        <v>162</v>
      </c>
      <c r="Z93" s="6" t="s">
        <v>165</v>
      </c>
      <c r="AA93" s="6" t="s">
        <v>262</v>
      </c>
      <c r="AB93" s="6" t="s">
        <v>521</v>
      </c>
      <c r="AC93" s="6" t="s">
        <v>174</v>
      </c>
      <c r="AD93" s="6" t="s">
        <v>175</v>
      </c>
      <c r="AE93" s="6" t="s">
        <v>271</v>
      </c>
      <c r="AF93" s="6" t="s">
        <v>181</v>
      </c>
      <c r="AG93" s="6" t="s">
        <v>182</v>
      </c>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row>
    <row r="94" ht="22.5" customHeight="1">
      <c r="A94" s="4">
        <v>46229.69692886574</v>
      </c>
      <c r="B94" s="5">
        <v>0.0</v>
      </c>
      <c r="C94" s="6" t="s">
        <v>114</v>
      </c>
      <c r="D94" s="6" t="s">
        <v>290</v>
      </c>
      <c r="E94" s="6" t="s">
        <v>291</v>
      </c>
      <c r="F94" s="6">
        <v>6.9070508205E10</v>
      </c>
      <c r="G94" s="6" t="s">
        <v>730</v>
      </c>
      <c r="H94" s="6" t="s">
        <v>3407</v>
      </c>
      <c r="I94" s="6" t="s">
        <v>3408</v>
      </c>
      <c r="J94" s="6" t="s">
        <v>3409</v>
      </c>
      <c r="K94" s="6" t="s">
        <v>3410</v>
      </c>
      <c r="L94" s="6" t="s">
        <v>3411</v>
      </c>
      <c r="M94" s="6" t="s">
        <v>3412</v>
      </c>
      <c r="N94" s="6" t="s">
        <v>3413</v>
      </c>
      <c r="O94" s="6" t="s">
        <v>3414</v>
      </c>
      <c r="P94" s="6" t="s">
        <v>3415</v>
      </c>
      <c r="Q94" s="6" t="s">
        <v>3416</v>
      </c>
      <c r="R94" s="6" t="s">
        <v>246</v>
      </c>
      <c r="S94" s="6" t="s">
        <v>147</v>
      </c>
      <c r="T94" s="6" t="s">
        <v>516</v>
      </c>
      <c r="U94" s="6" t="s">
        <v>252</v>
      </c>
      <c r="V94" s="6" t="s">
        <v>155</v>
      </c>
      <c r="W94" s="6" t="s">
        <v>932</v>
      </c>
      <c r="X94" s="6" t="s">
        <v>458</v>
      </c>
      <c r="Y94" s="6" t="s">
        <v>162</v>
      </c>
      <c r="Z94" s="6" t="s">
        <v>165</v>
      </c>
      <c r="AA94" s="6" t="s">
        <v>641</v>
      </c>
      <c r="AB94" s="6" t="s">
        <v>171</v>
      </c>
      <c r="AC94" s="6" t="s">
        <v>633</v>
      </c>
      <c r="AD94" s="6" t="s">
        <v>175</v>
      </c>
      <c r="AE94" s="6" t="s">
        <v>178</v>
      </c>
      <c r="AF94" s="6" t="s">
        <v>181</v>
      </c>
      <c r="AG94" s="6" t="s">
        <v>182</v>
      </c>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row>
    <row r="95" ht="22.5" customHeight="1">
      <c r="A95" s="4">
        <v>46229.696931099534</v>
      </c>
      <c r="B95" s="5">
        <v>0.0</v>
      </c>
      <c r="C95" s="6" t="s">
        <v>114</v>
      </c>
      <c r="D95" s="6" t="s">
        <v>292</v>
      </c>
      <c r="E95" s="6" t="s">
        <v>293</v>
      </c>
      <c r="F95" s="6">
        <v>6.9070502242E10</v>
      </c>
      <c r="G95" s="6" t="s">
        <v>496</v>
      </c>
      <c r="H95" s="7"/>
      <c r="I95" s="6" t="s">
        <v>3417</v>
      </c>
      <c r="J95" s="6" t="s">
        <v>3418</v>
      </c>
      <c r="K95" s="6" t="s">
        <v>3419</v>
      </c>
      <c r="L95" s="6" t="s">
        <v>3420</v>
      </c>
      <c r="M95" s="6" t="s">
        <v>3421</v>
      </c>
      <c r="N95" s="7"/>
      <c r="O95" s="6" t="s">
        <v>3422</v>
      </c>
      <c r="P95" s="6" t="s">
        <v>3423</v>
      </c>
      <c r="Q95" s="6" t="s">
        <v>3424</v>
      </c>
      <c r="R95" s="6" t="s">
        <v>145</v>
      </c>
      <c r="S95" s="6" t="s">
        <v>147</v>
      </c>
      <c r="T95" s="6" t="s">
        <v>246</v>
      </c>
      <c r="U95" s="6" t="s">
        <v>252</v>
      </c>
      <c r="V95" s="6" t="s">
        <v>246</v>
      </c>
      <c r="W95" s="6" t="s">
        <v>158</v>
      </c>
      <c r="X95" s="6" t="s">
        <v>257</v>
      </c>
      <c r="Y95" s="6" t="s">
        <v>162</v>
      </c>
      <c r="Z95" s="6" t="s">
        <v>165</v>
      </c>
      <c r="AA95" s="6" t="s">
        <v>262</v>
      </c>
      <c r="AB95" s="6" t="s">
        <v>171</v>
      </c>
      <c r="AC95" s="6" t="s">
        <v>174</v>
      </c>
      <c r="AD95" s="6" t="s">
        <v>175</v>
      </c>
      <c r="AE95" s="6" t="s">
        <v>271</v>
      </c>
      <c r="AF95" s="6" t="s">
        <v>181</v>
      </c>
      <c r="AG95" s="6" t="s">
        <v>182</v>
      </c>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row>
    <row r="96" ht="22.5" customHeight="1">
      <c r="A96" s="4">
        <v>46229.69697425926</v>
      </c>
      <c r="B96" s="5">
        <v>0.0</v>
      </c>
      <c r="C96" s="6" t="s">
        <v>114</v>
      </c>
      <c r="D96" s="6" t="s">
        <v>294</v>
      </c>
      <c r="E96" s="6" t="s">
        <v>295</v>
      </c>
      <c r="F96" s="6">
        <v>6.9070508243E10</v>
      </c>
      <c r="G96" s="6" t="s">
        <v>730</v>
      </c>
      <c r="H96" s="7"/>
      <c r="I96" s="6" t="s">
        <v>3425</v>
      </c>
      <c r="J96" s="6" t="s">
        <v>3426</v>
      </c>
      <c r="K96" s="6" t="s">
        <v>3427</v>
      </c>
      <c r="L96" s="6" t="s">
        <v>3428</v>
      </c>
      <c r="M96" s="6" t="s">
        <v>3429</v>
      </c>
      <c r="N96" s="7"/>
      <c r="O96" s="6" t="s">
        <v>3430</v>
      </c>
      <c r="P96" s="6" t="s">
        <v>3431</v>
      </c>
      <c r="Q96" s="6" t="s">
        <v>3432</v>
      </c>
      <c r="R96" s="6" t="s">
        <v>246</v>
      </c>
      <c r="S96" s="6" t="s">
        <v>147</v>
      </c>
      <c r="T96" s="6" t="s">
        <v>250</v>
      </c>
      <c r="U96" s="6" t="s">
        <v>252</v>
      </c>
      <c r="V96" s="6" t="s">
        <v>246</v>
      </c>
      <c r="W96" s="6" t="s">
        <v>158</v>
      </c>
      <c r="X96" s="6" t="s">
        <v>458</v>
      </c>
      <c r="Y96" s="6" t="s">
        <v>162</v>
      </c>
      <c r="Z96" s="6" t="s">
        <v>165</v>
      </c>
      <c r="AA96" s="6" t="s">
        <v>641</v>
      </c>
      <c r="AB96" s="6" t="s">
        <v>171</v>
      </c>
      <c r="AC96" s="6" t="s">
        <v>174</v>
      </c>
      <c r="AD96" s="6" t="s">
        <v>175</v>
      </c>
      <c r="AE96" s="6" t="s">
        <v>271</v>
      </c>
      <c r="AF96" s="6" t="s">
        <v>181</v>
      </c>
      <c r="AG96" s="6" t="s">
        <v>182</v>
      </c>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row>
    <row r="97" ht="22.5" customHeight="1">
      <c r="A97" s="4">
        <v>46229.69697568287</v>
      </c>
      <c r="B97" s="5">
        <v>0.0</v>
      </c>
      <c r="C97" s="6" t="s">
        <v>114</v>
      </c>
      <c r="D97" s="6" t="s">
        <v>296</v>
      </c>
      <c r="E97" s="6" t="s">
        <v>297</v>
      </c>
      <c r="F97" s="6">
        <v>6.9070509808E10</v>
      </c>
      <c r="G97" s="6" t="s">
        <v>496</v>
      </c>
      <c r="H97" s="7"/>
      <c r="I97" s="6" t="s">
        <v>3433</v>
      </c>
      <c r="J97" s="6" t="s">
        <v>3434</v>
      </c>
      <c r="K97" s="6" t="s">
        <v>3435</v>
      </c>
      <c r="L97" s="6" t="s">
        <v>3436</v>
      </c>
      <c r="M97" s="6" t="s">
        <v>3437</v>
      </c>
      <c r="N97" s="7"/>
      <c r="O97" s="6" t="s">
        <v>3438</v>
      </c>
      <c r="P97" s="6" t="s">
        <v>3439</v>
      </c>
      <c r="Q97" s="6" t="s">
        <v>3440</v>
      </c>
      <c r="R97" s="6" t="s">
        <v>246</v>
      </c>
      <c r="S97" s="6" t="s">
        <v>147</v>
      </c>
      <c r="T97" s="6" t="s">
        <v>246</v>
      </c>
      <c r="U97" s="6" t="s">
        <v>686</v>
      </c>
      <c r="V97" s="6" t="s">
        <v>246</v>
      </c>
      <c r="W97" s="6" t="s">
        <v>158</v>
      </c>
      <c r="X97" s="6" t="s">
        <v>257</v>
      </c>
      <c r="Y97" s="6" t="s">
        <v>162</v>
      </c>
      <c r="Z97" s="6" t="s">
        <v>165</v>
      </c>
      <c r="AA97" s="6" t="s">
        <v>168</v>
      </c>
      <c r="AB97" s="6" t="s">
        <v>171</v>
      </c>
      <c r="AC97" s="6" t="s">
        <v>174</v>
      </c>
      <c r="AD97" s="6" t="s">
        <v>175</v>
      </c>
      <c r="AE97" s="6" t="s">
        <v>271</v>
      </c>
      <c r="AF97" s="6" t="s">
        <v>181</v>
      </c>
      <c r="AG97" s="6" t="s">
        <v>182</v>
      </c>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row>
    <row r="98" ht="22.5" customHeight="1">
      <c r="A98" s="4">
        <v>46229.69703285879</v>
      </c>
      <c r="B98" s="5">
        <v>0.0</v>
      </c>
      <c r="C98" s="6" t="s">
        <v>114</v>
      </c>
      <c r="D98" s="6" t="s">
        <v>298</v>
      </c>
      <c r="E98" s="6" t="s">
        <v>299</v>
      </c>
      <c r="F98" s="6">
        <v>6.9070501287E10</v>
      </c>
      <c r="G98" s="6" t="s">
        <v>228</v>
      </c>
      <c r="H98" s="7"/>
      <c r="I98" s="6" t="s">
        <v>3441</v>
      </c>
      <c r="J98" s="6" t="s">
        <v>3442</v>
      </c>
      <c r="K98" s="6" t="s">
        <v>3443</v>
      </c>
      <c r="L98" s="6" t="s">
        <v>3444</v>
      </c>
      <c r="M98" s="6" t="s">
        <v>3445</v>
      </c>
      <c r="N98" s="7"/>
      <c r="O98" s="6" t="s">
        <v>3446</v>
      </c>
      <c r="P98" s="6" t="s">
        <v>3447</v>
      </c>
      <c r="Q98" s="6" t="s">
        <v>3447</v>
      </c>
      <c r="R98" s="6" t="s">
        <v>246</v>
      </c>
      <c r="S98" s="6" t="s">
        <v>147</v>
      </c>
      <c r="T98" s="6" t="s">
        <v>250</v>
      </c>
      <c r="U98" s="6" t="s">
        <v>252</v>
      </c>
      <c r="V98" s="6" t="s">
        <v>246</v>
      </c>
      <c r="W98" s="6" t="s">
        <v>158</v>
      </c>
      <c r="X98" s="6" t="s">
        <v>257</v>
      </c>
      <c r="Y98" s="6" t="s">
        <v>162</v>
      </c>
      <c r="Z98" s="6" t="s">
        <v>165</v>
      </c>
      <c r="AA98" s="6" t="s">
        <v>262</v>
      </c>
      <c r="AB98" s="6" t="s">
        <v>171</v>
      </c>
      <c r="AC98" s="6" t="s">
        <v>174</v>
      </c>
      <c r="AD98" s="6" t="s">
        <v>175</v>
      </c>
      <c r="AE98" s="6" t="s">
        <v>271</v>
      </c>
      <c r="AF98" s="6" t="s">
        <v>181</v>
      </c>
      <c r="AG98" s="6" t="s">
        <v>182</v>
      </c>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row>
    <row r="99" ht="22.5" customHeight="1">
      <c r="A99" s="4">
        <v>46229.697041770836</v>
      </c>
      <c r="B99" s="5">
        <v>0.0</v>
      </c>
      <c r="C99" s="6" t="s">
        <v>114</v>
      </c>
      <c r="D99" s="6" t="s">
        <v>300</v>
      </c>
      <c r="E99" s="6" t="s">
        <v>301</v>
      </c>
      <c r="F99" s="6">
        <v>6.9070508214E10</v>
      </c>
      <c r="G99" s="6" t="s">
        <v>730</v>
      </c>
      <c r="H99" s="7"/>
      <c r="I99" s="6" t="s">
        <v>3425</v>
      </c>
      <c r="J99" s="6" t="s">
        <v>3448</v>
      </c>
      <c r="K99" s="6" t="s">
        <v>3449</v>
      </c>
      <c r="L99" s="6" t="s">
        <v>3450</v>
      </c>
      <c r="M99" s="6" t="s">
        <v>3451</v>
      </c>
      <c r="N99" s="7"/>
      <c r="O99" s="6" t="s">
        <v>3452</v>
      </c>
      <c r="P99" s="6" t="s">
        <v>3453</v>
      </c>
      <c r="Q99" s="6" t="s">
        <v>3454</v>
      </c>
      <c r="R99" s="6" t="s">
        <v>246</v>
      </c>
      <c r="S99" s="6" t="s">
        <v>147</v>
      </c>
      <c r="T99" s="6" t="s">
        <v>246</v>
      </c>
      <c r="U99" s="6" t="s">
        <v>2254</v>
      </c>
      <c r="V99" s="6" t="s">
        <v>246</v>
      </c>
      <c r="W99" s="6" t="s">
        <v>158</v>
      </c>
      <c r="X99" s="6" t="s">
        <v>257</v>
      </c>
      <c r="Y99" s="6" t="s">
        <v>162</v>
      </c>
      <c r="Z99" s="6" t="s">
        <v>165</v>
      </c>
      <c r="AA99" s="6" t="s">
        <v>641</v>
      </c>
      <c r="AB99" s="6" t="s">
        <v>521</v>
      </c>
      <c r="AC99" s="6" t="s">
        <v>174</v>
      </c>
      <c r="AD99" s="6" t="s">
        <v>175</v>
      </c>
      <c r="AE99" s="6" t="s">
        <v>178</v>
      </c>
      <c r="AF99" s="6" t="s">
        <v>181</v>
      </c>
      <c r="AG99" s="6" t="s">
        <v>182</v>
      </c>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row>
    <row r="100" ht="22.5" customHeight="1">
      <c r="A100" s="4">
        <v>46229.69704375</v>
      </c>
      <c r="B100" s="5">
        <v>0.0</v>
      </c>
      <c r="C100" s="6" t="s">
        <v>114</v>
      </c>
      <c r="D100" s="6" t="s">
        <v>302</v>
      </c>
      <c r="E100" s="6" t="s">
        <v>303</v>
      </c>
      <c r="F100" s="6">
        <v>6.9070506412E10</v>
      </c>
      <c r="G100" s="6" t="s">
        <v>599</v>
      </c>
      <c r="H100" s="7"/>
      <c r="I100" s="6" t="s">
        <v>3455</v>
      </c>
      <c r="J100" s="6" t="s">
        <v>3456</v>
      </c>
      <c r="K100" s="6" t="s">
        <v>3457</v>
      </c>
      <c r="L100" s="6" t="s">
        <v>3458</v>
      </c>
      <c r="M100" s="6" t="s">
        <v>3459</v>
      </c>
      <c r="N100" s="7"/>
      <c r="O100" s="6" t="s">
        <v>3460</v>
      </c>
      <c r="P100" s="6" t="s">
        <v>3461</v>
      </c>
      <c r="Q100" s="6" t="s">
        <v>3462</v>
      </c>
      <c r="R100" s="6" t="s">
        <v>246</v>
      </c>
      <c r="S100" s="6" t="s">
        <v>147</v>
      </c>
      <c r="T100" s="6" t="s">
        <v>250</v>
      </c>
      <c r="U100" s="6" t="s">
        <v>252</v>
      </c>
      <c r="V100" s="6" t="s">
        <v>246</v>
      </c>
      <c r="W100" s="6" t="s">
        <v>3463</v>
      </c>
      <c r="X100" s="6" t="s">
        <v>257</v>
      </c>
      <c r="Y100" s="6" t="s">
        <v>162</v>
      </c>
      <c r="Z100" s="6" t="s">
        <v>165</v>
      </c>
      <c r="AA100" s="6" t="s">
        <v>262</v>
      </c>
      <c r="AB100" s="6" t="s">
        <v>171</v>
      </c>
      <c r="AC100" s="6" t="s">
        <v>174</v>
      </c>
      <c r="AD100" s="6" t="s">
        <v>175</v>
      </c>
      <c r="AE100" s="6" t="s">
        <v>271</v>
      </c>
      <c r="AF100" s="6" t="s">
        <v>181</v>
      </c>
      <c r="AG100" s="6" t="s">
        <v>182</v>
      </c>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row>
    <row r="101" ht="22.5" customHeight="1">
      <c r="A101" s="4">
        <v>46229.69704810185</v>
      </c>
      <c r="B101" s="5">
        <v>0.0</v>
      </c>
      <c r="C101" s="6" t="s">
        <v>114</v>
      </c>
      <c r="D101" s="6" t="s">
        <v>304</v>
      </c>
      <c r="E101" s="6" t="s">
        <v>305</v>
      </c>
      <c r="F101" s="6">
        <v>6.9070505204E10</v>
      </c>
      <c r="G101" s="6" t="s">
        <v>1470</v>
      </c>
      <c r="H101" s="6" t="s">
        <v>3464</v>
      </c>
      <c r="I101" s="6" t="s">
        <v>3465</v>
      </c>
      <c r="J101" s="6" t="s">
        <v>3466</v>
      </c>
      <c r="K101" s="6" t="s">
        <v>3467</v>
      </c>
      <c r="L101" s="6" t="s">
        <v>3468</v>
      </c>
      <c r="M101" s="6" t="s">
        <v>3469</v>
      </c>
      <c r="N101" s="6" t="s">
        <v>2633</v>
      </c>
      <c r="O101" s="6" t="s">
        <v>3470</v>
      </c>
      <c r="P101" s="6" t="s">
        <v>3471</v>
      </c>
      <c r="Q101" s="6" t="s">
        <v>3472</v>
      </c>
      <c r="R101" s="6" t="s">
        <v>257</v>
      </c>
      <c r="S101" s="6" t="s">
        <v>147</v>
      </c>
      <c r="T101" s="6" t="s">
        <v>250</v>
      </c>
      <c r="U101" s="6" t="s">
        <v>252</v>
      </c>
      <c r="V101" s="6" t="s">
        <v>246</v>
      </c>
      <c r="W101" s="6" t="s">
        <v>158</v>
      </c>
      <c r="X101" s="6" t="s">
        <v>161</v>
      </c>
      <c r="Y101" s="6" t="s">
        <v>162</v>
      </c>
      <c r="Z101" s="6" t="s">
        <v>165</v>
      </c>
      <c r="AA101" s="6" t="s">
        <v>641</v>
      </c>
      <c r="AB101" s="6" t="s">
        <v>521</v>
      </c>
      <c r="AC101" s="6" t="s">
        <v>174</v>
      </c>
      <c r="AD101" s="6" t="s">
        <v>175</v>
      </c>
      <c r="AE101" s="6" t="s">
        <v>178</v>
      </c>
      <c r="AF101" s="6" t="s">
        <v>181</v>
      </c>
      <c r="AG101" s="6" t="s">
        <v>182</v>
      </c>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row>
    <row r="102" ht="22.5" customHeight="1">
      <c r="A102" s="4">
        <v>46229.697056770834</v>
      </c>
      <c r="B102" s="5">
        <v>0.0</v>
      </c>
      <c r="C102" s="6" t="s">
        <v>114</v>
      </c>
      <c r="D102" s="6" t="s">
        <v>306</v>
      </c>
      <c r="E102" s="6" t="s">
        <v>307</v>
      </c>
      <c r="F102" s="6">
        <v>6.9070509822E10</v>
      </c>
      <c r="G102" s="6" t="s">
        <v>496</v>
      </c>
      <c r="H102" s="7"/>
      <c r="I102" s="6" t="s">
        <v>3473</v>
      </c>
      <c r="J102" s="6" t="s">
        <v>3474</v>
      </c>
      <c r="K102" s="6" t="s">
        <v>3475</v>
      </c>
      <c r="L102" s="6" t="s">
        <v>3476</v>
      </c>
      <c r="M102" s="6" t="s">
        <v>506</v>
      </c>
      <c r="N102" s="7"/>
      <c r="O102" s="6" t="s">
        <v>3477</v>
      </c>
      <c r="P102" s="6" t="s">
        <v>3478</v>
      </c>
      <c r="Q102" s="6" t="s">
        <v>3479</v>
      </c>
      <c r="R102" s="6" t="s">
        <v>246</v>
      </c>
      <c r="S102" s="6" t="s">
        <v>147</v>
      </c>
      <c r="T102" s="6" t="s">
        <v>250</v>
      </c>
      <c r="U102" s="6" t="s">
        <v>252</v>
      </c>
      <c r="V102" s="6" t="s">
        <v>246</v>
      </c>
      <c r="W102" s="6" t="s">
        <v>158</v>
      </c>
      <c r="X102" s="6" t="s">
        <v>458</v>
      </c>
      <c r="Y102" s="6" t="s">
        <v>162</v>
      </c>
      <c r="Z102" s="6" t="s">
        <v>165</v>
      </c>
      <c r="AA102" s="6" t="s">
        <v>262</v>
      </c>
      <c r="AB102" s="6" t="s">
        <v>171</v>
      </c>
      <c r="AC102" s="6" t="s">
        <v>174</v>
      </c>
      <c r="AD102" s="6" t="s">
        <v>175</v>
      </c>
      <c r="AE102" s="6" t="s">
        <v>271</v>
      </c>
      <c r="AF102" s="6" t="s">
        <v>181</v>
      </c>
      <c r="AG102" s="6" t="s">
        <v>182</v>
      </c>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row>
    <row r="103" ht="22.5" customHeight="1">
      <c r="A103" s="4">
        <v>46229.69706439815</v>
      </c>
      <c r="B103" s="5">
        <v>0.0</v>
      </c>
      <c r="C103" s="6" t="s">
        <v>114</v>
      </c>
      <c r="D103" s="6" t="s">
        <v>308</v>
      </c>
      <c r="E103" s="6" t="s">
        <v>309</v>
      </c>
      <c r="F103" s="6">
        <v>6.9070500406E10</v>
      </c>
      <c r="G103" s="6" t="s">
        <v>310</v>
      </c>
      <c r="H103" s="7"/>
      <c r="I103" s="6" t="s">
        <v>3480</v>
      </c>
      <c r="J103" s="6" t="s">
        <v>3481</v>
      </c>
      <c r="K103" s="6" t="s">
        <v>3482</v>
      </c>
      <c r="L103" s="6" t="s">
        <v>3483</v>
      </c>
      <c r="M103" s="6" t="s">
        <v>3484</v>
      </c>
      <c r="N103" s="7"/>
      <c r="O103" s="6" t="s">
        <v>3485</v>
      </c>
      <c r="P103" s="6" t="s">
        <v>3486</v>
      </c>
      <c r="Q103" s="6" t="s">
        <v>3487</v>
      </c>
      <c r="R103" s="6" t="s">
        <v>246</v>
      </c>
      <c r="S103" s="6" t="s">
        <v>147</v>
      </c>
      <c r="T103" s="6" t="s">
        <v>250</v>
      </c>
      <c r="U103" s="6" t="s">
        <v>560</v>
      </c>
      <c r="V103" s="6" t="s">
        <v>246</v>
      </c>
      <c r="W103" s="6" t="s">
        <v>158</v>
      </c>
      <c r="X103" s="6" t="s">
        <v>257</v>
      </c>
      <c r="Y103" s="6" t="s">
        <v>162</v>
      </c>
      <c r="Z103" s="6" t="s">
        <v>165</v>
      </c>
      <c r="AA103" s="6" t="s">
        <v>168</v>
      </c>
      <c r="AB103" s="6" t="s">
        <v>521</v>
      </c>
      <c r="AC103" s="6" t="s">
        <v>1669</v>
      </c>
      <c r="AD103" s="6" t="s">
        <v>175</v>
      </c>
      <c r="AE103" s="6" t="s">
        <v>271</v>
      </c>
      <c r="AF103" s="6" t="s">
        <v>181</v>
      </c>
      <c r="AG103" s="6" t="s">
        <v>182</v>
      </c>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row>
    <row r="104" ht="22.5" customHeight="1">
      <c r="A104" s="4">
        <v>46229.69708171296</v>
      </c>
      <c r="B104" s="5">
        <v>0.0</v>
      </c>
      <c r="C104" s="6" t="s">
        <v>114</v>
      </c>
      <c r="D104" s="6" t="s">
        <v>311</v>
      </c>
      <c r="E104" s="6" t="s">
        <v>312</v>
      </c>
      <c r="F104" s="6">
        <v>6.9070502465E10</v>
      </c>
      <c r="G104" s="6" t="s">
        <v>122</v>
      </c>
      <c r="H104" s="6" t="s">
        <v>3488</v>
      </c>
      <c r="I104" s="6" t="s">
        <v>3489</v>
      </c>
      <c r="J104" s="6" t="s">
        <v>3490</v>
      </c>
      <c r="K104" s="6" t="s">
        <v>3491</v>
      </c>
      <c r="L104" s="6" t="s">
        <v>3492</v>
      </c>
      <c r="M104" s="6" t="s">
        <v>3493</v>
      </c>
      <c r="N104" s="7"/>
      <c r="O104" s="6" t="s">
        <v>3494</v>
      </c>
      <c r="P104" s="6" t="s">
        <v>3495</v>
      </c>
      <c r="Q104" s="6" t="s">
        <v>3496</v>
      </c>
      <c r="R104" s="6" t="s">
        <v>861</v>
      </c>
      <c r="S104" s="6" t="s">
        <v>147</v>
      </c>
      <c r="T104" s="6" t="s">
        <v>250</v>
      </c>
      <c r="U104" s="6" t="s">
        <v>686</v>
      </c>
      <c r="V104" s="6" t="s">
        <v>246</v>
      </c>
      <c r="W104" s="6" t="s">
        <v>158</v>
      </c>
      <c r="X104" s="6" t="s">
        <v>257</v>
      </c>
      <c r="Y104" s="6" t="s">
        <v>162</v>
      </c>
      <c r="Z104" s="6" t="s">
        <v>165</v>
      </c>
      <c r="AA104" s="6" t="s">
        <v>168</v>
      </c>
      <c r="AB104" s="6" t="s">
        <v>521</v>
      </c>
      <c r="AC104" s="6" t="s">
        <v>174</v>
      </c>
      <c r="AD104" s="6" t="s">
        <v>175</v>
      </c>
      <c r="AE104" s="6" t="s">
        <v>271</v>
      </c>
      <c r="AF104" s="6" t="s">
        <v>181</v>
      </c>
      <c r="AG104" s="6" t="s">
        <v>182</v>
      </c>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row>
    <row r="105" ht="22.5" customHeight="1">
      <c r="A105" s="4">
        <v>46229.697083101855</v>
      </c>
      <c r="B105" s="5">
        <v>0.0</v>
      </c>
      <c r="C105" s="6" t="s">
        <v>114</v>
      </c>
      <c r="D105" s="6" t="s">
        <v>315</v>
      </c>
      <c r="E105" s="6" t="s">
        <v>316</v>
      </c>
      <c r="F105" s="6">
        <v>6.9070502516E10</v>
      </c>
      <c r="G105" s="6" t="s">
        <v>122</v>
      </c>
      <c r="H105" s="7"/>
      <c r="I105" s="6" t="s">
        <v>3497</v>
      </c>
      <c r="J105" s="6" t="s">
        <v>3498</v>
      </c>
      <c r="K105" s="6" t="s">
        <v>3499</v>
      </c>
      <c r="L105" s="6" t="s">
        <v>3500</v>
      </c>
      <c r="M105" s="6" t="s">
        <v>3501</v>
      </c>
      <c r="N105" s="6" t="s">
        <v>3502</v>
      </c>
      <c r="O105" s="6" t="s">
        <v>3503</v>
      </c>
      <c r="P105" s="6" t="s">
        <v>3504</v>
      </c>
      <c r="Q105" s="6" t="s">
        <v>3505</v>
      </c>
      <c r="R105" s="6" t="s">
        <v>257</v>
      </c>
      <c r="S105" s="6" t="s">
        <v>147</v>
      </c>
      <c r="T105" s="6" t="s">
        <v>250</v>
      </c>
      <c r="U105" s="6" t="s">
        <v>252</v>
      </c>
      <c r="V105" s="6" t="s">
        <v>246</v>
      </c>
      <c r="W105" s="6" t="s">
        <v>158</v>
      </c>
      <c r="X105" s="6" t="s">
        <v>257</v>
      </c>
      <c r="Y105" s="6" t="s">
        <v>162</v>
      </c>
      <c r="Z105" s="6" t="s">
        <v>152</v>
      </c>
      <c r="AA105" s="6" t="s">
        <v>1322</v>
      </c>
      <c r="AB105" s="6" t="s">
        <v>171</v>
      </c>
      <c r="AC105" s="6" t="s">
        <v>1669</v>
      </c>
      <c r="AD105" s="6" t="s">
        <v>641</v>
      </c>
      <c r="AE105" s="6" t="s">
        <v>1211</v>
      </c>
      <c r="AF105" s="6" t="s">
        <v>811</v>
      </c>
      <c r="AG105" s="6" t="s">
        <v>641</v>
      </c>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row>
    <row r="106" ht="22.5" customHeight="1">
      <c r="A106" s="4">
        <v>46229.69708614583</v>
      </c>
      <c r="B106" s="5">
        <v>0.0</v>
      </c>
      <c r="C106" s="6" t="s">
        <v>114</v>
      </c>
      <c r="D106" s="6" t="s">
        <v>319</v>
      </c>
      <c r="E106" s="6" t="s">
        <v>320</v>
      </c>
      <c r="F106" s="6">
        <v>6.9070500213E10</v>
      </c>
      <c r="G106" s="6" t="s">
        <v>599</v>
      </c>
      <c r="H106" s="7"/>
      <c r="I106" s="6" t="s">
        <v>3506</v>
      </c>
      <c r="J106" s="6" t="s">
        <v>3507</v>
      </c>
      <c r="K106" s="6" t="s">
        <v>3508</v>
      </c>
      <c r="L106" s="6" t="s">
        <v>3509</v>
      </c>
      <c r="M106" s="6" t="s">
        <v>3510</v>
      </c>
      <c r="N106" s="7"/>
      <c r="O106" s="6" t="s">
        <v>3511</v>
      </c>
      <c r="P106" s="6" t="s">
        <v>3512</v>
      </c>
      <c r="Q106" s="6" t="s">
        <v>3513</v>
      </c>
      <c r="R106" s="6" t="s">
        <v>246</v>
      </c>
      <c r="S106" s="6" t="s">
        <v>147</v>
      </c>
      <c r="T106" s="6" t="s">
        <v>250</v>
      </c>
      <c r="U106" s="6" t="s">
        <v>252</v>
      </c>
      <c r="V106" s="6" t="s">
        <v>246</v>
      </c>
      <c r="W106" s="6" t="s">
        <v>158</v>
      </c>
      <c r="X106" s="6" t="s">
        <v>257</v>
      </c>
      <c r="Y106" s="6" t="s">
        <v>162</v>
      </c>
      <c r="Z106" s="6" t="s">
        <v>165</v>
      </c>
      <c r="AA106" s="6" t="s">
        <v>262</v>
      </c>
      <c r="AB106" s="6" t="s">
        <v>171</v>
      </c>
      <c r="AC106" s="6" t="s">
        <v>174</v>
      </c>
      <c r="AD106" s="6" t="s">
        <v>175</v>
      </c>
      <c r="AE106" s="6" t="s">
        <v>271</v>
      </c>
      <c r="AF106" s="6" t="s">
        <v>181</v>
      </c>
      <c r="AG106" s="6" t="s">
        <v>182</v>
      </c>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row>
    <row r="107" ht="22.5" customHeight="1">
      <c r="A107" s="4">
        <v>46229.697089444446</v>
      </c>
      <c r="B107" s="5">
        <v>0.0</v>
      </c>
      <c r="C107" s="6" t="s">
        <v>114</v>
      </c>
      <c r="D107" s="6" t="s">
        <v>323</v>
      </c>
      <c r="E107" s="6" t="s">
        <v>325</v>
      </c>
      <c r="F107" s="6">
        <v>6.9070500413E10</v>
      </c>
      <c r="G107" s="6" t="s">
        <v>310</v>
      </c>
      <c r="H107" s="7"/>
      <c r="I107" s="6" t="s">
        <v>3514</v>
      </c>
      <c r="J107" s="6" t="s">
        <v>3515</v>
      </c>
      <c r="K107" s="6" t="s">
        <v>3516</v>
      </c>
      <c r="L107" s="6" t="s">
        <v>3517</v>
      </c>
      <c r="M107" s="6" t="s">
        <v>3518</v>
      </c>
      <c r="N107" s="7"/>
      <c r="O107" s="6" t="s">
        <v>3519</v>
      </c>
      <c r="P107" s="6" t="s">
        <v>3520</v>
      </c>
      <c r="Q107" s="6" t="s">
        <v>3521</v>
      </c>
      <c r="R107" s="6" t="s">
        <v>257</v>
      </c>
      <c r="S107" s="6" t="s">
        <v>147</v>
      </c>
      <c r="T107" s="6" t="s">
        <v>250</v>
      </c>
      <c r="U107" s="6" t="s">
        <v>560</v>
      </c>
      <c r="V107" s="6" t="s">
        <v>246</v>
      </c>
      <c r="W107" s="6" t="s">
        <v>158</v>
      </c>
      <c r="X107" s="6" t="s">
        <v>257</v>
      </c>
      <c r="Y107" s="6" t="s">
        <v>162</v>
      </c>
      <c r="Z107" s="6" t="s">
        <v>165</v>
      </c>
      <c r="AA107" s="6" t="s">
        <v>262</v>
      </c>
      <c r="AB107" s="6" t="s">
        <v>171</v>
      </c>
      <c r="AC107" s="6" t="s">
        <v>174</v>
      </c>
      <c r="AD107" s="6" t="s">
        <v>175</v>
      </c>
      <c r="AE107" s="6" t="s">
        <v>271</v>
      </c>
      <c r="AF107" s="6" t="s">
        <v>181</v>
      </c>
      <c r="AG107" s="6" t="s">
        <v>641</v>
      </c>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row>
    <row r="108" ht="22.5" customHeight="1">
      <c r="A108" s="4">
        <v>46229.69710276621</v>
      </c>
      <c r="B108" s="5">
        <v>0.0</v>
      </c>
      <c r="C108" s="6" t="s">
        <v>114</v>
      </c>
      <c r="D108" s="6" t="s">
        <v>328</v>
      </c>
      <c r="E108" s="6" t="s">
        <v>329</v>
      </c>
      <c r="F108" s="6">
        <v>6.9070500304E10</v>
      </c>
      <c r="G108" s="6" t="s">
        <v>599</v>
      </c>
      <c r="H108" s="7"/>
      <c r="I108" s="6" t="s">
        <v>3522</v>
      </c>
      <c r="J108" s="6" t="s">
        <v>3523</v>
      </c>
      <c r="K108" s="6" t="s">
        <v>3162</v>
      </c>
      <c r="L108" s="6" t="s">
        <v>3524</v>
      </c>
      <c r="M108" s="6" t="s">
        <v>2397</v>
      </c>
      <c r="N108" s="7"/>
      <c r="O108" s="6" t="s">
        <v>3525</v>
      </c>
      <c r="P108" s="6" t="s">
        <v>3526</v>
      </c>
      <c r="Q108" s="6" t="s">
        <v>3527</v>
      </c>
      <c r="R108" s="6" t="s">
        <v>246</v>
      </c>
      <c r="S108" s="6" t="s">
        <v>147</v>
      </c>
      <c r="T108" s="6" t="s">
        <v>250</v>
      </c>
      <c r="U108" s="6" t="s">
        <v>2254</v>
      </c>
      <c r="V108" s="6" t="s">
        <v>246</v>
      </c>
      <c r="W108" s="6" t="s">
        <v>158</v>
      </c>
      <c r="X108" s="6" t="s">
        <v>257</v>
      </c>
      <c r="Y108" s="6" t="s">
        <v>162</v>
      </c>
      <c r="Z108" s="6" t="s">
        <v>165</v>
      </c>
      <c r="AA108" s="6" t="s">
        <v>262</v>
      </c>
      <c r="AB108" s="6" t="s">
        <v>171</v>
      </c>
      <c r="AC108" s="6" t="s">
        <v>174</v>
      </c>
      <c r="AD108" s="6" t="s">
        <v>175</v>
      </c>
      <c r="AE108" s="6" t="s">
        <v>178</v>
      </c>
      <c r="AF108" s="6" t="s">
        <v>181</v>
      </c>
      <c r="AG108" s="6" t="s">
        <v>182</v>
      </c>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row>
    <row r="109" ht="22.5" customHeight="1">
      <c r="A109" s="4">
        <v>46229.697104907405</v>
      </c>
      <c r="B109" s="5">
        <v>0.0</v>
      </c>
      <c r="C109" s="6" t="s">
        <v>114</v>
      </c>
      <c r="D109" s="6" t="s">
        <v>330</v>
      </c>
      <c r="E109" s="6" t="s">
        <v>331</v>
      </c>
      <c r="F109" s="6">
        <v>6.9070500486E10</v>
      </c>
      <c r="G109" s="6" t="s">
        <v>310</v>
      </c>
      <c r="H109" s="7"/>
      <c r="I109" s="6" t="s">
        <v>3528</v>
      </c>
      <c r="J109" s="6" t="s">
        <v>3529</v>
      </c>
      <c r="K109" s="6" t="s">
        <v>3530</v>
      </c>
      <c r="L109" s="6" t="s">
        <v>3265</v>
      </c>
      <c r="M109" s="6" t="s">
        <v>3067</v>
      </c>
      <c r="N109" s="7"/>
      <c r="O109" s="6" t="s">
        <v>3531</v>
      </c>
      <c r="P109" s="6" t="s">
        <v>3532</v>
      </c>
      <c r="Q109" s="6" t="s">
        <v>3533</v>
      </c>
      <c r="R109" s="6" t="s">
        <v>861</v>
      </c>
      <c r="S109" s="6" t="s">
        <v>147</v>
      </c>
      <c r="T109" s="6" t="s">
        <v>250</v>
      </c>
      <c r="U109" s="6" t="s">
        <v>152</v>
      </c>
      <c r="V109" s="6" t="s">
        <v>246</v>
      </c>
      <c r="W109" s="6" t="s">
        <v>158</v>
      </c>
      <c r="X109" s="6" t="s">
        <v>257</v>
      </c>
      <c r="Y109" s="6" t="s">
        <v>162</v>
      </c>
      <c r="Z109" s="6" t="s">
        <v>165</v>
      </c>
      <c r="AA109" s="6" t="s">
        <v>262</v>
      </c>
      <c r="AB109" s="6" t="s">
        <v>1266</v>
      </c>
      <c r="AC109" s="6" t="s">
        <v>633</v>
      </c>
      <c r="AD109" s="6" t="s">
        <v>175</v>
      </c>
      <c r="AE109" s="6" t="s">
        <v>271</v>
      </c>
      <c r="AF109" s="6" t="s">
        <v>181</v>
      </c>
      <c r="AG109" s="6" t="s">
        <v>182</v>
      </c>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row>
    <row r="110" ht="22.5" customHeight="1">
      <c r="A110" s="4">
        <v>46229.69712517361</v>
      </c>
      <c r="B110" s="5">
        <v>0.0</v>
      </c>
      <c r="C110" s="6" t="s">
        <v>114</v>
      </c>
      <c r="D110" s="6" t="s">
        <v>332</v>
      </c>
      <c r="E110" s="6" t="s">
        <v>333</v>
      </c>
      <c r="F110" s="6">
        <v>6.9070501274E10</v>
      </c>
      <c r="G110" s="6" t="s">
        <v>228</v>
      </c>
      <c r="H110" s="7"/>
      <c r="I110" s="6" t="s">
        <v>3534</v>
      </c>
      <c r="J110" s="6" t="s">
        <v>3535</v>
      </c>
      <c r="K110" s="6" t="s">
        <v>3536</v>
      </c>
      <c r="L110" s="6" t="s">
        <v>3537</v>
      </c>
      <c r="M110" s="6" t="s">
        <v>3538</v>
      </c>
      <c r="N110" s="7"/>
      <c r="O110" s="6" t="s">
        <v>3539</v>
      </c>
      <c r="P110" s="6" t="s">
        <v>3540</v>
      </c>
      <c r="Q110" s="6" t="s">
        <v>3541</v>
      </c>
      <c r="R110" s="6" t="s">
        <v>246</v>
      </c>
      <c r="S110" s="6" t="s">
        <v>147</v>
      </c>
      <c r="T110" s="6" t="s">
        <v>516</v>
      </c>
      <c r="U110" s="6" t="s">
        <v>252</v>
      </c>
      <c r="V110" s="6" t="s">
        <v>246</v>
      </c>
      <c r="W110" s="6" t="s">
        <v>158</v>
      </c>
      <c r="X110" s="6" t="s">
        <v>257</v>
      </c>
      <c r="Y110" s="6" t="s">
        <v>162</v>
      </c>
      <c r="Z110" s="6" t="s">
        <v>165</v>
      </c>
      <c r="AA110" s="6" t="s">
        <v>2307</v>
      </c>
      <c r="AB110" s="6" t="s">
        <v>171</v>
      </c>
      <c r="AC110" s="6" t="s">
        <v>174</v>
      </c>
      <c r="AD110" s="6" t="s">
        <v>175</v>
      </c>
      <c r="AE110" s="6" t="s">
        <v>1211</v>
      </c>
      <c r="AF110" s="6" t="s">
        <v>181</v>
      </c>
      <c r="AG110" s="6" t="s">
        <v>182</v>
      </c>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row>
    <row r="111" ht="22.5" customHeight="1">
      <c r="A111" s="4">
        <v>46229.697129594904</v>
      </c>
      <c r="B111" s="5">
        <v>0.0</v>
      </c>
      <c r="C111" s="6" t="s">
        <v>114</v>
      </c>
      <c r="D111" s="6" t="s">
        <v>334</v>
      </c>
      <c r="E111" s="6" t="s">
        <v>335</v>
      </c>
      <c r="F111" s="6">
        <v>6.9070501029E10</v>
      </c>
      <c r="G111" s="6" t="s">
        <v>1470</v>
      </c>
      <c r="H111" s="7"/>
      <c r="I111" s="6" t="s">
        <v>3542</v>
      </c>
      <c r="J111" s="6" t="s">
        <v>3543</v>
      </c>
      <c r="K111" s="6" t="s">
        <v>3544</v>
      </c>
      <c r="L111" s="6" t="s">
        <v>3545</v>
      </c>
      <c r="M111" s="6" t="s">
        <v>3546</v>
      </c>
      <c r="N111" s="7"/>
      <c r="O111" s="6" t="s">
        <v>3547</v>
      </c>
      <c r="P111" s="6" t="s">
        <v>3548</v>
      </c>
      <c r="Q111" s="6" t="s">
        <v>3549</v>
      </c>
      <c r="R111" s="6" t="s">
        <v>246</v>
      </c>
      <c r="S111" s="6" t="s">
        <v>147</v>
      </c>
      <c r="T111" s="6" t="s">
        <v>250</v>
      </c>
      <c r="U111" s="6" t="s">
        <v>560</v>
      </c>
      <c r="V111" s="6" t="s">
        <v>246</v>
      </c>
      <c r="W111" s="6" t="s">
        <v>158</v>
      </c>
      <c r="X111" s="6" t="s">
        <v>257</v>
      </c>
      <c r="Y111" s="6" t="s">
        <v>162</v>
      </c>
      <c r="Z111" s="6" t="s">
        <v>165</v>
      </c>
      <c r="AA111" s="6" t="s">
        <v>262</v>
      </c>
      <c r="AB111" s="6" t="s">
        <v>521</v>
      </c>
      <c r="AC111" s="6" t="s">
        <v>174</v>
      </c>
      <c r="AD111" s="6" t="s">
        <v>175</v>
      </c>
      <c r="AE111" s="6" t="s">
        <v>271</v>
      </c>
      <c r="AF111" s="6" t="s">
        <v>181</v>
      </c>
      <c r="AG111" s="6" t="s">
        <v>182</v>
      </c>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row>
    <row r="112" ht="22.5" customHeight="1">
      <c r="A112" s="4">
        <v>46229.69713273148</v>
      </c>
      <c r="B112" s="5">
        <v>0.0</v>
      </c>
      <c r="C112" s="6" t="s">
        <v>114</v>
      </c>
      <c r="D112" s="6" t="s">
        <v>336</v>
      </c>
      <c r="E112" s="6" t="s">
        <v>337</v>
      </c>
      <c r="F112" s="6">
        <v>6.9070502804E10</v>
      </c>
      <c r="G112" s="6" t="s">
        <v>310</v>
      </c>
      <c r="H112" s="6" t="s">
        <v>3550</v>
      </c>
      <c r="I112" s="6" t="s">
        <v>3551</v>
      </c>
      <c r="J112" s="6" t="s">
        <v>3552</v>
      </c>
      <c r="K112" s="6" t="s">
        <v>3553</v>
      </c>
      <c r="L112" s="6" t="s">
        <v>3554</v>
      </c>
      <c r="M112" s="6" t="s">
        <v>3555</v>
      </c>
      <c r="N112" s="6" t="s">
        <v>3556</v>
      </c>
      <c r="O112" s="6" t="s">
        <v>3557</v>
      </c>
      <c r="P112" s="6" t="s">
        <v>3558</v>
      </c>
      <c r="Q112" s="6" t="s">
        <v>3559</v>
      </c>
      <c r="R112" s="6" t="s">
        <v>246</v>
      </c>
      <c r="S112" s="6" t="s">
        <v>147</v>
      </c>
      <c r="T112" s="6" t="s">
        <v>246</v>
      </c>
      <c r="U112" s="6" t="s">
        <v>560</v>
      </c>
      <c r="V112" s="6" t="s">
        <v>246</v>
      </c>
      <c r="W112" s="6" t="s">
        <v>158</v>
      </c>
      <c r="X112" s="6" t="s">
        <v>161</v>
      </c>
      <c r="Y112" s="6" t="s">
        <v>162</v>
      </c>
      <c r="Z112" s="6" t="s">
        <v>165</v>
      </c>
      <c r="AA112" s="6" t="s">
        <v>641</v>
      </c>
      <c r="AB112" s="6" t="s">
        <v>521</v>
      </c>
      <c r="AC112" s="6" t="s">
        <v>174</v>
      </c>
      <c r="AD112" s="6" t="s">
        <v>635</v>
      </c>
      <c r="AE112" s="6" t="s">
        <v>178</v>
      </c>
      <c r="AF112" s="6" t="s">
        <v>181</v>
      </c>
      <c r="AG112" s="6" t="s">
        <v>182</v>
      </c>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row>
    <row r="113" ht="22.5" customHeight="1">
      <c r="A113" s="4">
        <v>46229.69713753472</v>
      </c>
      <c r="B113" s="5">
        <v>0.0</v>
      </c>
      <c r="C113" s="6" t="s">
        <v>114</v>
      </c>
      <c r="D113" s="6" t="s">
        <v>338</v>
      </c>
      <c r="E113" s="6" t="s">
        <v>339</v>
      </c>
      <c r="F113" s="6">
        <v>6.9070502815E10</v>
      </c>
      <c r="G113" s="6" t="s">
        <v>310</v>
      </c>
      <c r="H113" s="6" t="s">
        <v>3560</v>
      </c>
      <c r="I113" s="6" t="s">
        <v>3561</v>
      </c>
      <c r="J113" s="6" t="s">
        <v>3562</v>
      </c>
      <c r="K113" s="6" t="s">
        <v>3563</v>
      </c>
      <c r="L113" s="6" t="s">
        <v>3564</v>
      </c>
      <c r="M113" s="6" t="s">
        <v>3565</v>
      </c>
      <c r="N113" s="7"/>
      <c r="O113" s="6" t="s">
        <v>3566</v>
      </c>
      <c r="P113" s="6" t="s">
        <v>3567</v>
      </c>
      <c r="Q113" s="6" t="s">
        <v>3568</v>
      </c>
      <c r="R113" s="6" t="s">
        <v>246</v>
      </c>
      <c r="S113" s="6" t="s">
        <v>147</v>
      </c>
      <c r="T113" s="6" t="s">
        <v>250</v>
      </c>
      <c r="U113" s="6" t="s">
        <v>252</v>
      </c>
      <c r="V113" s="6" t="s">
        <v>246</v>
      </c>
      <c r="W113" s="6" t="s">
        <v>158</v>
      </c>
      <c r="X113" s="6" t="s">
        <v>161</v>
      </c>
      <c r="Y113" s="6" t="s">
        <v>162</v>
      </c>
      <c r="Z113" s="6" t="s">
        <v>165</v>
      </c>
      <c r="AA113" s="6" t="s">
        <v>262</v>
      </c>
      <c r="AB113" s="6" t="s">
        <v>521</v>
      </c>
      <c r="AC113" s="6" t="s">
        <v>174</v>
      </c>
      <c r="AD113" s="6" t="s">
        <v>175</v>
      </c>
      <c r="AE113" s="6" t="s">
        <v>271</v>
      </c>
      <c r="AF113" s="6" t="s">
        <v>811</v>
      </c>
      <c r="AG113" s="6" t="s">
        <v>182</v>
      </c>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row>
    <row r="114" ht="22.5" customHeight="1">
      <c r="A114" s="4">
        <v>46229.697143495374</v>
      </c>
      <c r="B114" s="5">
        <v>0.0</v>
      </c>
      <c r="C114" s="6" t="s">
        <v>114</v>
      </c>
      <c r="D114" s="6" t="s">
        <v>340</v>
      </c>
      <c r="E114" s="6" t="s">
        <v>341</v>
      </c>
      <c r="F114" s="6">
        <v>6.9070500479E10</v>
      </c>
      <c r="G114" s="6" t="s">
        <v>310</v>
      </c>
      <c r="H114" s="7"/>
      <c r="I114" s="6" t="s">
        <v>3569</v>
      </c>
      <c r="J114" s="6" t="s">
        <v>3570</v>
      </c>
      <c r="K114" s="6" t="s">
        <v>3571</v>
      </c>
      <c r="L114" s="6" t="s">
        <v>3572</v>
      </c>
      <c r="M114" s="6" t="s">
        <v>3573</v>
      </c>
      <c r="N114" s="7"/>
      <c r="O114" s="6" t="s">
        <v>3574</v>
      </c>
      <c r="P114" s="6" t="s">
        <v>3575</v>
      </c>
      <c r="Q114" s="6" t="s">
        <v>3576</v>
      </c>
      <c r="R114" s="6" t="s">
        <v>246</v>
      </c>
      <c r="S114" s="6" t="s">
        <v>147</v>
      </c>
      <c r="T114" s="6" t="s">
        <v>250</v>
      </c>
      <c r="U114" s="6" t="s">
        <v>152</v>
      </c>
      <c r="V114" s="6" t="s">
        <v>246</v>
      </c>
      <c r="W114" s="6" t="s">
        <v>158</v>
      </c>
      <c r="X114" s="6" t="s">
        <v>458</v>
      </c>
      <c r="Y114" s="6" t="s">
        <v>162</v>
      </c>
      <c r="Z114" s="6" t="s">
        <v>165</v>
      </c>
      <c r="AA114" s="6" t="s">
        <v>262</v>
      </c>
      <c r="AB114" s="6" t="s">
        <v>521</v>
      </c>
      <c r="AC114" s="6" t="s">
        <v>174</v>
      </c>
      <c r="AD114" s="6" t="s">
        <v>635</v>
      </c>
      <c r="AE114" s="6" t="s">
        <v>178</v>
      </c>
      <c r="AF114" s="6" t="s">
        <v>181</v>
      </c>
      <c r="AG114" s="6" t="s">
        <v>182</v>
      </c>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row>
    <row r="115" ht="22.5" customHeight="1">
      <c r="A115" s="4">
        <v>46229.69714667824</v>
      </c>
      <c r="B115" s="5">
        <v>0.0</v>
      </c>
      <c r="C115" s="6" t="s">
        <v>114</v>
      </c>
      <c r="D115" s="6" t="s">
        <v>342</v>
      </c>
      <c r="E115" s="6" t="s">
        <v>343</v>
      </c>
      <c r="F115" s="6">
        <v>6.9070508239E10</v>
      </c>
      <c r="G115" s="6" t="s">
        <v>730</v>
      </c>
      <c r="H115" s="7"/>
      <c r="I115" s="6" t="s">
        <v>3577</v>
      </c>
      <c r="J115" s="6" t="s">
        <v>3578</v>
      </c>
      <c r="K115" s="6" t="s">
        <v>3579</v>
      </c>
      <c r="L115" s="6" t="s">
        <v>3580</v>
      </c>
      <c r="M115" s="6" t="s">
        <v>3581</v>
      </c>
      <c r="N115" s="7"/>
      <c r="O115" s="6" t="s">
        <v>3582</v>
      </c>
      <c r="P115" s="6" t="s">
        <v>3583</v>
      </c>
      <c r="Q115" s="6" t="s">
        <v>3584</v>
      </c>
      <c r="R115" s="6" t="s">
        <v>246</v>
      </c>
      <c r="S115" s="6" t="s">
        <v>147</v>
      </c>
      <c r="T115" s="6" t="s">
        <v>149</v>
      </c>
      <c r="U115" s="6" t="s">
        <v>252</v>
      </c>
      <c r="V115" s="6" t="s">
        <v>246</v>
      </c>
      <c r="W115" s="6" t="s">
        <v>158</v>
      </c>
      <c r="X115" s="6" t="s">
        <v>161</v>
      </c>
      <c r="Y115" s="6" t="s">
        <v>162</v>
      </c>
      <c r="Z115" s="6" t="s">
        <v>165</v>
      </c>
      <c r="AA115" s="6" t="s">
        <v>262</v>
      </c>
      <c r="AB115" s="6" t="s">
        <v>171</v>
      </c>
      <c r="AC115" s="6" t="s">
        <v>1669</v>
      </c>
      <c r="AD115" s="6" t="s">
        <v>175</v>
      </c>
      <c r="AE115" s="6" t="s">
        <v>271</v>
      </c>
      <c r="AF115" s="6" t="s">
        <v>181</v>
      </c>
      <c r="AG115" s="6" t="s">
        <v>182</v>
      </c>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row>
    <row r="116" ht="22.5" customHeight="1">
      <c r="A116" s="4">
        <v>46229.69714912037</v>
      </c>
      <c r="B116" s="5">
        <v>0.0</v>
      </c>
      <c r="C116" s="6" t="s">
        <v>114</v>
      </c>
      <c r="D116" s="6" t="s">
        <v>344</v>
      </c>
      <c r="E116" s="6" t="s">
        <v>345</v>
      </c>
      <c r="F116" s="6">
        <v>6.9070500283E10</v>
      </c>
      <c r="G116" s="6" t="s">
        <v>599</v>
      </c>
      <c r="H116" s="7"/>
      <c r="I116" s="6" t="s">
        <v>3585</v>
      </c>
      <c r="J116" s="6" t="s">
        <v>3586</v>
      </c>
      <c r="K116" s="6" t="s">
        <v>3169</v>
      </c>
      <c r="L116" s="6" t="s">
        <v>3587</v>
      </c>
      <c r="M116" s="6" t="s">
        <v>3588</v>
      </c>
      <c r="N116" s="7"/>
      <c r="O116" s="6" t="s">
        <v>3589</v>
      </c>
      <c r="P116" s="6" t="s">
        <v>3590</v>
      </c>
      <c r="Q116" s="6" t="s">
        <v>3591</v>
      </c>
      <c r="R116" s="6" t="s">
        <v>246</v>
      </c>
      <c r="S116" s="6" t="s">
        <v>147</v>
      </c>
      <c r="T116" s="6" t="s">
        <v>250</v>
      </c>
      <c r="U116" s="6" t="s">
        <v>252</v>
      </c>
      <c r="V116" s="6" t="s">
        <v>246</v>
      </c>
      <c r="W116" s="6" t="s">
        <v>158</v>
      </c>
      <c r="X116" s="6" t="s">
        <v>257</v>
      </c>
      <c r="Y116" s="6" t="s">
        <v>162</v>
      </c>
      <c r="Z116" s="6" t="s">
        <v>165</v>
      </c>
      <c r="AA116" s="6" t="s">
        <v>262</v>
      </c>
      <c r="AB116" s="6" t="s">
        <v>171</v>
      </c>
      <c r="AC116" s="6" t="s">
        <v>174</v>
      </c>
      <c r="AD116" s="6" t="s">
        <v>1723</v>
      </c>
      <c r="AE116" s="6" t="s">
        <v>271</v>
      </c>
      <c r="AF116" s="6" t="s">
        <v>181</v>
      </c>
      <c r="AG116" s="6" t="s">
        <v>182</v>
      </c>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row>
    <row r="117" ht="22.5" customHeight="1">
      <c r="A117" s="4">
        <v>46229.69715365741</v>
      </c>
      <c r="B117" s="5">
        <v>0.0</v>
      </c>
      <c r="C117" s="6" t="s">
        <v>114</v>
      </c>
      <c r="D117" s="6" t="s">
        <v>346</v>
      </c>
      <c r="E117" s="6" t="s">
        <v>347</v>
      </c>
      <c r="F117" s="6">
        <v>6.9070506458E10</v>
      </c>
      <c r="G117" s="6" t="s">
        <v>599</v>
      </c>
      <c r="H117" s="7"/>
      <c r="I117" s="6" t="s">
        <v>3592</v>
      </c>
      <c r="J117" s="6" t="s">
        <v>3593</v>
      </c>
      <c r="K117" s="6" t="s">
        <v>3594</v>
      </c>
      <c r="L117" s="6" t="s">
        <v>3595</v>
      </c>
      <c r="M117" s="6" t="s">
        <v>3596</v>
      </c>
      <c r="N117" s="7"/>
      <c r="O117" s="6" t="s">
        <v>3597</v>
      </c>
      <c r="P117" s="6" t="s">
        <v>3598</v>
      </c>
      <c r="Q117" s="6" t="s">
        <v>3599</v>
      </c>
      <c r="R117" s="6" t="s">
        <v>246</v>
      </c>
      <c r="S117" s="6" t="s">
        <v>147</v>
      </c>
      <c r="T117" s="6" t="s">
        <v>246</v>
      </c>
      <c r="U117" s="6" t="s">
        <v>252</v>
      </c>
      <c r="V117" s="6" t="s">
        <v>155</v>
      </c>
      <c r="W117" s="6" t="s">
        <v>158</v>
      </c>
      <c r="X117" s="6" t="s">
        <v>257</v>
      </c>
      <c r="Y117" s="6" t="s">
        <v>162</v>
      </c>
      <c r="Z117" s="6" t="s">
        <v>165</v>
      </c>
      <c r="AA117" s="6" t="s">
        <v>262</v>
      </c>
      <c r="AB117" s="6" t="s">
        <v>521</v>
      </c>
      <c r="AC117" s="6" t="s">
        <v>174</v>
      </c>
      <c r="AD117" s="6" t="s">
        <v>175</v>
      </c>
      <c r="AE117" s="6" t="s">
        <v>524</v>
      </c>
      <c r="AF117" s="6" t="s">
        <v>181</v>
      </c>
      <c r="AG117" s="6" t="s">
        <v>182</v>
      </c>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row>
    <row r="118" ht="22.5" customHeight="1">
      <c r="A118" s="4">
        <v>46229.69716358796</v>
      </c>
      <c r="B118" s="5">
        <v>0.0</v>
      </c>
      <c r="C118" s="6" t="s">
        <v>114</v>
      </c>
      <c r="D118" s="6" t="s">
        <v>348</v>
      </c>
      <c r="E118" s="6" t="s">
        <v>349</v>
      </c>
      <c r="F118" s="6">
        <v>6.9070502813E10</v>
      </c>
      <c r="G118" s="6" t="s">
        <v>310</v>
      </c>
      <c r="H118" s="6" t="s">
        <v>3600</v>
      </c>
      <c r="I118" s="6" t="s">
        <v>3601</v>
      </c>
      <c r="J118" s="6" t="s">
        <v>3602</v>
      </c>
      <c r="K118" s="6" t="s">
        <v>3603</v>
      </c>
      <c r="L118" s="6" t="s">
        <v>3604</v>
      </c>
      <c r="M118" s="6" t="s">
        <v>3605</v>
      </c>
      <c r="N118" s="7"/>
      <c r="O118" s="6" t="s">
        <v>3606</v>
      </c>
      <c r="P118" s="6" t="s">
        <v>3607</v>
      </c>
      <c r="Q118" s="6" t="s">
        <v>3608</v>
      </c>
      <c r="R118" s="6" t="s">
        <v>257</v>
      </c>
      <c r="S118" s="6" t="s">
        <v>147</v>
      </c>
      <c r="T118" s="6" t="s">
        <v>250</v>
      </c>
      <c r="U118" s="6" t="s">
        <v>252</v>
      </c>
      <c r="V118" s="6" t="s">
        <v>246</v>
      </c>
      <c r="W118" s="6" t="s">
        <v>158</v>
      </c>
      <c r="X118" s="6" t="s">
        <v>458</v>
      </c>
      <c r="Y118" s="6" t="s">
        <v>162</v>
      </c>
      <c r="Z118" s="6" t="s">
        <v>165</v>
      </c>
      <c r="AA118" s="6" t="s">
        <v>262</v>
      </c>
      <c r="AB118" s="6" t="s">
        <v>171</v>
      </c>
      <c r="AC118" s="6" t="s">
        <v>1669</v>
      </c>
      <c r="AD118" s="6" t="s">
        <v>175</v>
      </c>
      <c r="AE118" s="6" t="s">
        <v>1211</v>
      </c>
      <c r="AF118" s="6" t="s">
        <v>181</v>
      </c>
      <c r="AG118" s="6" t="s">
        <v>182</v>
      </c>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row>
    <row r="119" ht="22.5" customHeight="1">
      <c r="A119" s="4">
        <v>46229.697196863424</v>
      </c>
      <c r="B119" s="5">
        <v>0.0</v>
      </c>
      <c r="C119" s="6" t="s">
        <v>114</v>
      </c>
      <c r="D119" s="6" t="s">
        <v>350</v>
      </c>
      <c r="E119" s="6" t="s">
        <v>351</v>
      </c>
      <c r="F119" s="6">
        <v>6.9070502832E10</v>
      </c>
      <c r="G119" s="6" t="s">
        <v>310</v>
      </c>
      <c r="H119" s="7"/>
      <c r="I119" s="6" t="s">
        <v>3609</v>
      </c>
      <c r="J119" s="6" t="s">
        <v>3610</v>
      </c>
      <c r="K119" s="6" t="s">
        <v>3611</v>
      </c>
      <c r="L119" s="6" t="s">
        <v>3612</v>
      </c>
      <c r="M119" s="6" t="s">
        <v>1643</v>
      </c>
      <c r="N119" s="6" t="s">
        <v>3613</v>
      </c>
      <c r="O119" s="6" t="s">
        <v>3614</v>
      </c>
      <c r="P119" s="6" t="s">
        <v>3615</v>
      </c>
      <c r="Q119" s="6" t="s">
        <v>3616</v>
      </c>
      <c r="R119" s="6" t="s">
        <v>257</v>
      </c>
      <c r="S119" s="6" t="s">
        <v>147</v>
      </c>
      <c r="T119" s="6" t="s">
        <v>246</v>
      </c>
      <c r="U119" s="6" t="s">
        <v>252</v>
      </c>
      <c r="V119" s="6" t="s">
        <v>246</v>
      </c>
      <c r="W119" s="6" t="s">
        <v>158</v>
      </c>
      <c r="X119" s="6" t="s">
        <v>161</v>
      </c>
      <c r="Y119" s="6" t="s">
        <v>162</v>
      </c>
      <c r="Z119" s="6" t="s">
        <v>165</v>
      </c>
      <c r="AA119" s="6" t="s">
        <v>168</v>
      </c>
      <c r="AB119" s="6" t="s">
        <v>521</v>
      </c>
      <c r="AC119" s="6" t="s">
        <v>1669</v>
      </c>
      <c r="AD119" s="6" t="s">
        <v>175</v>
      </c>
      <c r="AE119" s="6" t="s">
        <v>271</v>
      </c>
      <c r="AF119" s="6" t="s">
        <v>174</v>
      </c>
      <c r="AG119" s="6" t="s">
        <v>182</v>
      </c>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row>
    <row r="120" ht="22.5" customHeight="1">
      <c r="A120" s="4">
        <v>46229.697197037036</v>
      </c>
      <c r="B120" s="5">
        <v>0.0</v>
      </c>
      <c r="C120" s="6" t="s">
        <v>114</v>
      </c>
      <c r="D120" s="6" t="s">
        <v>352</v>
      </c>
      <c r="E120" s="6" t="s">
        <v>353</v>
      </c>
      <c r="F120" s="6">
        <v>6.907050089E10</v>
      </c>
      <c r="G120" s="6" t="s">
        <v>496</v>
      </c>
      <c r="H120" s="7"/>
      <c r="I120" s="6" t="s">
        <v>3617</v>
      </c>
      <c r="J120" s="6" t="s">
        <v>3618</v>
      </c>
      <c r="K120" s="6" t="s">
        <v>3619</v>
      </c>
      <c r="L120" s="6" t="s">
        <v>3620</v>
      </c>
      <c r="M120" s="6" t="s">
        <v>3621</v>
      </c>
      <c r="N120" s="7"/>
      <c r="O120" s="6" t="s">
        <v>3622</v>
      </c>
      <c r="P120" s="6" t="s">
        <v>3623</v>
      </c>
      <c r="Q120" s="6" t="s">
        <v>3624</v>
      </c>
      <c r="R120" s="6" t="s">
        <v>246</v>
      </c>
      <c r="S120" s="6" t="s">
        <v>147</v>
      </c>
      <c r="T120" s="6" t="s">
        <v>250</v>
      </c>
      <c r="U120" s="6" t="s">
        <v>686</v>
      </c>
      <c r="V120" s="6" t="s">
        <v>246</v>
      </c>
      <c r="W120" s="6" t="s">
        <v>158</v>
      </c>
      <c r="X120" s="6" t="s">
        <v>257</v>
      </c>
      <c r="Y120" s="6" t="s">
        <v>162</v>
      </c>
      <c r="Z120" s="6" t="s">
        <v>165</v>
      </c>
      <c r="AA120" s="6" t="s">
        <v>262</v>
      </c>
      <c r="AB120" s="6" t="s">
        <v>171</v>
      </c>
      <c r="AC120" s="6" t="s">
        <v>633</v>
      </c>
      <c r="AD120" s="6" t="s">
        <v>175</v>
      </c>
      <c r="AE120" s="6" t="s">
        <v>271</v>
      </c>
      <c r="AF120" s="6" t="s">
        <v>181</v>
      </c>
      <c r="AG120" s="6" t="s">
        <v>182</v>
      </c>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row>
    <row r="121" ht="22.5" customHeight="1">
      <c r="A121" s="4">
        <v>46229.69722086805</v>
      </c>
      <c r="B121" s="5">
        <v>0.0</v>
      </c>
      <c r="C121" s="6" t="s">
        <v>114</v>
      </c>
      <c r="D121" s="6" t="s">
        <v>354</v>
      </c>
      <c r="E121" s="6" t="s">
        <v>355</v>
      </c>
      <c r="F121" s="6">
        <v>6.9070505208E10</v>
      </c>
      <c r="G121" s="6" t="s">
        <v>1470</v>
      </c>
      <c r="H121" s="6" t="s">
        <v>3625</v>
      </c>
      <c r="I121" s="6" t="s">
        <v>3626</v>
      </c>
      <c r="J121" s="6" t="s">
        <v>3627</v>
      </c>
      <c r="K121" s="6" t="s">
        <v>3628</v>
      </c>
      <c r="L121" s="6" t="s">
        <v>3629</v>
      </c>
      <c r="M121" s="6" t="s">
        <v>3630</v>
      </c>
      <c r="N121" s="6" t="s">
        <v>3631</v>
      </c>
      <c r="O121" s="6" t="s">
        <v>3632</v>
      </c>
      <c r="P121" s="6" t="s">
        <v>3633</v>
      </c>
      <c r="Q121" s="6" t="s">
        <v>3634</v>
      </c>
      <c r="R121" s="6" t="s">
        <v>861</v>
      </c>
      <c r="S121" s="6" t="s">
        <v>147</v>
      </c>
      <c r="T121" s="6" t="s">
        <v>246</v>
      </c>
      <c r="U121" s="6" t="s">
        <v>560</v>
      </c>
      <c r="V121" s="6" t="s">
        <v>155</v>
      </c>
      <c r="W121" s="6" t="s">
        <v>158</v>
      </c>
      <c r="X121" s="6" t="s">
        <v>458</v>
      </c>
      <c r="Y121" s="6" t="s">
        <v>162</v>
      </c>
      <c r="Z121" s="6" t="s">
        <v>629</v>
      </c>
      <c r="AA121" s="6" t="s">
        <v>641</v>
      </c>
      <c r="AB121" s="6" t="s">
        <v>171</v>
      </c>
      <c r="AC121" s="6" t="s">
        <v>174</v>
      </c>
      <c r="AD121" s="6" t="s">
        <v>635</v>
      </c>
      <c r="AE121" s="6" t="s">
        <v>271</v>
      </c>
      <c r="AF121" s="6" t="s">
        <v>181</v>
      </c>
      <c r="AG121" s="6" t="s">
        <v>182</v>
      </c>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row>
    <row r="122" ht="22.5" customHeight="1">
      <c r="A122" s="4">
        <v>46229.69724642361</v>
      </c>
      <c r="B122" s="5">
        <v>0.0</v>
      </c>
      <c r="C122" s="6" t="s">
        <v>114</v>
      </c>
      <c r="D122" s="6" t="s">
        <v>356</v>
      </c>
      <c r="E122" s="6" t="s">
        <v>357</v>
      </c>
      <c r="F122" s="6">
        <v>6.9070500275E10</v>
      </c>
      <c r="G122" s="6" t="s">
        <v>599</v>
      </c>
      <c r="H122" s="7"/>
      <c r="I122" s="6" t="s">
        <v>3635</v>
      </c>
      <c r="J122" s="6" t="s">
        <v>3636</v>
      </c>
      <c r="K122" s="6" t="s">
        <v>3637</v>
      </c>
      <c r="L122" s="6" t="s">
        <v>3638</v>
      </c>
      <c r="M122" s="6" t="s">
        <v>3639</v>
      </c>
      <c r="N122" s="7"/>
      <c r="O122" s="6" t="s">
        <v>3640</v>
      </c>
      <c r="P122" s="6" t="s">
        <v>3641</v>
      </c>
      <c r="Q122" s="6" t="s">
        <v>3642</v>
      </c>
      <c r="R122" s="6" t="s">
        <v>246</v>
      </c>
      <c r="S122" s="6" t="s">
        <v>147</v>
      </c>
      <c r="T122" s="6" t="s">
        <v>250</v>
      </c>
      <c r="U122" s="6" t="s">
        <v>152</v>
      </c>
      <c r="V122" s="6" t="s">
        <v>246</v>
      </c>
      <c r="W122" s="6" t="s">
        <v>158</v>
      </c>
      <c r="X122" s="6" t="s">
        <v>257</v>
      </c>
      <c r="Y122" s="6" t="s">
        <v>162</v>
      </c>
      <c r="Z122" s="6" t="s">
        <v>165</v>
      </c>
      <c r="AA122" s="6" t="s">
        <v>262</v>
      </c>
      <c r="AB122" s="6" t="s">
        <v>171</v>
      </c>
      <c r="AC122" s="6" t="s">
        <v>174</v>
      </c>
      <c r="AD122" s="6" t="s">
        <v>175</v>
      </c>
      <c r="AE122" s="6" t="s">
        <v>271</v>
      </c>
      <c r="AF122" s="6" t="s">
        <v>181</v>
      </c>
      <c r="AG122" s="6" t="s">
        <v>182</v>
      </c>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row>
    <row r="123" ht="22.5" customHeight="1">
      <c r="A123" s="4">
        <v>46229.69725778935</v>
      </c>
      <c r="B123" s="5">
        <v>0.0</v>
      </c>
      <c r="C123" s="6" t="s">
        <v>114</v>
      </c>
      <c r="D123" s="6" t="s">
        <v>358</v>
      </c>
      <c r="E123" s="6" t="s">
        <v>359</v>
      </c>
      <c r="F123" s="6">
        <v>6.9070502423E10</v>
      </c>
      <c r="G123" s="6" t="s">
        <v>122</v>
      </c>
      <c r="H123" s="6" t="s">
        <v>3643</v>
      </c>
      <c r="I123" s="6" t="s">
        <v>3644</v>
      </c>
      <c r="J123" s="6" t="s">
        <v>3644</v>
      </c>
      <c r="K123" s="6" t="s">
        <v>3644</v>
      </c>
      <c r="L123" s="6" t="s">
        <v>3644</v>
      </c>
      <c r="M123" s="6" t="s">
        <v>3644</v>
      </c>
      <c r="N123" s="6" t="s">
        <v>3644</v>
      </c>
      <c r="O123" s="6" t="s">
        <v>3645</v>
      </c>
      <c r="P123" s="6" t="s">
        <v>3646</v>
      </c>
      <c r="Q123" s="6" t="s">
        <v>3647</v>
      </c>
      <c r="R123" s="6" t="s">
        <v>861</v>
      </c>
      <c r="S123" s="6" t="s">
        <v>147</v>
      </c>
      <c r="T123" s="6" t="s">
        <v>250</v>
      </c>
      <c r="U123" s="6" t="s">
        <v>686</v>
      </c>
      <c r="V123" s="6" t="s">
        <v>246</v>
      </c>
      <c r="W123" s="6" t="s">
        <v>158</v>
      </c>
      <c r="X123" s="6" t="s">
        <v>257</v>
      </c>
      <c r="Y123" s="6" t="s">
        <v>162</v>
      </c>
      <c r="Z123" s="6" t="s">
        <v>165</v>
      </c>
      <c r="AA123" s="6" t="s">
        <v>262</v>
      </c>
      <c r="AB123" s="6" t="s">
        <v>171</v>
      </c>
      <c r="AC123" s="6" t="s">
        <v>174</v>
      </c>
      <c r="AD123" s="6" t="s">
        <v>1723</v>
      </c>
      <c r="AE123" s="6" t="s">
        <v>271</v>
      </c>
      <c r="AF123" s="6" t="s">
        <v>181</v>
      </c>
      <c r="AG123" s="6" t="s">
        <v>182</v>
      </c>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row>
    <row r="124" ht="22.5" customHeight="1">
      <c r="A124" s="4">
        <v>46229.697277141204</v>
      </c>
      <c r="B124" s="5">
        <v>0.0</v>
      </c>
      <c r="C124" s="6" t="s">
        <v>114</v>
      </c>
      <c r="D124" s="6" t="s">
        <v>360</v>
      </c>
      <c r="E124" s="6" t="s">
        <v>361</v>
      </c>
      <c r="F124" s="6">
        <v>6.9070500312E10</v>
      </c>
      <c r="G124" s="6" t="s">
        <v>599</v>
      </c>
      <c r="H124" s="7"/>
      <c r="I124" s="6" t="s">
        <v>3648</v>
      </c>
      <c r="J124" s="6" t="s">
        <v>3649</v>
      </c>
      <c r="K124" s="6" t="s">
        <v>3650</v>
      </c>
      <c r="L124" s="6" t="s">
        <v>3651</v>
      </c>
      <c r="M124" s="6" t="s">
        <v>3652</v>
      </c>
      <c r="N124" s="6" t="s">
        <v>3653</v>
      </c>
      <c r="O124" s="6" t="s">
        <v>3654</v>
      </c>
      <c r="P124" s="6" t="s">
        <v>3655</v>
      </c>
      <c r="Q124" s="6" t="s">
        <v>3656</v>
      </c>
      <c r="R124" s="6" t="s">
        <v>246</v>
      </c>
      <c r="S124" s="6" t="s">
        <v>147</v>
      </c>
      <c r="T124" s="6" t="s">
        <v>250</v>
      </c>
      <c r="U124" s="6" t="s">
        <v>252</v>
      </c>
      <c r="V124" s="6" t="s">
        <v>246</v>
      </c>
      <c r="W124" s="6" t="s">
        <v>158</v>
      </c>
      <c r="X124" s="6" t="s">
        <v>257</v>
      </c>
      <c r="Y124" s="6" t="s">
        <v>162</v>
      </c>
      <c r="Z124" s="6" t="s">
        <v>165</v>
      </c>
      <c r="AA124" s="6" t="s">
        <v>262</v>
      </c>
      <c r="AB124" s="6" t="s">
        <v>171</v>
      </c>
      <c r="AC124" s="6" t="s">
        <v>174</v>
      </c>
      <c r="AD124" s="6" t="s">
        <v>175</v>
      </c>
      <c r="AE124" s="6" t="s">
        <v>178</v>
      </c>
      <c r="AF124" s="6" t="s">
        <v>181</v>
      </c>
      <c r="AG124" s="6" t="s">
        <v>182</v>
      </c>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row>
    <row r="125" ht="22.5" customHeight="1">
      <c r="A125" s="4">
        <v>46229.69730034722</v>
      </c>
      <c r="B125" s="5">
        <v>0.0</v>
      </c>
      <c r="C125" s="6" t="s">
        <v>114</v>
      </c>
      <c r="D125" s="6" t="s">
        <v>362</v>
      </c>
      <c r="E125" s="6" t="s">
        <v>363</v>
      </c>
      <c r="F125" s="6">
        <v>6.9070500294E10</v>
      </c>
      <c r="G125" s="6" t="s">
        <v>599</v>
      </c>
      <c r="H125" s="7"/>
      <c r="I125" s="6" t="s">
        <v>3588</v>
      </c>
      <c r="J125" s="6" t="s">
        <v>3657</v>
      </c>
      <c r="K125" s="6" t="s">
        <v>3161</v>
      </c>
      <c r="L125" s="6" t="s">
        <v>3658</v>
      </c>
      <c r="M125" s="6" t="s">
        <v>3659</v>
      </c>
      <c r="N125" s="7"/>
      <c r="O125" s="6" t="s">
        <v>3660</v>
      </c>
      <c r="P125" s="6" t="s">
        <v>3661</v>
      </c>
      <c r="Q125" s="6" t="s">
        <v>3662</v>
      </c>
      <c r="R125" s="6" t="s">
        <v>246</v>
      </c>
      <c r="S125" s="6" t="s">
        <v>147</v>
      </c>
      <c r="T125" s="6" t="s">
        <v>250</v>
      </c>
      <c r="U125" s="6" t="s">
        <v>686</v>
      </c>
      <c r="V125" s="6" t="s">
        <v>246</v>
      </c>
      <c r="W125" s="6" t="s">
        <v>158</v>
      </c>
      <c r="X125" s="6" t="s">
        <v>257</v>
      </c>
      <c r="Y125" s="6" t="s">
        <v>162</v>
      </c>
      <c r="Z125" s="6" t="s">
        <v>165</v>
      </c>
      <c r="AA125" s="6" t="s">
        <v>262</v>
      </c>
      <c r="AB125" s="6" t="s">
        <v>171</v>
      </c>
      <c r="AC125" s="6" t="s">
        <v>174</v>
      </c>
      <c r="AD125" s="6" t="s">
        <v>175</v>
      </c>
      <c r="AE125" s="6" t="s">
        <v>271</v>
      </c>
      <c r="AF125" s="6" t="s">
        <v>181</v>
      </c>
      <c r="AG125" s="6" t="s">
        <v>182</v>
      </c>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row>
    <row r="126" ht="22.5" customHeight="1">
      <c r="A126" s="4">
        <v>46229.69732309028</v>
      </c>
      <c r="B126" s="5">
        <v>0.0</v>
      </c>
      <c r="C126" s="6" t="s">
        <v>114</v>
      </c>
      <c r="D126" s="6" t="s">
        <v>364</v>
      </c>
      <c r="E126" s="6" t="s">
        <v>365</v>
      </c>
      <c r="F126" s="6">
        <v>6.9070502802E10</v>
      </c>
      <c r="G126" s="6" t="s">
        <v>310</v>
      </c>
      <c r="H126" s="6" t="s">
        <v>3663</v>
      </c>
      <c r="I126" s="6" t="s">
        <v>3664</v>
      </c>
      <c r="J126" s="6" t="s">
        <v>3665</v>
      </c>
      <c r="K126" s="6" t="s">
        <v>3666</v>
      </c>
      <c r="L126" s="6" t="s">
        <v>3667</v>
      </c>
      <c r="M126" s="6" t="s">
        <v>3668</v>
      </c>
      <c r="N126" s="7"/>
      <c r="O126" s="6" t="s">
        <v>3669</v>
      </c>
      <c r="P126" s="6" t="s">
        <v>3670</v>
      </c>
      <c r="Q126" s="6" t="s">
        <v>3671</v>
      </c>
      <c r="R126" s="6" t="s">
        <v>246</v>
      </c>
      <c r="S126" s="6" t="s">
        <v>147</v>
      </c>
      <c r="T126" s="6" t="s">
        <v>246</v>
      </c>
      <c r="U126" s="6" t="s">
        <v>152</v>
      </c>
      <c r="V126" s="6" t="s">
        <v>246</v>
      </c>
      <c r="W126" s="6" t="s">
        <v>158</v>
      </c>
      <c r="X126" s="6" t="s">
        <v>257</v>
      </c>
      <c r="Y126" s="6" t="s">
        <v>1205</v>
      </c>
      <c r="Z126" s="6" t="s">
        <v>152</v>
      </c>
      <c r="AA126" s="6" t="s">
        <v>262</v>
      </c>
      <c r="AB126" s="6" t="s">
        <v>521</v>
      </c>
      <c r="AC126" s="6" t="s">
        <v>174</v>
      </c>
      <c r="AD126" s="6" t="s">
        <v>175</v>
      </c>
      <c r="AE126" s="6" t="s">
        <v>271</v>
      </c>
      <c r="AF126" s="6" t="s">
        <v>811</v>
      </c>
      <c r="AG126" s="6" t="s">
        <v>1213</v>
      </c>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row>
    <row r="127" ht="22.5" customHeight="1">
      <c r="A127" s="4">
        <v>46229.697326354166</v>
      </c>
      <c r="B127" s="5">
        <v>0.0</v>
      </c>
      <c r="C127" s="6" t="s">
        <v>114</v>
      </c>
      <c r="D127" s="6" t="s">
        <v>366</v>
      </c>
      <c r="E127" s="6" t="s">
        <v>367</v>
      </c>
      <c r="F127" s="6">
        <v>6.9070501812E10</v>
      </c>
      <c r="G127" s="6" t="s">
        <v>730</v>
      </c>
      <c r="H127" s="7"/>
      <c r="I127" s="6" t="s">
        <v>3672</v>
      </c>
      <c r="J127" s="6" t="s">
        <v>3673</v>
      </c>
      <c r="K127" s="6" t="s">
        <v>3674</v>
      </c>
      <c r="L127" s="6" t="s">
        <v>3675</v>
      </c>
      <c r="M127" s="6" t="s">
        <v>3676</v>
      </c>
      <c r="N127" s="6" t="s">
        <v>3677</v>
      </c>
      <c r="O127" s="6" t="s">
        <v>3678</v>
      </c>
      <c r="P127" s="6" t="s">
        <v>3679</v>
      </c>
      <c r="Q127" s="6" t="s">
        <v>3680</v>
      </c>
      <c r="R127" s="6" t="s">
        <v>246</v>
      </c>
      <c r="S127" s="6" t="s">
        <v>147</v>
      </c>
      <c r="T127" s="6" t="s">
        <v>250</v>
      </c>
      <c r="U127" s="6" t="s">
        <v>152</v>
      </c>
      <c r="V127" s="6" t="s">
        <v>246</v>
      </c>
      <c r="W127" s="6" t="s">
        <v>158</v>
      </c>
      <c r="X127" s="6" t="s">
        <v>257</v>
      </c>
      <c r="Y127" s="6" t="s">
        <v>162</v>
      </c>
      <c r="Z127" s="6" t="s">
        <v>165</v>
      </c>
      <c r="AA127" s="6" t="s">
        <v>262</v>
      </c>
      <c r="AB127" s="6" t="s">
        <v>521</v>
      </c>
      <c r="AC127" s="6" t="s">
        <v>174</v>
      </c>
      <c r="AD127" s="6" t="s">
        <v>175</v>
      </c>
      <c r="AE127" s="6" t="s">
        <v>271</v>
      </c>
      <c r="AF127" s="6" t="s">
        <v>181</v>
      </c>
      <c r="AG127" s="6" t="s">
        <v>182</v>
      </c>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row>
    <row r="128" ht="22.5" customHeight="1">
      <c r="A128" s="4">
        <v>46229.697328888884</v>
      </c>
      <c r="B128" s="5">
        <v>0.0</v>
      </c>
      <c r="C128" s="6" t="s">
        <v>114</v>
      </c>
      <c r="D128" s="6" t="s">
        <v>368</v>
      </c>
      <c r="E128" s="6" t="s">
        <v>369</v>
      </c>
      <c r="F128" s="6">
        <v>6.9070502413E10</v>
      </c>
      <c r="G128" s="6" t="s">
        <v>122</v>
      </c>
      <c r="H128" s="6" t="s">
        <v>2633</v>
      </c>
      <c r="I128" s="6" t="s">
        <v>3681</v>
      </c>
      <c r="J128" s="6" t="s">
        <v>3682</v>
      </c>
      <c r="K128" s="6" t="s">
        <v>3683</v>
      </c>
      <c r="L128" s="6" t="s">
        <v>3684</v>
      </c>
      <c r="M128" s="6" t="s">
        <v>3685</v>
      </c>
      <c r="N128" s="6" t="s">
        <v>3686</v>
      </c>
      <c r="O128" s="6" t="s">
        <v>3687</v>
      </c>
      <c r="P128" s="6" t="s">
        <v>3688</v>
      </c>
      <c r="Q128" s="6" t="s">
        <v>3689</v>
      </c>
      <c r="R128" s="6" t="s">
        <v>246</v>
      </c>
      <c r="S128" s="6" t="s">
        <v>147</v>
      </c>
      <c r="T128" s="6" t="s">
        <v>250</v>
      </c>
      <c r="U128" s="6" t="s">
        <v>252</v>
      </c>
      <c r="V128" s="6" t="s">
        <v>246</v>
      </c>
      <c r="W128" s="6" t="s">
        <v>158</v>
      </c>
      <c r="X128" s="6" t="s">
        <v>246</v>
      </c>
      <c r="Y128" s="6" t="s">
        <v>162</v>
      </c>
      <c r="Z128" s="6" t="s">
        <v>165</v>
      </c>
      <c r="AA128" s="6" t="s">
        <v>262</v>
      </c>
      <c r="AB128" s="6" t="s">
        <v>171</v>
      </c>
      <c r="AC128" s="6" t="s">
        <v>174</v>
      </c>
      <c r="AD128" s="6" t="s">
        <v>175</v>
      </c>
      <c r="AE128" s="6" t="s">
        <v>271</v>
      </c>
      <c r="AF128" s="6" t="s">
        <v>181</v>
      </c>
      <c r="AG128" s="6" t="s">
        <v>182</v>
      </c>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row>
    <row r="129" ht="22.5" customHeight="1">
      <c r="A129" s="4">
        <v>46229.697342314816</v>
      </c>
      <c r="B129" s="5">
        <v>0.0</v>
      </c>
      <c r="C129" s="6" t="s">
        <v>114</v>
      </c>
      <c r="D129" s="6" t="s">
        <v>370</v>
      </c>
      <c r="E129" s="6" t="s">
        <v>371</v>
      </c>
      <c r="F129" s="6">
        <v>6.9070501065E10</v>
      </c>
      <c r="G129" s="6" t="s">
        <v>1470</v>
      </c>
      <c r="H129" s="7"/>
      <c r="I129" s="6" t="s">
        <v>3690</v>
      </c>
      <c r="J129" s="6" t="s">
        <v>3691</v>
      </c>
      <c r="K129" s="6" t="s">
        <v>3692</v>
      </c>
      <c r="L129" s="6" t="s">
        <v>3693</v>
      </c>
      <c r="M129" s="6" t="s">
        <v>3694</v>
      </c>
      <c r="N129" s="7"/>
      <c r="O129" s="6" t="s">
        <v>3695</v>
      </c>
      <c r="P129" s="6" t="s">
        <v>3696</v>
      </c>
      <c r="Q129" s="6" t="s">
        <v>3697</v>
      </c>
      <c r="R129" s="6" t="s">
        <v>246</v>
      </c>
      <c r="S129" s="6" t="s">
        <v>147</v>
      </c>
      <c r="T129" s="6" t="s">
        <v>250</v>
      </c>
      <c r="U129" s="6" t="s">
        <v>252</v>
      </c>
      <c r="V129" s="6" t="s">
        <v>246</v>
      </c>
      <c r="W129" s="6" t="s">
        <v>158</v>
      </c>
      <c r="X129" s="6" t="s">
        <v>257</v>
      </c>
      <c r="Y129" s="6" t="s">
        <v>162</v>
      </c>
      <c r="Z129" s="6" t="s">
        <v>165</v>
      </c>
      <c r="AA129" s="6" t="s">
        <v>262</v>
      </c>
      <c r="AB129" s="6" t="s">
        <v>521</v>
      </c>
      <c r="AC129" s="6" t="s">
        <v>174</v>
      </c>
      <c r="AD129" s="6" t="s">
        <v>175</v>
      </c>
      <c r="AE129" s="6" t="s">
        <v>271</v>
      </c>
      <c r="AF129" s="6" t="s">
        <v>181</v>
      </c>
      <c r="AG129" s="6" t="s">
        <v>182</v>
      </c>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row>
    <row r="130" ht="22.5" customHeight="1">
      <c r="A130" s="4">
        <v>46229.69734675926</v>
      </c>
      <c r="B130" s="5">
        <v>0.0</v>
      </c>
      <c r="C130" s="6" t="s">
        <v>114</v>
      </c>
      <c r="D130" s="6" t="s">
        <v>372</v>
      </c>
      <c r="E130" s="6" t="s">
        <v>373</v>
      </c>
      <c r="F130" s="6">
        <v>6.9070502823E10</v>
      </c>
      <c r="G130" s="6" t="s">
        <v>310</v>
      </c>
      <c r="H130" s="7"/>
      <c r="I130" s="6" t="s">
        <v>3698</v>
      </c>
      <c r="J130" s="6" t="s">
        <v>3699</v>
      </c>
      <c r="K130" s="6" t="s">
        <v>3700</v>
      </c>
      <c r="L130" s="6" t="s">
        <v>3701</v>
      </c>
      <c r="M130" s="6" t="s">
        <v>3702</v>
      </c>
      <c r="N130" s="7"/>
      <c r="O130" s="6" t="s">
        <v>3703</v>
      </c>
      <c r="P130" s="6" t="s">
        <v>3704</v>
      </c>
      <c r="Q130" s="6" t="s">
        <v>3705</v>
      </c>
      <c r="R130" s="6" t="s">
        <v>246</v>
      </c>
      <c r="S130" s="6" t="s">
        <v>147</v>
      </c>
      <c r="T130" s="6" t="s">
        <v>250</v>
      </c>
      <c r="U130" s="6" t="s">
        <v>252</v>
      </c>
      <c r="V130" s="6" t="s">
        <v>246</v>
      </c>
      <c r="W130" s="6" t="s">
        <v>158</v>
      </c>
      <c r="X130" s="6" t="s">
        <v>257</v>
      </c>
      <c r="Y130" s="6" t="s">
        <v>162</v>
      </c>
      <c r="Z130" s="6" t="s">
        <v>165</v>
      </c>
      <c r="AA130" s="6" t="s">
        <v>262</v>
      </c>
      <c r="AB130" s="6" t="s">
        <v>521</v>
      </c>
      <c r="AC130" s="6" t="s">
        <v>174</v>
      </c>
      <c r="AD130" s="6" t="s">
        <v>175</v>
      </c>
      <c r="AE130" s="6" t="s">
        <v>271</v>
      </c>
      <c r="AF130" s="6" t="s">
        <v>181</v>
      </c>
      <c r="AG130" s="6" t="s">
        <v>812</v>
      </c>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row>
    <row r="131" ht="22.5" customHeight="1">
      <c r="A131" s="4">
        <v>46229.697354930555</v>
      </c>
      <c r="B131" s="5">
        <v>0.0</v>
      </c>
      <c r="C131" s="6" t="s">
        <v>114</v>
      </c>
      <c r="D131" s="6" t="s">
        <v>374</v>
      </c>
      <c r="E131" s="6" t="s">
        <v>375</v>
      </c>
      <c r="F131" s="6">
        <v>6.9070500434E10</v>
      </c>
      <c r="G131" s="6" t="s">
        <v>310</v>
      </c>
      <c r="H131" s="7"/>
      <c r="I131" s="6" t="s">
        <v>3706</v>
      </c>
      <c r="J131" s="6" t="s">
        <v>3707</v>
      </c>
      <c r="K131" s="6" t="s">
        <v>3708</v>
      </c>
      <c r="L131" s="6" t="s">
        <v>3709</v>
      </c>
      <c r="M131" s="6" t="s">
        <v>3710</v>
      </c>
      <c r="N131" s="6" t="s">
        <v>3711</v>
      </c>
      <c r="O131" s="6" t="s">
        <v>3712</v>
      </c>
      <c r="P131" s="6" t="s">
        <v>3713</v>
      </c>
      <c r="Q131" s="6" t="s">
        <v>3714</v>
      </c>
      <c r="R131" s="6" t="s">
        <v>257</v>
      </c>
      <c r="S131" s="6" t="s">
        <v>147</v>
      </c>
      <c r="T131" s="6" t="s">
        <v>250</v>
      </c>
      <c r="U131" s="6" t="s">
        <v>252</v>
      </c>
      <c r="V131" s="6" t="s">
        <v>246</v>
      </c>
      <c r="W131" s="6" t="s">
        <v>158</v>
      </c>
      <c r="X131" s="6" t="s">
        <v>257</v>
      </c>
      <c r="Y131" s="6" t="s">
        <v>162</v>
      </c>
      <c r="Z131" s="6" t="s">
        <v>165</v>
      </c>
      <c r="AA131" s="6" t="s">
        <v>262</v>
      </c>
      <c r="AB131" s="6" t="s">
        <v>521</v>
      </c>
      <c r="AC131" s="6" t="s">
        <v>174</v>
      </c>
      <c r="AD131" s="6" t="s">
        <v>175</v>
      </c>
      <c r="AE131" s="6" t="s">
        <v>1211</v>
      </c>
      <c r="AF131" s="6" t="s">
        <v>181</v>
      </c>
      <c r="AG131" s="6" t="s">
        <v>182</v>
      </c>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row>
    <row r="132" ht="22.5" customHeight="1">
      <c r="A132" s="4">
        <v>46229.697355798606</v>
      </c>
      <c r="B132" s="5">
        <v>0.0</v>
      </c>
      <c r="C132" s="6" t="s">
        <v>114</v>
      </c>
      <c r="D132" s="6" t="s">
        <v>376</v>
      </c>
      <c r="E132" s="6" t="s">
        <v>378</v>
      </c>
      <c r="F132" s="6">
        <v>6.9070500885E10</v>
      </c>
      <c r="G132" s="6" t="s">
        <v>496</v>
      </c>
      <c r="H132" s="7"/>
      <c r="I132" s="6" t="s">
        <v>3715</v>
      </c>
      <c r="J132" s="6" t="s">
        <v>3716</v>
      </c>
      <c r="K132" s="6" t="s">
        <v>3717</v>
      </c>
      <c r="L132" s="6" t="s">
        <v>3718</v>
      </c>
      <c r="M132" s="6" t="s">
        <v>3719</v>
      </c>
      <c r="N132" s="7"/>
      <c r="O132" s="6" t="s">
        <v>3720</v>
      </c>
      <c r="P132" s="6" t="s">
        <v>3721</v>
      </c>
      <c r="Q132" s="6" t="s">
        <v>3722</v>
      </c>
      <c r="R132" s="6" t="s">
        <v>257</v>
      </c>
      <c r="S132" s="6" t="s">
        <v>147</v>
      </c>
      <c r="T132" s="6" t="s">
        <v>257</v>
      </c>
      <c r="U132" s="6" t="s">
        <v>252</v>
      </c>
      <c r="V132" s="6" t="s">
        <v>246</v>
      </c>
      <c r="W132" s="6" t="s">
        <v>158</v>
      </c>
      <c r="X132" s="6" t="s">
        <v>250</v>
      </c>
      <c r="Y132" s="6" t="s">
        <v>162</v>
      </c>
      <c r="Z132" s="6" t="s">
        <v>165</v>
      </c>
      <c r="AA132" s="6" t="s">
        <v>262</v>
      </c>
      <c r="AB132" s="6" t="s">
        <v>171</v>
      </c>
      <c r="AC132" s="6" t="s">
        <v>174</v>
      </c>
      <c r="AD132" s="6" t="s">
        <v>175</v>
      </c>
      <c r="AE132" s="6" t="s">
        <v>271</v>
      </c>
      <c r="AF132" s="6" t="s">
        <v>181</v>
      </c>
      <c r="AG132" s="6" t="s">
        <v>182</v>
      </c>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row>
    <row r="133" ht="22.5" customHeight="1">
      <c r="A133" s="4">
        <v>46229.69735591435</v>
      </c>
      <c r="B133" s="5">
        <v>0.0</v>
      </c>
      <c r="C133" s="6" t="s">
        <v>114</v>
      </c>
      <c r="D133" s="6" t="s">
        <v>381</v>
      </c>
      <c r="E133" s="6" t="s">
        <v>382</v>
      </c>
      <c r="F133" s="6">
        <v>6.9070501853E10</v>
      </c>
      <c r="G133" s="6" t="s">
        <v>730</v>
      </c>
      <c r="H133" s="7"/>
      <c r="I133" s="6" t="s">
        <v>3723</v>
      </c>
      <c r="J133" s="6" t="s">
        <v>3724</v>
      </c>
      <c r="K133" s="6" t="s">
        <v>3725</v>
      </c>
      <c r="L133" s="6" t="s">
        <v>3726</v>
      </c>
      <c r="M133" s="6" t="s">
        <v>3727</v>
      </c>
      <c r="N133" s="6" t="s">
        <v>3728</v>
      </c>
      <c r="O133" s="6" t="s">
        <v>3729</v>
      </c>
      <c r="P133" s="6" t="s">
        <v>3730</v>
      </c>
      <c r="Q133" s="6" t="s">
        <v>3731</v>
      </c>
      <c r="R133" s="6" t="s">
        <v>246</v>
      </c>
      <c r="S133" s="6" t="s">
        <v>147</v>
      </c>
      <c r="T133" s="6" t="s">
        <v>250</v>
      </c>
      <c r="U133" s="6" t="s">
        <v>152</v>
      </c>
      <c r="V133" s="6" t="s">
        <v>246</v>
      </c>
      <c r="W133" s="6" t="s">
        <v>158</v>
      </c>
      <c r="X133" s="6" t="s">
        <v>257</v>
      </c>
      <c r="Y133" s="6" t="s">
        <v>162</v>
      </c>
      <c r="Z133" s="6" t="s">
        <v>165</v>
      </c>
      <c r="AA133" s="6" t="s">
        <v>262</v>
      </c>
      <c r="AB133" s="6" t="s">
        <v>521</v>
      </c>
      <c r="AC133" s="6" t="s">
        <v>174</v>
      </c>
      <c r="AD133" s="6" t="s">
        <v>175</v>
      </c>
      <c r="AE133" s="6" t="s">
        <v>271</v>
      </c>
      <c r="AF133" s="6" t="s">
        <v>181</v>
      </c>
      <c r="AG133" s="6" t="s">
        <v>182</v>
      </c>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row>
    <row r="134" ht="22.5" customHeight="1">
      <c r="A134" s="4">
        <v>46229.69736021991</v>
      </c>
      <c r="B134" s="5">
        <v>0.0</v>
      </c>
      <c r="C134" s="6" t="s">
        <v>114</v>
      </c>
      <c r="D134" s="6" t="s">
        <v>385</v>
      </c>
      <c r="E134" s="6" t="s">
        <v>386</v>
      </c>
      <c r="F134" s="6">
        <v>6.9070500435E10</v>
      </c>
      <c r="G134" s="6" t="s">
        <v>310</v>
      </c>
      <c r="H134" s="7"/>
      <c r="I134" s="6" t="s">
        <v>3732</v>
      </c>
      <c r="J134" s="6" t="s">
        <v>3733</v>
      </c>
      <c r="K134" s="6" t="s">
        <v>3734</v>
      </c>
      <c r="L134" s="6" t="s">
        <v>3735</v>
      </c>
      <c r="M134" s="6" t="s">
        <v>3736</v>
      </c>
      <c r="N134" s="7"/>
      <c r="O134" s="6" t="s">
        <v>3737</v>
      </c>
      <c r="P134" s="6" t="s">
        <v>3738</v>
      </c>
      <c r="Q134" s="6" t="s">
        <v>3739</v>
      </c>
      <c r="R134" s="6" t="s">
        <v>246</v>
      </c>
      <c r="S134" s="6" t="s">
        <v>147</v>
      </c>
      <c r="T134" s="6" t="s">
        <v>250</v>
      </c>
      <c r="U134" s="6" t="s">
        <v>560</v>
      </c>
      <c r="V134" s="6" t="s">
        <v>246</v>
      </c>
      <c r="W134" s="6" t="s">
        <v>158</v>
      </c>
      <c r="X134" s="6" t="s">
        <v>257</v>
      </c>
      <c r="Y134" s="6" t="s">
        <v>162</v>
      </c>
      <c r="Z134" s="6" t="s">
        <v>165</v>
      </c>
      <c r="AA134" s="6" t="s">
        <v>262</v>
      </c>
      <c r="AB134" s="6" t="s">
        <v>521</v>
      </c>
      <c r="AC134" s="6" t="s">
        <v>1669</v>
      </c>
      <c r="AD134" s="6" t="s">
        <v>175</v>
      </c>
      <c r="AE134" s="6" t="s">
        <v>271</v>
      </c>
      <c r="AF134" s="6" t="s">
        <v>181</v>
      </c>
      <c r="AG134" s="6" t="s">
        <v>182</v>
      </c>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row>
    <row r="135" ht="22.5" customHeight="1">
      <c r="A135" s="4">
        <v>46229.69736081018</v>
      </c>
      <c r="B135" s="5">
        <v>0.0</v>
      </c>
      <c r="C135" s="6" t="s">
        <v>114</v>
      </c>
      <c r="D135" s="6" t="s">
        <v>388</v>
      </c>
      <c r="E135" s="6" t="s">
        <v>389</v>
      </c>
      <c r="F135" s="6">
        <v>6.907050184E10</v>
      </c>
      <c r="G135" s="6" t="s">
        <v>730</v>
      </c>
      <c r="H135" s="7"/>
      <c r="I135" s="6" t="s">
        <v>3740</v>
      </c>
      <c r="J135" s="6" t="s">
        <v>3741</v>
      </c>
      <c r="K135" s="6" t="s">
        <v>3742</v>
      </c>
      <c r="L135" s="6" t="s">
        <v>3743</v>
      </c>
      <c r="M135" s="6" t="s">
        <v>3744</v>
      </c>
      <c r="N135" s="7"/>
      <c r="O135" s="6" t="s">
        <v>3745</v>
      </c>
      <c r="P135" s="6" t="s">
        <v>3746</v>
      </c>
      <c r="Q135" s="6" t="s">
        <v>3747</v>
      </c>
      <c r="R135" s="6" t="s">
        <v>246</v>
      </c>
      <c r="S135" s="6" t="s">
        <v>147</v>
      </c>
      <c r="T135" s="6" t="s">
        <v>250</v>
      </c>
      <c r="U135" s="6" t="s">
        <v>152</v>
      </c>
      <c r="V135" s="6" t="s">
        <v>246</v>
      </c>
      <c r="W135" s="6" t="s">
        <v>158</v>
      </c>
      <c r="X135" s="6" t="s">
        <v>257</v>
      </c>
      <c r="Y135" s="6" t="s">
        <v>162</v>
      </c>
      <c r="Z135" s="6" t="s">
        <v>165</v>
      </c>
      <c r="AA135" s="6" t="s">
        <v>262</v>
      </c>
      <c r="AB135" s="6" t="s">
        <v>521</v>
      </c>
      <c r="AC135" s="6" t="s">
        <v>174</v>
      </c>
      <c r="AD135" s="6" t="s">
        <v>175</v>
      </c>
      <c r="AE135" s="6" t="s">
        <v>271</v>
      </c>
      <c r="AF135" s="6" t="s">
        <v>181</v>
      </c>
      <c r="AG135" s="6" t="s">
        <v>182</v>
      </c>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row>
    <row r="136" ht="22.5" customHeight="1">
      <c r="A136" s="4">
        <v>46229.69736760417</v>
      </c>
      <c r="B136" s="5">
        <v>0.0</v>
      </c>
      <c r="C136" s="6" t="s">
        <v>114</v>
      </c>
      <c r="D136" s="6" t="s">
        <v>392</v>
      </c>
      <c r="E136" s="6" t="s">
        <v>393</v>
      </c>
      <c r="F136" s="6">
        <v>6.9070501827E10</v>
      </c>
      <c r="G136" s="6" t="s">
        <v>730</v>
      </c>
      <c r="H136" s="6" t="s">
        <v>3748</v>
      </c>
      <c r="I136" s="6" t="s">
        <v>3749</v>
      </c>
      <c r="J136" s="6" t="s">
        <v>3725</v>
      </c>
      <c r="K136" s="6" t="s">
        <v>3750</v>
      </c>
      <c r="L136" s="6" t="s">
        <v>3727</v>
      </c>
      <c r="M136" s="6" t="s">
        <v>3751</v>
      </c>
      <c r="N136" s="6" t="s">
        <v>3752</v>
      </c>
      <c r="O136" s="6" t="s">
        <v>3753</v>
      </c>
      <c r="P136" s="6" t="s">
        <v>3746</v>
      </c>
      <c r="Q136" s="6" t="s">
        <v>3754</v>
      </c>
      <c r="R136" s="6" t="s">
        <v>246</v>
      </c>
      <c r="S136" s="6" t="s">
        <v>147</v>
      </c>
      <c r="T136" s="6" t="s">
        <v>250</v>
      </c>
      <c r="U136" s="6" t="s">
        <v>152</v>
      </c>
      <c r="V136" s="6" t="s">
        <v>246</v>
      </c>
      <c r="W136" s="6" t="s">
        <v>158</v>
      </c>
      <c r="X136" s="6" t="s">
        <v>257</v>
      </c>
      <c r="Y136" s="6" t="s">
        <v>162</v>
      </c>
      <c r="Z136" s="6" t="s">
        <v>165</v>
      </c>
      <c r="AA136" s="6" t="s">
        <v>262</v>
      </c>
      <c r="AB136" s="6" t="s">
        <v>521</v>
      </c>
      <c r="AC136" s="6" t="s">
        <v>174</v>
      </c>
      <c r="AD136" s="6" t="s">
        <v>175</v>
      </c>
      <c r="AE136" s="6" t="s">
        <v>271</v>
      </c>
      <c r="AF136" s="6" t="s">
        <v>181</v>
      </c>
      <c r="AG136" s="6" t="s">
        <v>182</v>
      </c>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row>
    <row r="137" ht="22.5" customHeight="1">
      <c r="A137" s="4">
        <v>46229.69736774305</v>
      </c>
      <c r="B137" s="5">
        <v>0.0</v>
      </c>
      <c r="C137" s="6" t="s">
        <v>114</v>
      </c>
      <c r="D137" s="6" t="s">
        <v>394</v>
      </c>
      <c r="E137" s="6" t="s">
        <v>395</v>
      </c>
      <c r="F137" s="6">
        <v>6.9070509838E10</v>
      </c>
      <c r="G137" s="6" t="s">
        <v>496</v>
      </c>
      <c r="H137" s="7"/>
      <c r="I137" s="6" t="s">
        <v>3755</v>
      </c>
      <c r="J137" s="6" t="s">
        <v>3756</v>
      </c>
      <c r="K137" s="6" t="s">
        <v>3757</v>
      </c>
      <c r="L137" s="6" t="s">
        <v>3758</v>
      </c>
      <c r="M137" s="6" t="s">
        <v>3759</v>
      </c>
      <c r="N137" s="7"/>
      <c r="O137" s="6" t="s">
        <v>3760</v>
      </c>
      <c r="P137" s="6" t="s">
        <v>3761</v>
      </c>
      <c r="Q137" s="6" t="s">
        <v>3762</v>
      </c>
      <c r="R137" s="6" t="s">
        <v>246</v>
      </c>
      <c r="S137" s="6" t="s">
        <v>147</v>
      </c>
      <c r="T137" s="6" t="s">
        <v>250</v>
      </c>
      <c r="U137" s="6" t="s">
        <v>686</v>
      </c>
      <c r="V137" s="6" t="s">
        <v>246</v>
      </c>
      <c r="W137" s="6" t="s">
        <v>158</v>
      </c>
      <c r="X137" s="6" t="s">
        <v>257</v>
      </c>
      <c r="Y137" s="6" t="s">
        <v>162</v>
      </c>
      <c r="Z137" s="6" t="s">
        <v>165</v>
      </c>
      <c r="AA137" s="6" t="s">
        <v>262</v>
      </c>
      <c r="AB137" s="6" t="s">
        <v>171</v>
      </c>
      <c r="AC137" s="6" t="s">
        <v>633</v>
      </c>
      <c r="AD137" s="6" t="s">
        <v>175</v>
      </c>
      <c r="AE137" s="6" t="s">
        <v>271</v>
      </c>
      <c r="AF137" s="6" t="s">
        <v>181</v>
      </c>
      <c r="AG137" s="6" t="s">
        <v>182</v>
      </c>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row>
    <row r="138" ht="22.5" customHeight="1">
      <c r="A138" s="4">
        <v>46229.69736871528</v>
      </c>
      <c r="B138" s="5">
        <v>0.0</v>
      </c>
      <c r="C138" s="6" t="s">
        <v>114</v>
      </c>
      <c r="D138" s="6" t="s">
        <v>396</v>
      </c>
      <c r="E138" s="6" t="s">
        <v>397</v>
      </c>
      <c r="F138" s="6">
        <v>6.907050082E10</v>
      </c>
      <c r="G138" s="6" t="s">
        <v>496</v>
      </c>
      <c r="H138" s="7"/>
      <c r="I138" s="6" t="s">
        <v>3763</v>
      </c>
      <c r="J138" s="6" t="s">
        <v>3764</v>
      </c>
      <c r="K138" s="6" t="s">
        <v>3765</v>
      </c>
      <c r="L138" s="6" t="s">
        <v>3766</v>
      </c>
      <c r="M138" s="6" t="s">
        <v>3767</v>
      </c>
      <c r="N138" s="7"/>
      <c r="O138" s="6" t="s">
        <v>3768</v>
      </c>
      <c r="P138" s="6" t="s">
        <v>3769</v>
      </c>
      <c r="Q138" s="6" t="s">
        <v>3770</v>
      </c>
      <c r="R138" s="6" t="s">
        <v>246</v>
      </c>
      <c r="S138" s="6" t="s">
        <v>147</v>
      </c>
      <c r="T138" s="6" t="s">
        <v>250</v>
      </c>
      <c r="U138" s="6" t="s">
        <v>252</v>
      </c>
      <c r="V138" s="6" t="s">
        <v>246</v>
      </c>
      <c r="W138" s="6" t="s">
        <v>158</v>
      </c>
      <c r="X138" s="6" t="s">
        <v>257</v>
      </c>
      <c r="Y138" s="6" t="s">
        <v>162</v>
      </c>
      <c r="Z138" s="6" t="s">
        <v>165</v>
      </c>
      <c r="AA138" s="6" t="s">
        <v>262</v>
      </c>
      <c r="AB138" s="6" t="s">
        <v>521</v>
      </c>
      <c r="AC138" s="6" t="s">
        <v>174</v>
      </c>
      <c r="AD138" s="6" t="s">
        <v>1723</v>
      </c>
      <c r="AE138" s="6" t="s">
        <v>271</v>
      </c>
      <c r="AF138" s="6" t="s">
        <v>181</v>
      </c>
      <c r="AG138" s="6" t="s">
        <v>182</v>
      </c>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row>
    <row r="139" ht="22.5" customHeight="1">
      <c r="A139" s="4">
        <v>46229.697385590276</v>
      </c>
      <c r="B139" s="5">
        <v>0.0</v>
      </c>
      <c r="C139" s="6" t="s">
        <v>114</v>
      </c>
      <c r="D139" s="6" t="s">
        <v>398</v>
      </c>
      <c r="E139" s="6" t="s">
        <v>399</v>
      </c>
      <c r="F139" s="6">
        <v>6.9070500848E10</v>
      </c>
      <c r="G139" s="6" t="s">
        <v>496</v>
      </c>
      <c r="H139" s="7"/>
      <c r="I139" s="6" t="s">
        <v>3771</v>
      </c>
      <c r="J139" s="6" t="s">
        <v>3772</v>
      </c>
      <c r="K139" s="6" t="s">
        <v>3773</v>
      </c>
      <c r="L139" s="6" t="s">
        <v>3774</v>
      </c>
      <c r="M139" s="6" t="s">
        <v>3775</v>
      </c>
      <c r="N139" s="6" t="s">
        <v>3776</v>
      </c>
      <c r="O139" s="6" t="s">
        <v>3777</v>
      </c>
      <c r="P139" s="6" t="s">
        <v>3778</v>
      </c>
      <c r="Q139" s="6" t="s">
        <v>3779</v>
      </c>
      <c r="R139" s="6" t="s">
        <v>257</v>
      </c>
      <c r="S139" s="6" t="s">
        <v>147</v>
      </c>
      <c r="T139" s="6" t="s">
        <v>246</v>
      </c>
      <c r="U139" s="6" t="s">
        <v>686</v>
      </c>
      <c r="V139" s="6" t="s">
        <v>246</v>
      </c>
      <c r="W139" s="6" t="s">
        <v>158</v>
      </c>
      <c r="X139" s="6" t="s">
        <v>257</v>
      </c>
      <c r="Y139" s="6" t="s">
        <v>162</v>
      </c>
      <c r="Z139" s="6" t="s">
        <v>165</v>
      </c>
      <c r="AA139" s="6" t="s">
        <v>262</v>
      </c>
      <c r="AB139" s="6" t="s">
        <v>171</v>
      </c>
      <c r="AC139" s="6" t="s">
        <v>174</v>
      </c>
      <c r="AD139" s="6" t="s">
        <v>1723</v>
      </c>
      <c r="AE139" s="6" t="s">
        <v>271</v>
      </c>
      <c r="AF139" s="6" t="s">
        <v>181</v>
      </c>
      <c r="AG139" s="6" t="s">
        <v>182</v>
      </c>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row>
    <row r="140" ht="22.5" customHeight="1">
      <c r="A140" s="4">
        <v>46229.69738774306</v>
      </c>
      <c r="B140" s="5">
        <v>0.0</v>
      </c>
      <c r="C140" s="6" t="s">
        <v>114</v>
      </c>
      <c r="D140" s="6" t="s">
        <v>400</v>
      </c>
      <c r="E140" s="6" t="s">
        <v>401</v>
      </c>
      <c r="F140" s="6">
        <v>6.9070500461E10</v>
      </c>
      <c r="G140" s="6" t="s">
        <v>310</v>
      </c>
      <c r="H140" s="7"/>
      <c r="I140" s="6" t="s">
        <v>3780</v>
      </c>
      <c r="J140" s="6" t="s">
        <v>3781</v>
      </c>
      <c r="K140" s="6" t="s">
        <v>3782</v>
      </c>
      <c r="L140" s="6" t="s">
        <v>3783</v>
      </c>
      <c r="M140" s="6" t="s">
        <v>3784</v>
      </c>
      <c r="N140" s="7"/>
      <c r="O140" s="6" t="s">
        <v>3785</v>
      </c>
      <c r="P140" s="6" t="s">
        <v>3786</v>
      </c>
      <c r="Q140" s="6" t="s">
        <v>3787</v>
      </c>
      <c r="R140" s="6" t="s">
        <v>246</v>
      </c>
      <c r="S140" s="6" t="s">
        <v>147</v>
      </c>
      <c r="T140" s="6" t="s">
        <v>250</v>
      </c>
      <c r="U140" s="6" t="s">
        <v>252</v>
      </c>
      <c r="V140" s="6" t="s">
        <v>155</v>
      </c>
      <c r="W140" s="6" t="s">
        <v>158</v>
      </c>
      <c r="X140" s="6" t="s">
        <v>257</v>
      </c>
      <c r="Y140" s="6" t="s">
        <v>162</v>
      </c>
      <c r="Z140" s="6" t="s">
        <v>165</v>
      </c>
      <c r="AA140" s="6" t="s">
        <v>262</v>
      </c>
      <c r="AB140" s="6" t="s">
        <v>171</v>
      </c>
      <c r="AC140" s="6" t="s">
        <v>1669</v>
      </c>
      <c r="AD140" s="6" t="s">
        <v>175</v>
      </c>
      <c r="AE140" s="6" t="s">
        <v>271</v>
      </c>
      <c r="AF140" s="6" t="s">
        <v>181</v>
      </c>
      <c r="AG140" s="6" t="s">
        <v>182</v>
      </c>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row>
    <row r="141" ht="22.5" customHeight="1">
      <c r="A141" s="4">
        <v>46229.69739447917</v>
      </c>
      <c r="B141" s="5">
        <v>0.0</v>
      </c>
      <c r="C141" s="6" t="s">
        <v>114</v>
      </c>
      <c r="D141" s="6" t="s">
        <v>402</v>
      </c>
      <c r="E141" s="6" t="s">
        <v>403</v>
      </c>
      <c r="F141" s="6">
        <v>6.9070509458E10</v>
      </c>
      <c r="G141" s="6" t="s">
        <v>122</v>
      </c>
      <c r="H141" s="6" t="s">
        <v>3788</v>
      </c>
      <c r="I141" s="6" t="s">
        <v>3789</v>
      </c>
      <c r="J141" s="6" t="s">
        <v>3790</v>
      </c>
      <c r="K141" s="6" t="s">
        <v>3791</v>
      </c>
      <c r="L141" s="6" t="s">
        <v>3792</v>
      </c>
      <c r="M141" s="6" t="s">
        <v>3793</v>
      </c>
      <c r="N141" s="7"/>
      <c r="O141" s="6" t="s">
        <v>3794</v>
      </c>
      <c r="P141" s="6" t="s">
        <v>3795</v>
      </c>
      <c r="Q141" s="6" t="s">
        <v>3796</v>
      </c>
      <c r="R141" s="6" t="s">
        <v>246</v>
      </c>
      <c r="S141" s="6" t="s">
        <v>147</v>
      </c>
      <c r="T141" s="6" t="s">
        <v>257</v>
      </c>
      <c r="U141" s="6" t="s">
        <v>252</v>
      </c>
      <c r="V141" s="6" t="s">
        <v>155</v>
      </c>
      <c r="W141" s="6" t="s">
        <v>158</v>
      </c>
      <c r="X141" s="6" t="s">
        <v>458</v>
      </c>
      <c r="Y141" s="6" t="s">
        <v>162</v>
      </c>
      <c r="Z141" s="6" t="s">
        <v>165</v>
      </c>
      <c r="AA141" s="6" t="s">
        <v>262</v>
      </c>
      <c r="AB141" s="6" t="s">
        <v>1266</v>
      </c>
      <c r="AC141" s="6" t="s">
        <v>1669</v>
      </c>
      <c r="AD141" s="6" t="s">
        <v>175</v>
      </c>
      <c r="AE141" s="6" t="s">
        <v>271</v>
      </c>
      <c r="AF141" s="6" t="s">
        <v>811</v>
      </c>
      <c r="AG141" s="6" t="s">
        <v>182</v>
      </c>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row>
    <row r="142" ht="22.5" customHeight="1">
      <c r="A142" s="4">
        <v>46229.69740236111</v>
      </c>
      <c r="B142" s="5">
        <v>0.0</v>
      </c>
      <c r="C142" s="6" t="s">
        <v>114</v>
      </c>
      <c r="D142" s="6" t="s">
        <v>404</v>
      </c>
      <c r="E142" s="6" t="s">
        <v>405</v>
      </c>
      <c r="F142" s="6">
        <v>6.9070509415E10</v>
      </c>
      <c r="G142" s="6" t="s">
        <v>122</v>
      </c>
      <c r="H142" s="7"/>
      <c r="I142" s="6" t="s">
        <v>3797</v>
      </c>
      <c r="J142" s="6" t="s">
        <v>3798</v>
      </c>
      <c r="K142" s="6" t="s">
        <v>3799</v>
      </c>
      <c r="L142" s="6" t="s">
        <v>3800</v>
      </c>
      <c r="M142" s="6" t="s">
        <v>3801</v>
      </c>
      <c r="N142" s="6" t="s">
        <v>3802</v>
      </c>
      <c r="O142" s="6" t="s">
        <v>3803</v>
      </c>
      <c r="P142" s="6" t="s">
        <v>3804</v>
      </c>
      <c r="Q142" s="6" t="s">
        <v>3805</v>
      </c>
      <c r="R142" s="6" t="s">
        <v>246</v>
      </c>
      <c r="S142" s="6" t="s">
        <v>147</v>
      </c>
      <c r="T142" s="6" t="s">
        <v>149</v>
      </c>
      <c r="U142" s="6" t="s">
        <v>560</v>
      </c>
      <c r="V142" s="6" t="s">
        <v>155</v>
      </c>
      <c r="W142" s="6" t="s">
        <v>158</v>
      </c>
      <c r="X142" s="6" t="s">
        <v>161</v>
      </c>
      <c r="Y142" s="6" t="s">
        <v>162</v>
      </c>
      <c r="Z142" s="6" t="s">
        <v>165</v>
      </c>
      <c r="AA142" s="6" t="s">
        <v>262</v>
      </c>
      <c r="AB142" s="6" t="s">
        <v>521</v>
      </c>
      <c r="AC142" s="6" t="s">
        <v>174</v>
      </c>
      <c r="AD142" s="6" t="s">
        <v>641</v>
      </c>
      <c r="AE142" s="6" t="s">
        <v>271</v>
      </c>
      <c r="AF142" s="6" t="s">
        <v>174</v>
      </c>
      <c r="AG142" s="6" t="s">
        <v>182</v>
      </c>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row>
    <row r="143" ht="22.5" customHeight="1">
      <c r="A143" s="4">
        <v>46229.69740616898</v>
      </c>
      <c r="B143" s="5">
        <v>0.0</v>
      </c>
      <c r="C143" s="6" t="s">
        <v>114</v>
      </c>
      <c r="D143" s="6" t="s">
        <v>406</v>
      </c>
      <c r="E143" s="6" t="s">
        <v>407</v>
      </c>
      <c r="F143" s="6">
        <v>6.9070500476E10</v>
      </c>
      <c r="G143" s="6" t="s">
        <v>310</v>
      </c>
      <c r="H143" s="7"/>
      <c r="I143" s="6" t="s">
        <v>3806</v>
      </c>
      <c r="J143" s="6" t="s">
        <v>3807</v>
      </c>
      <c r="K143" s="6" t="s">
        <v>3808</v>
      </c>
      <c r="L143" s="6" t="s">
        <v>3809</v>
      </c>
      <c r="M143" s="6" t="s">
        <v>3810</v>
      </c>
      <c r="N143" s="7"/>
      <c r="O143" s="6" t="s">
        <v>3811</v>
      </c>
      <c r="P143" s="6" t="s">
        <v>3812</v>
      </c>
      <c r="Q143" s="6" t="s">
        <v>3813</v>
      </c>
      <c r="R143" s="6" t="s">
        <v>246</v>
      </c>
      <c r="S143" s="6" t="s">
        <v>147</v>
      </c>
      <c r="T143" s="6" t="s">
        <v>257</v>
      </c>
      <c r="U143" s="6" t="s">
        <v>152</v>
      </c>
      <c r="V143" s="6" t="s">
        <v>246</v>
      </c>
      <c r="W143" s="6" t="s">
        <v>158</v>
      </c>
      <c r="X143" s="6" t="s">
        <v>257</v>
      </c>
      <c r="Y143" s="6" t="s">
        <v>162</v>
      </c>
      <c r="Z143" s="6" t="s">
        <v>165</v>
      </c>
      <c r="AA143" s="6" t="s">
        <v>262</v>
      </c>
      <c r="AB143" s="6" t="s">
        <v>171</v>
      </c>
      <c r="AC143" s="6" t="s">
        <v>1210</v>
      </c>
      <c r="AD143" s="6" t="s">
        <v>175</v>
      </c>
      <c r="AE143" s="6" t="s">
        <v>271</v>
      </c>
      <c r="AF143" s="6" t="s">
        <v>181</v>
      </c>
      <c r="AG143" s="6" t="s">
        <v>182</v>
      </c>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row>
    <row r="144" ht="22.5" customHeight="1">
      <c r="A144" s="4">
        <v>46229.697419421296</v>
      </c>
      <c r="B144" s="5">
        <v>0.0</v>
      </c>
      <c r="C144" s="6" t="s">
        <v>114</v>
      </c>
      <c r="D144" s="6" t="s">
        <v>408</v>
      </c>
      <c r="E144" s="6" t="s">
        <v>409</v>
      </c>
      <c r="F144" s="6">
        <v>6.907050031E10</v>
      </c>
      <c r="G144" s="6" t="s">
        <v>599</v>
      </c>
      <c r="H144" s="7"/>
      <c r="I144" s="6" t="s">
        <v>3814</v>
      </c>
      <c r="J144" s="6" t="s">
        <v>3815</v>
      </c>
      <c r="K144" s="6" t="s">
        <v>3816</v>
      </c>
      <c r="L144" s="6" t="s">
        <v>3817</v>
      </c>
      <c r="M144" s="6" t="s">
        <v>3818</v>
      </c>
      <c r="N144" s="7"/>
      <c r="O144" s="6" t="s">
        <v>3819</v>
      </c>
      <c r="P144" s="6" t="s">
        <v>3820</v>
      </c>
      <c r="Q144" s="6" t="s">
        <v>3821</v>
      </c>
      <c r="R144" s="6" t="s">
        <v>246</v>
      </c>
      <c r="S144" s="6" t="s">
        <v>147</v>
      </c>
      <c r="T144" s="6" t="s">
        <v>250</v>
      </c>
      <c r="U144" s="6" t="s">
        <v>252</v>
      </c>
      <c r="V144" s="6" t="s">
        <v>155</v>
      </c>
      <c r="W144" s="6" t="s">
        <v>158</v>
      </c>
      <c r="X144" s="6" t="s">
        <v>257</v>
      </c>
      <c r="Y144" s="6" t="s">
        <v>162</v>
      </c>
      <c r="Z144" s="6" t="s">
        <v>165</v>
      </c>
      <c r="AA144" s="6" t="s">
        <v>262</v>
      </c>
      <c r="AB144" s="6" t="s">
        <v>171</v>
      </c>
      <c r="AC144" s="6" t="s">
        <v>174</v>
      </c>
      <c r="AD144" s="6" t="s">
        <v>175</v>
      </c>
      <c r="AE144" s="6" t="s">
        <v>271</v>
      </c>
      <c r="AF144" s="6" t="s">
        <v>181</v>
      </c>
      <c r="AG144" s="6" t="s">
        <v>182</v>
      </c>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row>
    <row r="145" ht="22.5" customHeight="1">
      <c r="A145" s="4">
        <v>46229.697421875</v>
      </c>
      <c r="B145" s="5">
        <v>0.0</v>
      </c>
      <c r="C145" s="6" t="s">
        <v>114</v>
      </c>
      <c r="D145" s="6" t="s">
        <v>410</v>
      </c>
      <c r="E145" s="6" t="s">
        <v>411</v>
      </c>
      <c r="F145" s="6">
        <v>6.9070502414E10</v>
      </c>
      <c r="G145" s="6" t="s">
        <v>122</v>
      </c>
      <c r="H145" s="7"/>
      <c r="I145" s="6" t="s">
        <v>3822</v>
      </c>
      <c r="J145" s="6" t="s">
        <v>3823</v>
      </c>
      <c r="K145" s="6" t="s">
        <v>3824</v>
      </c>
      <c r="L145" s="6" t="s">
        <v>3825</v>
      </c>
      <c r="M145" s="6" t="s">
        <v>3826</v>
      </c>
      <c r="N145" s="6" t="s">
        <v>3827</v>
      </c>
      <c r="O145" s="6" t="s">
        <v>3828</v>
      </c>
      <c r="P145" s="6" t="s">
        <v>3829</v>
      </c>
      <c r="Q145" s="6" t="s">
        <v>3830</v>
      </c>
      <c r="R145" s="6" t="s">
        <v>246</v>
      </c>
      <c r="S145" s="6" t="s">
        <v>147</v>
      </c>
      <c r="T145" s="6" t="s">
        <v>250</v>
      </c>
      <c r="U145" s="6" t="s">
        <v>560</v>
      </c>
      <c r="V145" s="6" t="s">
        <v>246</v>
      </c>
      <c r="W145" s="6" t="s">
        <v>158</v>
      </c>
      <c r="X145" s="6" t="s">
        <v>257</v>
      </c>
      <c r="Y145" s="6" t="s">
        <v>162</v>
      </c>
      <c r="Z145" s="6" t="s">
        <v>165</v>
      </c>
      <c r="AA145" s="6" t="s">
        <v>1322</v>
      </c>
      <c r="AB145" s="6" t="s">
        <v>171</v>
      </c>
      <c r="AC145" s="6" t="s">
        <v>174</v>
      </c>
      <c r="AD145" s="6" t="s">
        <v>175</v>
      </c>
      <c r="AE145" s="6" t="s">
        <v>271</v>
      </c>
      <c r="AF145" s="6" t="s">
        <v>181</v>
      </c>
      <c r="AG145" s="6" t="s">
        <v>182</v>
      </c>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row>
    <row r="146" ht="22.5" customHeight="1">
      <c r="A146" s="4">
        <v>46229.69742189815</v>
      </c>
      <c r="B146" s="5">
        <v>0.0</v>
      </c>
      <c r="C146" s="6" t="s">
        <v>114</v>
      </c>
      <c r="D146" s="6" t="s">
        <v>412</v>
      </c>
      <c r="E146" s="6" t="s">
        <v>413</v>
      </c>
      <c r="F146" s="6">
        <v>6.9070501819E10</v>
      </c>
      <c r="G146" s="6" t="s">
        <v>730</v>
      </c>
      <c r="H146" s="7"/>
      <c r="I146" s="6" t="s">
        <v>3831</v>
      </c>
      <c r="J146" s="6" t="s">
        <v>3832</v>
      </c>
      <c r="K146" s="6" t="s">
        <v>3833</v>
      </c>
      <c r="L146" s="6" t="s">
        <v>3834</v>
      </c>
      <c r="M146" s="6" t="s">
        <v>3835</v>
      </c>
      <c r="N146" s="7"/>
      <c r="O146" s="6" t="s">
        <v>3836</v>
      </c>
      <c r="P146" s="6" t="s">
        <v>3837</v>
      </c>
      <c r="Q146" s="6" t="s">
        <v>3838</v>
      </c>
      <c r="R146" s="6" t="s">
        <v>246</v>
      </c>
      <c r="S146" s="6" t="s">
        <v>147</v>
      </c>
      <c r="T146" s="6" t="s">
        <v>250</v>
      </c>
      <c r="U146" s="6" t="s">
        <v>560</v>
      </c>
      <c r="V146" s="6" t="s">
        <v>246</v>
      </c>
      <c r="W146" s="6" t="s">
        <v>158</v>
      </c>
      <c r="X146" s="6" t="s">
        <v>257</v>
      </c>
      <c r="Y146" s="6" t="s">
        <v>162</v>
      </c>
      <c r="Z146" s="6" t="s">
        <v>165</v>
      </c>
      <c r="AA146" s="6" t="s">
        <v>262</v>
      </c>
      <c r="AB146" s="6" t="s">
        <v>521</v>
      </c>
      <c r="AC146" s="6" t="s">
        <v>174</v>
      </c>
      <c r="AD146" s="6" t="s">
        <v>175</v>
      </c>
      <c r="AE146" s="6" t="s">
        <v>271</v>
      </c>
      <c r="AF146" s="6" t="s">
        <v>181</v>
      </c>
      <c r="AG146" s="6" t="s">
        <v>182</v>
      </c>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row>
    <row r="147" ht="22.5" customHeight="1">
      <c r="A147" s="4">
        <v>46229.69742575231</v>
      </c>
      <c r="B147" s="5">
        <v>0.0</v>
      </c>
      <c r="C147" s="6" t="s">
        <v>114</v>
      </c>
      <c r="D147" s="6" t="s">
        <v>414</v>
      </c>
      <c r="E147" s="6" t="s">
        <v>415</v>
      </c>
      <c r="F147" s="6">
        <v>6.9070502842E10</v>
      </c>
      <c r="G147" s="6" t="s">
        <v>310</v>
      </c>
      <c r="H147" s="7"/>
      <c r="I147" s="6" t="s">
        <v>3839</v>
      </c>
      <c r="J147" s="6" t="s">
        <v>3840</v>
      </c>
      <c r="K147" s="6" t="s">
        <v>3841</v>
      </c>
      <c r="L147" s="6" t="s">
        <v>3842</v>
      </c>
      <c r="M147" s="6" t="s">
        <v>3843</v>
      </c>
      <c r="N147" s="7"/>
      <c r="O147" s="6" t="s">
        <v>3844</v>
      </c>
      <c r="P147" s="6" t="s">
        <v>3845</v>
      </c>
      <c r="Q147" s="6" t="s">
        <v>3846</v>
      </c>
      <c r="R147" s="6" t="s">
        <v>246</v>
      </c>
      <c r="S147" s="6" t="s">
        <v>147</v>
      </c>
      <c r="T147" s="6" t="s">
        <v>250</v>
      </c>
      <c r="U147" s="6" t="s">
        <v>252</v>
      </c>
      <c r="V147" s="6" t="s">
        <v>246</v>
      </c>
      <c r="W147" s="6" t="s">
        <v>158</v>
      </c>
      <c r="X147" s="6" t="s">
        <v>250</v>
      </c>
      <c r="Y147" s="6" t="s">
        <v>162</v>
      </c>
      <c r="Z147" s="6" t="s">
        <v>165</v>
      </c>
      <c r="AA147" s="6" t="s">
        <v>1322</v>
      </c>
      <c r="AB147" s="6" t="s">
        <v>3847</v>
      </c>
      <c r="AC147" s="6" t="s">
        <v>633</v>
      </c>
      <c r="AD147" s="6" t="s">
        <v>641</v>
      </c>
      <c r="AE147" s="6" t="s">
        <v>1211</v>
      </c>
      <c r="AF147" s="6" t="s">
        <v>181</v>
      </c>
      <c r="AG147" s="6" t="s">
        <v>1213</v>
      </c>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row>
    <row r="148" ht="22.5" customHeight="1">
      <c r="A148" s="4">
        <v>46229.69743119213</v>
      </c>
      <c r="B148" s="5">
        <v>0.0</v>
      </c>
      <c r="C148" s="6" t="s">
        <v>114</v>
      </c>
      <c r="D148" s="6" t="s">
        <v>416</v>
      </c>
      <c r="E148" s="6" t="s">
        <v>417</v>
      </c>
      <c r="F148" s="6">
        <v>6.9070500313E10</v>
      </c>
      <c r="G148" s="6" t="s">
        <v>599</v>
      </c>
      <c r="H148" s="7"/>
      <c r="I148" s="6" t="s">
        <v>3848</v>
      </c>
      <c r="J148" s="6" t="s">
        <v>3849</v>
      </c>
      <c r="K148" s="6" t="s">
        <v>3850</v>
      </c>
      <c r="L148" s="6" t="s">
        <v>3851</v>
      </c>
      <c r="M148" s="6" t="s">
        <v>3852</v>
      </c>
      <c r="N148" s="7"/>
      <c r="O148" s="6" t="s">
        <v>3853</v>
      </c>
      <c r="P148" s="6" t="s">
        <v>3854</v>
      </c>
      <c r="Q148" s="6" t="s">
        <v>3855</v>
      </c>
      <c r="R148" s="6" t="s">
        <v>246</v>
      </c>
      <c r="S148" s="6" t="s">
        <v>147</v>
      </c>
      <c r="T148" s="6" t="s">
        <v>250</v>
      </c>
      <c r="U148" s="6" t="s">
        <v>560</v>
      </c>
      <c r="V148" s="6" t="s">
        <v>246</v>
      </c>
      <c r="W148" s="6" t="s">
        <v>158</v>
      </c>
      <c r="X148" s="6" t="s">
        <v>257</v>
      </c>
      <c r="Y148" s="6" t="s">
        <v>162</v>
      </c>
      <c r="Z148" s="6" t="s">
        <v>165</v>
      </c>
      <c r="AA148" s="6" t="s">
        <v>262</v>
      </c>
      <c r="AB148" s="6" t="s">
        <v>521</v>
      </c>
      <c r="AC148" s="6" t="s">
        <v>174</v>
      </c>
      <c r="AD148" s="6" t="s">
        <v>175</v>
      </c>
      <c r="AE148" s="6" t="s">
        <v>271</v>
      </c>
      <c r="AF148" s="6" t="s">
        <v>181</v>
      </c>
      <c r="AG148" s="6" t="s">
        <v>182</v>
      </c>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row>
    <row r="149" ht="22.5" customHeight="1">
      <c r="A149" s="4">
        <v>46229.697436180555</v>
      </c>
      <c r="B149" s="5">
        <v>0.0</v>
      </c>
      <c r="C149" s="6" t="s">
        <v>114</v>
      </c>
      <c r="D149" s="6" t="s">
        <v>418</v>
      </c>
      <c r="E149" s="6" t="s">
        <v>419</v>
      </c>
      <c r="F149" s="6">
        <v>6.9070501022E10</v>
      </c>
      <c r="G149" s="6" t="s">
        <v>1470</v>
      </c>
      <c r="H149" s="7"/>
      <c r="I149" s="6" t="s">
        <v>3856</v>
      </c>
      <c r="J149" s="6" t="s">
        <v>2180</v>
      </c>
      <c r="K149" s="6" t="s">
        <v>3857</v>
      </c>
      <c r="L149" s="6" t="s">
        <v>3858</v>
      </c>
      <c r="M149" s="6" t="s">
        <v>3859</v>
      </c>
      <c r="N149" s="6" t="s">
        <v>3185</v>
      </c>
      <c r="O149" s="6" t="s">
        <v>3860</v>
      </c>
      <c r="P149" s="6" t="s">
        <v>3861</v>
      </c>
      <c r="Q149" s="6" t="s">
        <v>3862</v>
      </c>
      <c r="R149" s="6" t="s">
        <v>257</v>
      </c>
      <c r="S149" s="6" t="s">
        <v>147</v>
      </c>
      <c r="T149" s="6" t="s">
        <v>250</v>
      </c>
      <c r="U149" s="6" t="s">
        <v>686</v>
      </c>
      <c r="V149" s="6" t="s">
        <v>246</v>
      </c>
      <c r="W149" s="6" t="s">
        <v>158</v>
      </c>
      <c r="X149" s="6" t="s">
        <v>458</v>
      </c>
      <c r="Y149" s="6" t="s">
        <v>162</v>
      </c>
      <c r="Z149" s="6" t="s">
        <v>165</v>
      </c>
      <c r="AA149" s="6" t="s">
        <v>262</v>
      </c>
      <c r="AB149" s="6" t="s">
        <v>171</v>
      </c>
      <c r="AC149" s="6" t="s">
        <v>174</v>
      </c>
      <c r="AD149" s="6" t="s">
        <v>175</v>
      </c>
      <c r="AE149" s="6" t="s">
        <v>271</v>
      </c>
      <c r="AF149" s="6" t="s">
        <v>181</v>
      </c>
      <c r="AG149" s="6" t="s">
        <v>182</v>
      </c>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row>
    <row r="150" ht="22.5" customHeight="1">
      <c r="A150" s="4">
        <v>46229.69743648148</v>
      </c>
      <c r="B150" s="5">
        <v>0.0</v>
      </c>
      <c r="C150" s="6" t="s">
        <v>114</v>
      </c>
      <c r="D150" s="6" t="s">
        <v>420</v>
      </c>
      <c r="E150" s="6" t="s">
        <v>421</v>
      </c>
      <c r="F150" s="6">
        <v>6.9070502457E10</v>
      </c>
      <c r="G150" s="6" t="s">
        <v>122</v>
      </c>
      <c r="H150" s="6" t="s">
        <v>3863</v>
      </c>
      <c r="I150" s="6" t="s">
        <v>3864</v>
      </c>
      <c r="J150" s="6" t="s">
        <v>3865</v>
      </c>
      <c r="K150" s="6" t="s">
        <v>851</v>
      </c>
      <c r="L150" s="6" t="s">
        <v>2397</v>
      </c>
      <c r="M150" s="6" t="s">
        <v>3866</v>
      </c>
      <c r="N150" s="6" t="s">
        <v>3867</v>
      </c>
      <c r="O150" s="6" t="s">
        <v>3868</v>
      </c>
      <c r="P150" s="6" t="s">
        <v>3869</v>
      </c>
      <c r="Q150" s="6" t="s">
        <v>3870</v>
      </c>
      <c r="R150" s="6" t="s">
        <v>246</v>
      </c>
      <c r="S150" s="6" t="s">
        <v>147</v>
      </c>
      <c r="T150" s="6" t="s">
        <v>250</v>
      </c>
      <c r="U150" s="6" t="s">
        <v>560</v>
      </c>
      <c r="V150" s="6" t="s">
        <v>246</v>
      </c>
      <c r="W150" s="6" t="s">
        <v>158</v>
      </c>
      <c r="X150" s="6" t="s">
        <v>257</v>
      </c>
      <c r="Y150" s="6" t="s">
        <v>162</v>
      </c>
      <c r="Z150" s="6" t="s">
        <v>165</v>
      </c>
      <c r="AA150" s="6" t="s">
        <v>262</v>
      </c>
      <c r="AB150" s="6" t="s">
        <v>171</v>
      </c>
      <c r="AC150" s="6" t="s">
        <v>174</v>
      </c>
      <c r="AD150" s="6" t="s">
        <v>175</v>
      </c>
      <c r="AE150" s="6" t="s">
        <v>271</v>
      </c>
      <c r="AF150" s="6" t="s">
        <v>181</v>
      </c>
      <c r="AG150" s="6" t="s">
        <v>182</v>
      </c>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row>
    <row r="151" ht="22.5" customHeight="1">
      <c r="A151" s="4">
        <v>46229.69744163194</v>
      </c>
      <c r="B151" s="5">
        <v>0.0</v>
      </c>
      <c r="C151" s="6" t="s">
        <v>114</v>
      </c>
      <c r="D151" s="6" t="s">
        <v>422</v>
      </c>
      <c r="E151" s="6" t="s">
        <v>423</v>
      </c>
      <c r="F151" s="6">
        <v>6.9070500804E10</v>
      </c>
      <c r="G151" s="6" t="s">
        <v>496</v>
      </c>
      <c r="H151" s="7"/>
      <c r="I151" s="6" t="s">
        <v>3871</v>
      </c>
      <c r="J151" s="6" t="s">
        <v>3872</v>
      </c>
      <c r="K151" s="6" t="s">
        <v>3873</v>
      </c>
      <c r="L151" s="6" t="s">
        <v>3874</v>
      </c>
      <c r="M151" s="6" t="s">
        <v>3875</v>
      </c>
      <c r="N151" s="7"/>
      <c r="O151" s="6" t="s">
        <v>3876</v>
      </c>
      <c r="P151" s="6" t="s">
        <v>3877</v>
      </c>
      <c r="Q151" s="6" t="s">
        <v>3878</v>
      </c>
      <c r="R151" s="6" t="s">
        <v>257</v>
      </c>
      <c r="S151" s="6" t="s">
        <v>147</v>
      </c>
      <c r="T151" s="6" t="s">
        <v>250</v>
      </c>
      <c r="U151" s="6" t="s">
        <v>252</v>
      </c>
      <c r="V151" s="6" t="s">
        <v>246</v>
      </c>
      <c r="W151" s="6" t="s">
        <v>158</v>
      </c>
      <c r="X151" s="6" t="s">
        <v>257</v>
      </c>
      <c r="Y151" s="6" t="s">
        <v>162</v>
      </c>
      <c r="Z151" s="6" t="s">
        <v>165</v>
      </c>
      <c r="AA151" s="6" t="s">
        <v>262</v>
      </c>
      <c r="AB151" s="6" t="s">
        <v>171</v>
      </c>
      <c r="AC151" s="6" t="s">
        <v>174</v>
      </c>
      <c r="AD151" s="6" t="s">
        <v>175</v>
      </c>
      <c r="AE151" s="6" t="s">
        <v>271</v>
      </c>
      <c r="AF151" s="6" t="s">
        <v>181</v>
      </c>
      <c r="AG151" s="6" t="s">
        <v>182</v>
      </c>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row>
    <row r="152" ht="22.5" customHeight="1">
      <c r="A152" s="4">
        <v>46229.697443032404</v>
      </c>
      <c r="B152" s="5">
        <v>0.0</v>
      </c>
      <c r="C152" s="6" t="s">
        <v>3296</v>
      </c>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6" t="s">
        <v>2618</v>
      </c>
      <c r="AI152" s="6" t="s">
        <v>2619</v>
      </c>
      <c r="AJ152" s="6">
        <v>6.9070503421E10</v>
      </c>
      <c r="AK152" s="6" t="s">
        <v>3297</v>
      </c>
      <c r="AL152" s="7"/>
      <c r="AM152" s="6" t="s">
        <v>3879</v>
      </c>
      <c r="AN152" s="6" t="s">
        <v>3880</v>
      </c>
      <c r="AO152" s="6" t="s">
        <v>3881</v>
      </c>
      <c r="AP152" s="6" t="s">
        <v>3882</v>
      </c>
      <c r="AQ152" s="6" t="s">
        <v>3883</v>
      </c>
      <c r="AR152" s="7"/>
      <c r="AS152" s="6" t="s">
        <v>3884</v>
      </c>
      <c r="AT152" s="6" t="s">
        <v>3885</v>
      </c>
      <c r="AU152" s="6" t="s">
        <v>3886</v>
      </c>
      <c r="AV152" s="6" t="s">
        <v>3306</v>
      </c>
      <c r="AW152" s="6" t="s">
        <v>3307</v>
      </c>
      <c r="AX152" s="6" t="s">
        <v>3887</v>
      </c>
      <c r="AY152" s="6" t="s">
        <v>152</v>
      </c>
      <c r="AZ152" s="6" t="s">
        <v>3306</v>
      </c>
      <c r="BA152" s="6" t="s">
        <v>3311</v>
      </c>
      <c r="BB152" s="6" t="s">
        <v>3312</v>
      </c>
      <c r="BC152" s="6" t="s">
        <v>3313</v>
      </c>
      <c r="BD152" s="6" t="s">
        <v>165</v>
      </c>
      <c r="BE152" s="6" t="s">
        <v>3888</v>
      </c>
      <c r="BF152" s="6" t="s">
        <v>3889</v>
      </c>
      <c r="BG152" s="6" t="s">
        <v>3316</v>
      </c>
      <c r="BH152" s="6" t="s">
        <v>3317</v>
      </c>
      <c r="BI152" s="6" t="s">
        <v>271</v>
      </c>
      <c r="BJ152" s="6" t="s">
        <v>3318</v>
      </c>
      <c r="BK152" s="6" t="s">
        <v>3319</v>
      </c>
    </row>
    <row r="153" ht="22.5" customHeight="1">
      <c r="A153" s="4">
        <v>46229.69744556713</v>
      </c>
      <c r="B153" s="5">
        <v>0.0</v>
      </c>
      <c r="C153" s="6" t="s">
        <v>114</v>
      </c>
      <c r="D153" s="6" t="s">
        <v>424</v>
      </c>
      <c r="E153" s="6" t="s">
        <v>425</v>
      </c>
      <c r="F153" s="6">
        <v>6.9070500808E10</v>
      </c>
      <c r="G153" s="6" t="s">
        <v>496</v>
      </c>
      <c r="H153" s="7"/>
      <c r="I153" s="6" t="s">
        <v>1369</v>
      </c>
      <c r="J153" s="6" t="s">
        <v>3060</v>
      </c>
      <c r="K153" s="6" t="s">
        <v>3890</v>
      </c>
      <c r="L153" s="6" t="s">
        <v>3891</v>
      </c>
      <c r="M153" s="6" t="s">
        <v>3892</v>
      </c>
      <c r="N153" s="7"/>
      <c r="O153" s="6" t="s">
        <v>3893</v>
      </c>
      <c r="P153" s="6" t="s">
        <v>3894</v>
      </c>
      <c r="Q153" s="6" t="s">
        <v>3895</v>
      </c>
      <c r="R153" s="6" t="s">
        <v>246</v>
      </c>
      <c r="S153" s="6" t="s">
        <v>147</v>
      </c>
      <c r="T153" s="6" t="s">
        <v>250</v>
      </c>
      <c r="U153" s="6" t="s">
        <v>252</v>
      </c>
      <c r="V153" s="6" t="s">
        <v>246</v>
      </c>
      <c r="W153" s="6" t="s">
        <v>158</v>
      </c>
      <c r="X153" s="6" t="s">
        <v>257</v>
      </c>
      <c r="Y153" s="6" t="s">
        <v>162</v>
      </c>
      <c r="Z153" s="6" t="s">
        <v>165</v>
      </c>
      <c r="AA153" s="6" t="s">
        <v>262</v>
      </c>
      <c r="AB153" s="6" t="s">
        <v>171</v>
      </c>
      <c r="AC153" s="6" t="s">
        <v>174</v>
      </c>
      <c r="AD153" s="6" t="s">
        <v>175</v>
      </c>
      <c r="AE153" s="6" t="s">
        <v>271</v>
      </c>
      <c r="AF153" s="6" t="s">
        <v>181</v>
      </c>
      <c r="AG153" s="6" t="s">
        <v>182</v>
      </c>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row>
    <row r="154" ht="22.5" customHeight="1">
      <c r="A154" s="4">
        <v>46229.697446875</v>
      </c>
      <c r="B154" s="5">
        <v>0.0</v>
      </c>
      <c r="C154" s="6" t="s">
        <v>114</v>
      </c>
      <c r="D154" s="6" t="s">
        <v>426</v>
      </c>
      <c r="E154" s="6" t="s">
        <v>427</v>
      </c>
      <c r="F154" s="6">
        <v>6.907050221E10</v>
      </c>
      <c r="G154" s="6" t="s">
        <v>496</v>
      </c>
      <c r="H154" s="7"/>
      <c r="I154" s="6" t="s">
        <v>3896</v>
      </c>
      <c r="J154" s="6" t="s">
        <v>3897</v>
      </c>
      <c r="K154" s="6" t="s">
        <v>3898</v>
      </c>
      <c r="L154" s="6" t="s">
        <v>3899</v>
      </c>
      <c r="M154" s="6" t="s">
        <v>3900</v>
      </c>
      <c r="N154" s="7"/>
      <c r="O154" s="6" t="s">
        <v>3901</v>
      </c>
      <c r="P154" s="6" t="s">
        <v>3902</v>
      </c>
      <c r="Q154" s="6" t="s">
        <v>3903</v>
      </c>
      <c r="R154" s="6" t="s">
        <v>257</v>
      </c>
      <c r="S154" s="6" t="s">
        <v>147</v>
      </c>
      <c r="T154" s="6" t="s">
        <v>250</v>
      </c>
      <c r="U154" s="6" t="s">
        <v>252</v>
      </c>
      <c r="V154" s="6" t="s">
        <v>246</v>
      </c>
      <c r="W154" s="6" t="s">
        <v>158</v>
      </c>
      <c r="X154" s="6" t="s">
        <v>257</v>
      </c>
      <c r="Y154" s="6" t="s">
        <v>162</v>
      </c>
      <c r="Z154" s="6" t="s">
        <v>165</v>
      </c>
      <c r="AA154" s="6" t="s">
        <v>262</v>
      </c>
      <c r="AB154" s="6" t="s">
        <v>171</v>
      </c>
      <c r="AC154" s="6" t="s">
        <v>174</v>
      </c>
      <c r="AD154" s="6" t="s">
        <v>175</v>
      </c>
      <c r="AE154" s="6" t="s">
        <v>271</v>
      </c>
      <c r="AF154" s="6" t="s">
        <v>181</v>
      </c>
      <c r="AG154" s="6" t="s">
        <v>182</v>
      </c>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row>
    <row r="155" ht="22.5" customHeight="1">
      <c r="A155" s="4">
        <v>46229.69745951389</v>
      </c>
      <c r="B155" s="5">
        <v>0.0</v>
      </c>
      <c r="C155" s="6" t="s">
        <v>114</v>
      </c>
      <c r="D155" s="6" t="s">
        <v>428</v>
      </c>
      <c r="E155" s="6" t="s">
        <v>429</v>
      </c>
      <c r="F155" s="6">
        <v>6.9070500403E10</v>
      </c>
      <c r="G155" s="6" t="s">
        <v>310</v>
      </c>
      <c r="H155" s="7"/>
      <c r="I155" s="6" t="s">
        <v>3904</v>
      </c>
      <c r="J155" s="6" t="s">
        <v>3905</v>
      </c>
      <c r="K155" s="6" t="s">
        <v>3200</v>
      </c>
      <c r="L155" s="6" t="s">
        <v>3906</v>
      </c>
      <c r="M155" s="6" t="s">
        <v>3907</v>
      </c>
      <c r="N155" s="7"/>
      <c r="O155" s="6" t="s">
        <v>3908</v>
      </c>
      <c r="P155" s="6" t="s">
        <v>3909</v>
      </c>
      <c r="Q155" s="6" t="s">
        <v>3910</v>
      </c>
      <c r="R155" s="6" t="s">
        <v>246</v>
      </c>
      <c r="S155" s="6" t="s">
        <v>147</v>
      </c>
      <c r="T155" s="6" t="s">
        <v>246</v>
      </c>
      <c r="U155" s="6" t="s">
        <v>686</v>
      </c>
      <c r="V155" s="6" t="s">
        <v>2302</v>
      </c>
      <c r="W155" s="6" t="s">
        <v>158</v>
      </c>
      <c r="X155" s="6" t="s">
        <v>257</v>
      </c>
      <c r="Y155" s="6" t="s">
        <v>162</v>
      </c>
      <c r="Z155" s="6" t="s">
        <v>165</v>
      </c>
      <c r="AA155" s="6" t="s">
        <v>262</v>
      </c>
      <c r="AB155" s="6" t="s">
        <v>171</v>
      </c>
      <c r="AC155" s="6" t="s">
        <v>174</v>
      </c>
      <c r="AD155" s="6" t="s">
        <v>175</v>
      </c>
      <c r="AE155" s="6" t="s">
        <v>271</v>
      </c>
      <c r="AF155" s="6" t="s">
        <v>181</v>
      </c>
      <c r="AG155" s="6" t="s">
        <v>1213</v>
      </c>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row>
    <row r="156" ht="22.5" customHeight="1">
      <c r="A156" s="4">
        <v>46229.69746481482</v>
      </c>
      <c r="B156" s="5">
        <v>0.0</v>
      </c>
      <c r="C156" s="6" t="s">
        <v>114</v>
      </c>
      <c r="D156" s="6" t="s">
        <v>430</v>
      </c>
      <c r="E156" s="6" t="s">
        <v>431</v>
      </c>
      <c r="F156" s="6">
        <v>6.9070500415E10</v>
      </c>
      <c r="G156" s="6" t="s">
        <v>310</v>
      </c>
      <c r="H156" s="6" t="s">
        <v>3911</v>
      </c>
      <c r="I156" s="6" t="s">
        <v>3912</v>
      </c>
      <c r="J156" s="6" t="s">
        <v>3913</v>
      </c>
      <c r="K156" s="6" t="s">
        <v>3914</v>
      </c>
      <c r="L156" s="6" t="s">
        <v>3915</v>
      </c>
      <c r="M156" s="6" t="s">
        <v>3916</v>
      </c>
      <c r="N156" s="7"/>
      <c r="O156" s="6" t="s">
        <v>3917</v>
      </c>
      <c r="P156" s="6" t="s">
        <v>3918</v>
      </c>
      <c r="Q156" s="6" t="s">
        <v>3919</v>
      </c>
      <c r="R156" s="6" t="s">
        <v>246</v>
      </c>
      <c r="S156" s="6" t="s">
        <v>147</v>
      </c>
      <c r="T156" s="6" t="s">
        <v>246</v>
      </c>
      <c r="U156" s="6" t="s">
        <v>252</v>
      </c>
      <c r="V156" s="6" t="s">
        <v>246</v>
      </c>
      <c r="W156" s="6" t="s">
        <v>158</v>
      </c>
      <c r="X156" s="6" t="s">
        <v>458</v>
      </c>
      <c r="Y156" s="6" t="s">
        <v>162</v>
      </c>
      <c r="Z156" s="6" t="s">
        <v>165</v>
      </c>
      <c r="AA156" s="6" t="s">
        <v>262</v>
      </c>
      <c r="AB156" s="6" t="s">
        <v>521</v>
      </c>
      <c r="AC156" s="6" t="s">
        <v>174</v>
      </c>
      <c r="AD156" s="6" t="s">
        <v>175</v>
      </c>
      <c r="AE156" s="6" t="s">
        <v>271</v>
      </c>
      <c r="AF156" s="6" t="s">
        <v>181</v>
      </c>
      <c r="AG156" s="6" t="s">
        <v>182</v>
      </c>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row>
    <row r="157" ht="22.5" customHeight="1">
      <c r="A157" s="4">
        <v>46229.69747150463</v>
      </c>
      <c r="B157" s="5">
        <v>0.0</v>
      </c>
      <c r="C157" s="6" t="s">
        <v>114</v>
      </c>
      <c r="D157" s="6" t="s">
        <v>432</v>
      </c>
      <c r="E157" s="6" t="s">
        <v>433</v>
      </c>
      <c r="F157" s="6">
        <v>6.9070509805E10</v>
      </c>
      <c r="G157" s="6" t="s">
        <v>496</v>
      </c>
      <c r="H157" s="6" t="s">
        <v>3920</v>
      </c>
      <c r="I157" s="6" t="s">
        <v>3921</v>
      </c>
      <c r="J157" s="6" t="s">
        <v>3922</v>
      </c>
      <c r="K157" s="6" t="s">
        <v>3923</v>
      </c>
      <c r="L157" s="6" t="s">
        <v>3924</v>
      </c>
      <c r="M157" s="6" t="s">
        <v>3925</v>
      </c>
      <c r="N157" s="6" t="s">
        <v>3926</v>
      </c>
      <c r="O157" s="6" t="s">
        <v>3927</v>
      </c>
      <c r="P157" s="6" t="s">
        <v>3928</v>
      </c>
      <c r="Q157" s="6" t="s">
        <v>3929</v>
      </c>
      <c r="R157" s="6" t="s">
        <v>246</v>
      </c>
      <c r="S157" s="6" t="s">
        <v>147</v>
      </c>
      <c r="T157" s="6" t="s">
        <v>246</v>
      </c>
      <c r="U157" s="6" t="s">
        <v>252</v>
      </c>
      <c r="V157" s="6" t="s">
        <v>246</v>
      </c>
      <c r="W157" s="6" t="s">
        <v>158</v>
      </c>
      <c r="X157" s="6" t="s">
        <v>458</v>
      </c>
      <c r="Y157" s="6" t="s">
        <v>162</v>
      </c>
      <c r="Z157" s="6" t="s">
        <v>165</v>
      </c>
      <c r="AA157" s="6" t="s">
        <v>262</v>
      </c>
      <c r="AB157" s="6" t="s">
        <v>171</v>
      </c>
      <c r="AC157" s="6" t="s">
        <v>633</v>
      </c>
      <c r="AD157" s="6" t="s">
        <v>175</v>
      </c>
      <c r="AE157" s="6" t="s">
        <v>271</v>
      </c>
      <c r="AF157" s="6" t="s">
        <v>181</v>
      </c>
      <c r="AG157" s="6" t="s">
        <v>182</v>
      </c>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row>
    <row r="158" ht="22.5" customHeight="1">
      <c r="A158" s="4">
        <v>46229.69747615741</v>
      </c>
      <c r="B158" s="5">
        <v>0.0</v>
      </c>
      <c r="C158" s="6" t="s">
        <v>114</v>
      </c>
      <c r="D158" s="6" t="s">
        <v>434</v>
      </c>
      <c r="E158" s="6" t="s">
        <v>435</v>
      </c>
      <c r="F158" s="6">
        <v>6.9070509846E10</v>
      </c>
      <c r="G158" s="6" t="s">
        <v>496</v>
      </c>
      <c r="H158" s="6" t="s">
        <v>3930</v>
      </c>
      <c r="I158" s="6" t="s">
        <v>3922</v>
      </c>
      <c r="J158" s="6" t="s">
        <v>3931</v>
      </c>
      <c r="K158" s="6" t="s">
        <v>3921</v>
      </c>
      <c r="L158" s="6" t="s">
        <v>3924</v>
      </c>
      <c r="M158" s="6" t="s">
        <v>3932</v>
      </c>
      <c r="N158" s="6" t="s">
        <v>3498</v>
      </c>
      <c r="O158" s="6" t="s">
        <v>3933</v>
      </c>
      <c r="P158" s="6" t="s">
        <v>3934</v>
      </c>
      <c r="Q158" s="6" t="s">
        <v>3935</v>
      </c>
      <c r="R158" s="6" t="s">
        <v>246</v>
      </c>
      <c r="S158" s="6" t="s">
        <v>147</v>
      </c>
      <c r="T158" s="6" t="s">
        <v>246</v>
      </c>
      <c r="U158" s="6" t="s">
        <v>252</v>
      </c>
      <c r="V158" s="6" t="s">
        <v>246</v>
      </c>
      <c r="W158" s="6" t="s">
        <v>158</v>
      </c>
      <c r="X158" s="6" t="s">
        <v>250</v>
      </c>
      <c r="Y158" s="6" t="s">
        <v>162</v>
      </c>
      <c r="Z158" s="6" t="s">
        <v>165</v>
      </c>
      <c r="AA158" s="6" t="s">
        <v>262</v>
      </c>
      <c r="AB158" s="6" t="s">
        <v>171</v>
      </c>
      <c r="AC158" s="6" t="s">
        <v>174</v>
      </c>
      <c r="AD158" s="6" t="s">
        <v>175</v>
      </c>
      <c r="AE158" s="6" t="s">
        <v>271</v>
      </c>
      <c r="AF158" s="6" t="s">
        <v>181</v>
      </c>
      <c r="AG158" s="6" t="s">
        <v>182</v>
      </c>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row>
    <row r="159" ht="22.5" customHeight="1">
      <c r="A159" s="4">
        <v>46229.69747671296</v>
      </c>
      <c r="B159" s="5">
        <v>0.0</v>
      </c>
      <c r="C159" s="6" t="s">
        <v>114</v>
      </c>
      <c r="D159" s="6" t="s">
        <v>436</v>
      </c>
      <c r="E159" s="6" t="s">
        <v>437</v>
      </c>
      <c r="F159" s="6">
        <v>6.9070500418E10</v>
      </c>
      <c r="G159" s="6" t="s">
        <v>310</v>
      </c>
      <c r="H159" s="7"/>
      <c r="I159" s="6" t="s">
        <v>3554</v>
      </c>
      <c r="J159" s="6" t="s">
        <v>3555</v>
      </c>
      <c r="K159" s="6" t="s">
        <v>3936</v>
      </c>
      <c r="L159" s="6" t="s">
        <v>318</v>
      </c>
      <c r="M159" s="6" t="s">
        <v>3937</v>
      </c>
      <c r="N159" s="6" t="s">
        <v>3938</v>
      </c>
      <c r="O159" s="6" t="s">
        <v>3939</v>
      </c>
      <c r="P159" s="6" t="s">
        <v>3940</v>
      </c>
      <c r="Q159" s="6" t="s">
        <v>3941</v>
      </c>
      <c r="R159" s="6" t="s">
        <v>861</v>
      </c>
      <c r="S159" s="6" t="s">
        <v>147</v>
      </c>
      <c r="T159" s="6" t="s">
        <v>250</v>
      </c>
      <c r="U159" s="6" t="s">
        <v>686</v>
      </c>
      <c r="V159" s="6" t="s">
        <v>246</v>
      </c>
      <c r="W159" s="6" t="s">
        <v>158</v>
      </c>
      <c r="X159" s="6" t="s">
        <v>257</v>
      </c>
      <c r="Y159" s="6" t="s">
        <v>162</v>
      </c>
      <c r="Z159" s="6" t="s">
        <v>165</v>
      </c>
      <c r="AA159" s="6" t="s">
        <v>641</v>
      </c>
      <c r="AB159" s="6" t="s">
        <v>171</v>
      </c>
      <c r="AC159" s="6" t="s">
        <v>2718</v>
      </c>
      <c r="AD159" s="6" t="s">
        <v>1723</v>
      </c>
      <c r="AE159" s="6" t="s">
        <v>524</v>
      </c>
      <c r="AF159" s="6" t="s">
        <v>181</v>
      </c>
      <c r="AG159" s="6" t="s">
        <v>182</v>
      </c>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row>
    <row r="160" ht="22.5" customHeight="1">
      <c r="A160" s="4">
        <v>46229.69747921296</v>
      </c>
      <c r="B160" s="5">
        <v>0.0</v>
      </c>
      <c r="C160" s="6" t="s">
        <v>114</v>
      </c>
      <c r="D160" s="6" t="s">
        <v>438</v>
      </c>
      <c r="E160" s="6" t="s">
        <v>439</v>
      </c>
      <c r="F160" s="6">
        <v>6.9070500427E10</v>
      </c>
      <c r="G160" s="6" t="s">
        <v>310</v>
      </c>
      <c r="H160" s="6" t="s">
        <v>3942</v>
      </c>
      <c r="I160" s="6" t="s">
        <v>3943</v>
      </c>
      <c r="J160" s="6" t="s">
        <v>3944</v>
      </c>
      <c r="K160" s="6" t="s">
        <v>3945</v>
      </c>
      <c r="L160" s="6" t="s">
        <v>3736</v>
      </c>
      <c r="M160" s="6" t="s">
        <v>3733</v>
      </c>
      <c r="N160" s="6" t="s">
        <v>3946</v>
      </c>
      <c r="O160" s="6" t="s">
        <v>3947</v>
      </c>
      <c r="P160" s="6" t="s">
        <v>3948</v>
      </c>
      <c r="Q160" s="6" t="s">
        <v>3949</v>
      </c>
      <c r="R160" s="6" t="s">
        <v>246</v>
      </c>
      <c r="S160" s="6" t="s">
        <v>147</v>
      </c>
      <c r="T160" s="6" t="s">
        <v>246</v>
      </c>
      <c r="U160" s="6" t="s">
        <v>252</v>
      </c>
      <c r="V160" s="6" t="s">
        <v>2302</v>
      </c>
      <c r="W160" s="6" t="s">
        <v>158</v>
      </c>
      <c r="X160" s="6" t="s">
        <v>161</v>
      </c>
      <c r="Y160" s="6" t="s">
        <v>162</v>
      </c>
      <c r="Z160" s="6" t="s">
        <v>165</v>
      </c>
      <c r="AA160" s="6" t="s">
        <v>262</v>
      </c>
      <c r="AB160" s="6" t="s">
        <v>521</v>
      </c>
      <c r="AC160" s="6" t="s">
        <v>174</v>
      </c>
      <c r="AD160" s="6" t="s">
        <v>175</v>
      </c>
      <c r="AE160" s="6" t="s">
        <v>271</v>
      </c>
      <c r="AF160" s="6" t="s">
        <v>181</v>
      </c>
      <c r="AG160" s="6" t="s">
        <v>182</v>
      </c>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row>
    <row r="161" ht="22.5" customHeight="1">
      <c r="A161" s="4">
        <v>46229.697483275464</v>
      </c>
      <c r="B161" s="5">
        <v>0.0</v>
      </c>
      <c r="C161" s="6" t="s">
        <v>114</v>
      </c>
      <c r="D161" s="6" t="s">
        <v>440</v>
      </c>
      <c r="E161" s="6" t="s">
        <v>441</v>
      </c>
      <c r="F161" s="6">
        <v>6.907050048E10</v>
      </c>
      <c r="G161" s="6" t="s">
        <v>310</v>
      </c>
      <c r="H161" s="7"/>
      <c r="I161" s="6" t="s">
        <v>3950</v>
      </c>
      <c r="J161" s="6" t="s">
        <v>3951</v>
      </c>
      <c r="K161" s="6" t="s">
        <v>3952</v>
      </c>
      <c r="L161" s="6" t="s">
        <v>3953</v>
      </c>
      <c r="M161" s="6" t="s">
        <v>3943</v>
      </c>
      <c r="N161" s="7"/>
      <c r="O161" s="6" t="s">
        <v>3954</v>
      </c>
      <c r="P161" s="6" t="s">
        <v>3955</v>
      </c>
      <c r="Q161" s="6" t="s">
        <v>3956</v>
      </c>
      <c r="R161" s="6" t="s">
        <v>257</v>
      </c>
      <c r="S161" s="6" t="s">
        <v>147</v>
      </c>
      <c r="T161" s="6" t="s">
        <v>250</v>
      </c>
      <c r="U161" s="6" t="s">
        <v>252</v>
      </c>
      <c r="V161" s="6" t="s">
        <v>155</v>
      </c>
      <c r="W161" s="6" t="s">
        <v>158</v>
      </c>
      <c r="X161" s="6" t="s">
        <v>458</v>
      </c>
      <c r="Y161" s="6" t="s">
        <v>162</v>
      </c>
      <c r="Z161" s="6" t="s">
        <v>165</v>
      </c>
      <c r="AA161" s="6" t="s">
        <v>262</v>
      </c>
      <c r="AB161" s="6" t="s">
        <v>171</v>
      </c>
      <c r="AC161" s="6" t="s">
        <v>174</v>
      </c>
      <c r="AD161" s="6" t="s">
        <v>175</v>
      </c>
      <c r="AE161" s="6" t="s">
        <v>271</v>
      </c>
      <c r="AF161" s="6" t="s">
        <v>181</v>
      </c>
      <c r="AG161" s="6" t="s">
        <v>641</v>
      </c>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row>
    <row r="162" ht="22.5" customHeight="1">
      <c r="A162" s="4">
        <v>46229.69749335648</v>
      </c>
      <c r="B162" s="5">
        <v>0.0</v>
      </c>
      <c r="C162" s="6" t="s">
        <v>114</v>
      </c>
      <c r="D162" s="6" t="s">
        <v>444</v>
      </c>
      <c r="E162" s="6" t="s">
        <v>445</v>
      </c>
      <c r="F162" s="6">
        <v>6.9070509841E10</v>
      </c>
      <c r="G162" s="6" t="s">
        <v>496</v>
      </c>
      <c r="H162" s="7"/>
      <c r="I162" s="6" t="s">
        <v>3957</v>
      </c>
      <c r="J162" s="6" t="s">
        <v>3958</v>
      </c>
      <c r="K162" s="6" t="s">
        <v>3959</v>
      </c>
      <c r="L162" s="6" t="s">
        <v>3960</v>
      </c>
      <c r="M162" s="6" t="s">
        <v>3961</v>
      </c>
      <c r="N162" s="7"/>
      <c r="O162" s="6" t="s">
        <v>3962</v>
      </c>
      <c r="P162" s="6" t="s">
        <v>3963</v>
      </c>
      <c r="Q162" s="6" t="s">
        <v>3964</v>
      </c>
      <c r="R162" s="6" t="s">
        <v>246</v>
      </c>
      <c r="S162" s="6" t="s">
        <v>147</v>
      </c>
      <c r="T162" s="6" t="s">
        <v>250</v>
      </c>
      <c r="U162" s="6" t="s">
        <v>686</v>
      </c>
      <c r="V162" s="6" t="s">
        <v>246</v>
      </c>
      <c r="W162" s="6" t="s">
        <v>158</v>
      </c>
      <c r="X162" s="6" t="s">
        <v>257</v>
      </c>
      <c r="Y162" s="6" t="s">
        <v>162</v>
      </c>
      <c r="Z162" s="6" t="s">
        <v>165</v>
      </c>
      <c r="AA162" s="6" t="s">
        <v>2307</v>
      </c>
      <c r="AB162" s="6" t="s">
        <v>521</v>
      </c>
      <c r="AC162" s="6" t="s">
        <v>174</v>
      </c>
      <c r="AD162" s="6" t="s">
        <v>175</v>
      </c>
      <c r="AE162" s="6" t="s">
        <v>524</v>
      </c>
      <c r="AF162" s="6" t="s">
        <v>181</v>
      </c>
      <c r="AG162" s="6" t="s">
        <v>182</v>
      </c>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row>
    <row r="163" ht="22.5" customHeight="1">
      <c r="A163" s="4">
        <v>46229.69749709491</v>
      </c>
      <c r="B163" s="5">
        <v>0.0</v>
      </c>
      <c r="C163" s="6" t="s">
        <v>114</v>
      </c>
      <c r="D163" s="6" t="s">
        <v>449</v>
      </c>
      <c r="E163" s="6" t="s">
        <v>450</v>
      </c>
      <c r="F163" s="6">
        <v>6.9070500201E10</v>
      </c>
      <c r="G163" s="6" t="s">
        <v>599</v>
      </c>
      <c r="H163" s="7"/>
      <c r="I163" s="6" t="s">
        <v>3965</v>
      </c>
      <c r="J163" s="6" t="s">
        <v>3966</v>
      </c>
      <c r="K163" s="6" t="s">
        <v>3967</v>
      </c>
      <c r="L163" s="6" t="s">
        <v>3968</v>
      </c>
      <c r="M163" s="6" t="s">
        <v>3969</v>
      </c>
      <c r="N163" s="7"/>
      <c r="O163" s="6" t="s">
        <v>3970</v>
      </c>
      <c r="P163" s="6" t="s">
        <v>3971</v>
      </c>
      <c r="Q163" s="6" t="s">
        <v>3972</v>
      </c>
      <c r="R163" s="6" t="s">
        <v>246</v>
      </c>
      <c r="S163" s="6" t="s">
        <v>147</v>
      </c>
      <c r="T163" s="6" t="s">
        <v>250</v>
      </c>
      <c r="U163" s="6" t="s">
        <v>560</v>
      </c>
      <c r="V163" s="6" t="s">
        <v>246</v>
      </c>
      <c r="W163" s="6" t="s">
        <v>158</v>
      </c>
      <c r="X163" s="6" t="s">
        <v>257</v>
      </c>
      <c r="Y163" s="6" t="s">
        <v>162</v>
      </c>
      <c r="Z163" s="6" t="s">
        <v>165</v>
      </c>
      <c r="AA163" s="6" t="s">
        <v>262</v>
      </c>
      <c r="AB163" s="6" t="s">
        <v>521</v>
      </c>
      <c r="AC163" s="6" t="s">
        <v>174</v>
      </c>
      <c r="AD163" s="6" t="s">
        <v>175</v>
      </c>
      <c r="AE163" s="6" t="s">
        <v>271</v>
      </c>
      <c r="AF163" s="6" t="s">
        <v>181</v>
      </c>
      <c r="AG163" s="6" t="s">
        <v>182</v>
      </c>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row>
    <row r="164" ht="22.5" customHeight="1">
      <c r="A164" s="4">
        <v>46229.697527199074</v>
      </c>
      <c r="B164" s="5">
        <v>0.0</v>
      </c>
      <c r="C164" s="6" t="s">
        <v>114</v>
      </c>
      <c r="D164" s="6" t="s">
        <v>454</v>
      </c>
      <c r="E164" s="6" t="s">
        <v>455</v>
      </c>
      <c r="F164" s="6">
        <v>6.9070500248E10</v>
      </c>
      <c r="G164" s="6" t="s">
        <v>599</v>
      </c>
      <c r="H164" s="6" t="s">
        <v>3973</v>
      </c>
      <c r="I164" s="6" t="s">
        <v>3457</v>
      </c>
      <c r="J164" s="6" t="s">
        <v>3322</v>
      </c>
      <c r="K164" s="6" t="s">
        <v>3974</v>
      </c>
      <c r="L164" s="6" t="s">
        <v>3161</v>
      </c>
      <c r="M164" s="6" t="s">
        <v>3975</v>
      </c>
      <c r="N164" s="6" t="s">
        <v>2633</v>
      </c>
      <c r="O164" s="6" t="s">
        <v>3976</v>
      </c>
      <c r="P164" s="6" t="s">
        <v>3977</v>
      </c>
      <c r="Q164" s="6" t="s">
        <v>3978</v>
      </c>
      <c r="R164" s="6" t="s">
        <v>257</v>
      </c>
      <c r="S164" s="6" t="s">
        <v>147</v>
      </c>
      <c r="T164" s="6" t="s">
        <v>149</v>
      </c>
      <c r="U164" s="6" t="s">
        <v>252</v>
      </c>
      <c r="V164" s="6" t="s">
        <v>246</v>
      </c>
      <c r="W164" s="6" t="s">
        <v>158</v>
      </c>
      <c r="X164" s="6" t="s">
        <v>161</v>
      </c>
      <c r="Y164" s="6" t="s">
        <v>162</v>
      </c>
      <c r="Z164" s="6" t="s">
        <v>165</v>
      </c>
      <c r="AA164" s="6" t="s">
        <v>262</v>
      </c>
      <c r="AB164" s="6" t="s">
        <v>171</v>
      </c>
      <c r="AC164" s="6" t="s">
        <v>1669</v>
      </c>
      <c r="AD164" s="6" t="s">
        <v>175</v>
      </c>
      <c r="AE164" s="6" t="s">
        <v>3105</v>
      </c>
      <c r="AF164" s="6" t="s">
        <v>181</v>
      </c>
      <c r="AG164" s="6" t="s">
        <v>641</v>
      </c>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row>
    <row r="165" ht="22.5" customHeight="1">
      <c r="A165" s="4">
        <v>46229.69753013889</v>
      </c>
      <c r="B165" s="5">
        <v>0.0</v>
      </c>
      <c r="C165" s="6" t="s">
        <v>114</v>
      </c>
      <c r="D165" s="6" t="s">
        <v>60</v>
      </c>
      <c r="E165" s="6" t="s">
        <v>456</v>
      </c>
      <c r="F165" s="6">
        <v>6.9070500437E10</v>
      </c>
      <c r="G165" s="6" t="s">
        <v>310</v>
      </c>
      <c r="H165" s="6" t="s">
        <v>3979</v>
      </c>
      <c r="I165" s="6" t="s">
        <v>3980</v>
      </c>
      <c r="J165" s="6" t="s">
        <v>3981</v>
      </c>
      <c r="K165" s="6" t="s">
        <v>3982</v>
      </c>
      <c r="L165" s="6" t="s">
        <v>3983</v>
      </c>
      <c r="M165" s="6" t="s">
        <v>3984</v>
      </c>
      <c r="N165" s="6" t="s">
        <v>3985</v>
      </c>
      <c r="O165" s="6" t="s">
        <v>3986</v>
      </c>
      <c r="P165" s="6" t="s">
        <v>3987</v>
      </c>
      <c r="Q165" s="6" t="s">
        <v>3988</v>
      </c>
      <c r="R165" s="6" t="s">
        <v>257</v>
      </c>
      <c r="S165" s="6" t="s">
        <v>147</v>
      </c>
      <c r="T165" s="6" t="s">
        <v>250</v>
      </c>
      <c r="U165" s="6" t="s">
        <v>252</v>
      </c>
      <c r="V165" s="6" t="s">
        <v>246</v>
      </c>
      <c r="W165" s="6" t="s">
        <v>158</v>
      </c>
      <c r="X165" s="6" t="s">
        <v>257</v>
      </c>
      <c r="Y165" s="6" t="s">
        <v>162</v>
      </c>
      <c r="Z165" s="6" t="s">
        <v>165</v>
      </c>
      <c r="AA165" s="6" t="s">
        <v>262</v>
      </c>
      <c r="AB165" s="6" t="s">
        <v>171</v>
      </c>
      <c r="AC165" s="6" t="s">
        <v>174</v>
      </c>
      <c r="AD165" s="6" t="s">
        <v>175</v>
      </c>
      <c r="AE165" s="6" t="s">
        <v>271</v>
      </c>
      <c r="AF165" s="6" t="s">
        <v>181</v>
      </c>
      <c r="AG165" s="6" t="s">
        <v>182</v>
      </c>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row>
    <row r="166" ht="22.5" customHeight="1">
      <c r="A166" s="4">
        <v>46229.697533541665</v>
      </c>
      <c r="B166" s="5">
        <v>0.0</v>
      </c>
      <c r="C166" s="6" t="s">
        <v>114</v>
      </c>
      <c r="D166" s="6" t="s">
        <v>457</v>
      </c>
      <c r="E166" s="6" t="s">
        <v>459</v>
      </c>
      <c r="F166" s="6">
        <v>6.9070509825E10</v>
      </c>
      <c r="G166" s="6" t="s">
        <v>496</v>
      </c>
      <c r="H166" s="7"/>
      <c r="I166" s="6" t="s">
        <v>3989</v>
      </c>
      <c r="J166" s="6" t="s">
        <v>504</v>
      </c>
      <c r="K166" s="6" t="s">
        <v>3990</v>
      </c>
      <c r="L166" s="6" t="s">
        <v>3991</v>
      </c>
      <c r="M166" s="6" t="s">
        <v>500</v>
      </c>
      <c r="N166" s="7"/>
      <c r="O166" s="6" t="s">
        <v>3992</v>
      </c>
      <c r="P166" s="6" t="s">
        <v>3993</v>
      </c>
      <c r="Q166" s="6" t="s">
        <v>3994</v>
      </c>
      <c r="R166" s="6" t="s">
        <v>246</v>
      </c>
      <c r="S166" s="6" t="s">
        <v>147</v>
      </c>
      <c r="T166" s="6" t="s">
        <v>246</v>
      </c>
      <c r="U166" s="6" t="s">
        <v>560</v>
      </c>
      <c r="V166" s="6" t="s">
        <v>246</v>
      </c>
      <c r="W166" s="6" t="s">
        <v>158</v>
      </c>
      <c r="X166" s="6" t="s">
        <v>257</v>
      </c>
      <c r="Y166" s="6" t="s">
        <v>162</v>
      </c>
      <c r="Z166" s="6" t="s">
        <v>165</v>
      </c>
      <c r="AA166" s="6" t="s">
        <v>262</v>
      </c>
      <c r="AB166" s="6" t="s">
        <v>521</v>
      </c>
      <c r="AC166" s="6" t="s">
        <v>174</v>
      </c>
      <c r="AD166" s="6" t="s">
        <v>175</v>
      </c>
      <c r="AE166" s="6" t="s">
        <v>271</v>
      </c>
      <c r="AF166" s="6" t="s">
        <v>181</v>
      </c>
      <c r="AG166" s="6" t="s">
        <v>182</v>
      </c>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row>
    <row r="167" ht="22.5" customHeight="1">
      <c r="A167" s="4">
        <v>46229.69754008102</v>
      </c>
      <c r="B167" s="5">
        <v>0.0</v>
      </c>
      <c r="C167" s="6" t="s">
        <v>114</v>
      </c>
      <c r="D167" s="6" t="s">
        <v>460</v>
      </c>
      <c r="E167" s="6" t="s">
        <v>461</v>
      </c>
      <c r="F167" s="6">
        <v>6.9070505223E10</v>
      </c>
      <c r="G167" s="6" t="s">
        <v>1470</v>
      </c>
      <c r="H167" s="7"/>
      <c r="I167" s="6" t="s">
        <v>3995</v>
      </c>
      <c r="J167" s="6" t="s">
        <v>314</v>
      </c>
      <c r="K167" s="6" t="s">
        <v>3996</v>
      </c>
      <c r="L167" s="6" t="s">
        <v>3997</v>
      </c>
      <c r="M167" s="6" t="s">
        <v>3998</v>
      </c>
      <c r="N167" s="7"/>
      <c r="O167" s="6" t="s">
        <v>3999</v>
      </c>
      <c r="P167" s="6" t="s">
        <v>4000</v>
      </c>
      <c r="Q167" s="6" t="s">
        <v>4001</v>
      </c>
      <c r="R167" s="6" t="s">
        <v>145</v>
      </c>
      <c r="S167" s="6" t="s">
        <v>147</v>
      </c>
      <c r="T167" s="6" t="s">
        <v>250</v>
      </c>
      <c r="U167" s="6" t="s">
        <v>2254</v>
      </c>
      <c r="V167" s="6" t="s">
        <v>155</v>
      </c>
      <c r="W167" s="6" t="s">
        <v>158</v>
      </c>
      <c r="X167" s="6" t="s">
        <v>458</v>
      </c>
      <c r="Y167" s="6" t="s">
        <v>162</v>
      </c>
      <c r="Z167" s="6" t="s">
        <v>165</v>
      </c>
      <c r="AA167" s="6" t="s">
        <v>262</v>
      </c>
      <c r="AB167" s="6" t="s">
        <v>171</v>
      </c>
      <c r="AC167" s="6" t="s">
        <v>174</v>
      </c>
      <c r="AD167" s="6" t="s">
        <v>1723</v>
      </c>
      <c r="AE167" s="6" t="s">
        <v>3105</v>
      </c>
      <c r="AF167" s="6" t="s">
        <v>181</v>
      </c>
      <c r="AG167" s="6" t="s">
        <v>182</v>
      </c>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row>
    <row r="168" ht="22.5" customHeight="1">
      <c r="A168" s="4">
        <v>46229.69756263889</v>
      </c>
      <c r="B168" s="5">
        <v>0.0</v>
      </c>
      <c r="C168" s="6" t="s">
        <v>114</v>
      </c>
      <c r="D168" s="6" t="s">
        <v>462</v>
      </c>
      <c r="E168" s="6" t="s">
        <v>463</v>
      </c>
      <c r="F168" s="6">
        <v>6.9070506413E10</v>
      </c>
      <c r="G168" s="6" t="s">
        <v>599</v>
      </c>
      <c r="H168" s="7"/>
      <c r="I168" s="6" t="s">
        <v>4002</v>
      </c>
      <c r="J168" s="6" t="s">
        <v>4003</v>
      </c>
      <c r="K168" s="6" t="s">
        <v>4004</v>
      </c>
      <c r="L168" s="6" t="s">
        <v>4005</v>
      </c>
      <c r="M168" s="6" t="s">
        <v>3564</v>
      </c>
      <c r="N168" s="6" t="s">
        <v>4006</v>
      </c>
      <c r="O168" s="6" t="s">
        <v>4007</v>
      </c>
      <c r="P168" s="6" t="s">
        <v>4008</v>
      </c>
      <c r="Q168" s="6" t="s">
        <v>4009</v>
      </c>
      <c r="R168" s="6" t="s">
        <v>861</v>
      </c>
      <c r="S168" s="6" t="s">
        <v>147</v>
      </c>
      <c r="T168" s="6" t="s">
        <v>516</v>
      </c>
      <c r="U168" s="6" t="s">
        <v>252</v>
      </c>
      <c r="V168" s="6" t="s">
        <v>246</v>
      </c>
      <c r="W168" s="6" t="s">
        <v>158</v>
      </c>
      <c r="X168" s="6" t="s">
        <v>246</v>
      </c>
      <c r="Y168" s="6" t="s">
        <v>162</v>
      </c>
      <c r="Z168" s="6" t="s">
        <v>165</v>
      </c>
      <c r="AA168" s="6" t="s">
        <v>262</v>
      </c>
      <c r="AB168" s="6" t="s">
        <v>4010</v>
      </c>
      <c r="AC168" s="6" t="s">
        <v>174</v>
      </c>
      <c r="AD168" s="6" t="s">
        <v>175</v>
      </c>
      <c r="AE168" s="6" t="s">
        <v>524</v>
      </c>
      <c r="AF168" s="6" t="s">
        <v>811</v>
      </c>
      <c r="AG168" s="6" t="s">
        <v>1326</v>
      </c>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row>
    <row r="169" ht="22.5" customHeight="1">
      <c r="A169" s="4">
        <v>46229.69756503472</v>
      </c>
      <c r="B169" s="5">
        <v>0.0</v>
      </c>
      <c r="C169" s="6" t="s">
        <v>114</v>
      </c>
      <c r="D169" s="6" t="s">
        <v>464</v>
      </c>
      <c r="E169" s="6" t="s">
        <v>465</v>
      </c>
      <c r="F169" s="6">
        <v>6.9070501248E10</v>
      </c>
      <c r="G169" s="6" t="s">
        <v>228</v>
      </c>
      <c r="H169" s="6" t="s">
        <v>4011</v>
      </c>
      <c r="I169" s="6" t="s">
        <v>3329</v>
      </c>
      <c r="J169" s="6" t="s">
        <v>4012</v>
      </c>
      <c r="K169" s="6" t="s">
        <v>4013</v>
      </c>
      <c r="L169" s="6" t="s">
        <v>3261</v>
      </c>
      <c r="M169" s="6" t="s">
        <v>4014</v>
      </c>
      <c r="N169" s="7"/>
      <c r="O169" s="6" t="s">
        <v>4015</v>
      </c>
      <c r="P169" s="6" t="s">
        <v>4016</v>
      </c>
      <c r="Q169" s="6" t="s">
        <v>4017</v>
      </c>
      <c r="R169" s="6" t="s">
        <v>246</v>
      </c>
      <c r="S169" s="6" t="s">
        <v>147</v>
      </c>
      <c r="T169" s="6" t="s">
        <v>250</v>
      </c>
      <c r="U169" s="6" t="s">
        <v>152</v>
      </c>
      <c r="V169" s="6" t="s">
        <v>155</v>
      </c>
      <c r="W169" s="6" t="s">
        <v>158</v>
      </c>
      <c r="X169" s="6" t="s">
        <v>257</v>
      </c>
      <c r="Y169" s="6" t="s">
        <v>162</v>
      </c>
      <c r="Z169" s="6" t="s">
        <v>165</v>
      </c>
      <c r="AA169" s="6" t="s">
        <v>262</v>
      </c>
      <c r="AB169" s="6" t="s">
        <v>171</v>
      </c>
      <c r="AC169" s="6" t="s">
        <v>174</v>
      </c>
      <c r="AD169" s="6" t="s">
        <v>175</v>
      </c>
      <c r="AE169" s="6" t="s">
        <v>271</v>
      </c>
      <c r="AF169" s="6" t="s">
        <v>181</v>
      </c>
      <c r="AG169" s="6" t="s">
        <v>182</v>
      </c>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row>
    <row r="170" ht="22.5" customHeight="1">
      <c r="A170" s="4">
        <v>46229.69756803241</v>
      </c>
      <c r="B170" s="5">
        <v>0.0</v>
      </c>
      <c r="C170" s="6" t="s">
        <v>114</v>
      </c>
      <c r="D170" s="6" t="s">
        <v>466</v>
      </c>
      <c r="E170" s="6" t="s">
        <v>467</v>
      </c>
      <c r="F170" s="6">
        <v>6.9070508207E10</v>
      </c>
      <c r="G170" s="6" t="s">
        <v>730</v>
      </c>
      <c r="H170" s="6" t="s">
        <v>4018</v>
      </c>
      <c r="I170" s="6" t="s">
        <v>4019</v>
      </c>
      <c r="J170" s="6" t="s">
        <v>4020</v>
      </c>
      <c r="K170" s="6" t="s">
        <v>4021</v>
      </c>
      <c r="L170" s="6" t="s">
        <v>4022</v>
      </c>
      <c r="M170" s="6" t="s">
        <v>4023</v>
      </c>
      <c r="N170" s="7"/>
      <c r="O170" s="6" t="s">
        <v>4024</v>
      </c>
      <c r="P170" s="6" t="s">
        <v>4025</v>
      </c>
      <c r="Q170" s="6" t="s">
        <v>4026</v>
      </c>
      <c r="R170" s="6" t="s">
        <v>246</v>
      </c>
      <c r="S170" s="6" t="s">
        <v>147</v>
      </c>
      <c r="T170" s="6" t="s">
        <v>250</v>
      </c>
      <c r="U170" s="6" t="s">
        <v>686</v>
      </c>
      <c r="V170" s="6" t="s">
        <v>246</v>
      </c>
      <c r="W170" s="6" t="s">
        <v>158</v>
      </c>
      <c r="X170" s="6" t="s">
        <v>161</v>
      </c>
      <c r="Y170" s="6" t="s">
        <v>162</v>
      </c>
      <c r="Z170" s="6" t="s">
        <v>165</v>
      </c>
      <c r="AA170" s="6" t="s">
        <v>1322</v>
      </c>
      <c r="AB170" s="6" t="s">
        <v>171</v>
      </c>
      <c r="AC170" s="6" t="s">
        <v>174</v>
      </c>
      <c r="AD170" s="6" t="s">
        <v>635</v>
      </c>
      <c r="AE170" s="6" t="s">
        <v>178</v>
      </c>
      <c r="AF170" s="6" t="s">
        <v>181</v>
      </c>
      <c r="AG170" s="6" t="s">
        <v>182</v>
      </c>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row>
    <row r="171" ht="22.5" customHeight="1">
      <c r="A171" s="4">
        <v>46229.697577962965</v>
      </c>
      <c r="B171" s="5">
        <v>0.0</v>
      </c>
      <c r="C171" s="6" t="s">
        <v>114</v>
      </c>
      <c r="D171" s="6" t="s">
        <v>468</v>
      </c>
      <c r="E171" s="6" t="s">
        <v>469</v>
      </c>
      <c r="F171" s="6">
        <v>6.9070501063E10</v>
      </c>
      <c r="G171" s="6" t="s">
        <v>1470</v>
      </c>
      <c r="H171" s="7"/>
      <c r="I171" s="6" t="s">
        <v>4027</v>
      </c>
      <c r="J171" s="6" t="s">
        <v>4028</v>
      </c>
      <c r="K171" s="6" t="s">
        <v>4029</v>
      </c>
      <c r="L171" s="6" t="s">
        <v>2180</v>
      </c>
      <c r="M171" s="6" t="s">
        <v>2183</v>
      </c>
      <c r="N171" s="7"/>
      <c r="O171" s="6" t="s">
        <v>4030</v>
      </c>
      <c r="P171" s="6" t="s">
        <v>4031</v>
      </c>
      <c r="Q171" s="6" t="s">
        <v>4032</v>
      </c>
      <c r="R171" s="6" t="s">
        <v>246</v>
      </c>
      <c r="S171" s="6" t="s">
        <v>147</v>
      </c>
      <c r="T171" s="6" t="s">
        <v>250</v>
      </c>
      <c r="U171" s="6" t="s">
        <v>560</v>
      </c>
      <c r="V171" s="6" t="s">
        <v>246</v>
      </c>
      <c r="W171" s="6" t="s">
        <v>158</v>
      </c>
      <c r="X171" s="6" t="s">
        <v>257</v>
      </c>
      <c r="Y171" s="6" t="s">
        <v>162</v>
      </c>
      <c r="Z171" s="6" t="s">
        <v>804</v>
      </c>
      <c r="AA171" s="6" t="s">
        <v>262</v>
      </c>
      <c r="AB171" s="6" t="s">
        <v>171</v>
      </c>
      <c r="AC171" s="6" t="s">
        <v>1669</v>
      </c>
      <c r="AD171" s="6" t="s">
        <v>175</v>
      </c>
      <c r="AE171" s="6" t="s">
        <v>271</v>
      </c>
      <c r="AF171" s="6" t="s">
        <v>181</v>
      </c>
      <c r="AG171" s="6" t="s">
        <v>182</v>
      </c>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row>
    <row r="172" ht="22.5" customHeight="1">
      <c r="A172" s="4">
        <v>46229.69758927083</v>
      </c>
      <c r="B172" s="5">
        <v>0.0</v>
      </c>
      <c r="C172" s="6" t="s">
        <v>114</v>
      </c>
      <c r="D172" s="6" t="s">
        <v>470</v>
      </c>
      <c r="E172" s="6" t="s">
        <v>471</v>
      </c>
      <c r="F172" s="6">
        <v>6.9070506424E10</v>
      </c>
      <c r="G172" s="6" t="s">
        <v>599</v>
      </c>
      <c r="H172" s="7"/>
      <c r="I172" s="6" t="s">
        <v>4033</v>
      </c>
      <c r="J172" s="6" t="s">
        <v>4034</v>
      </c>
      <c r="K172" s="6" t="s">
        <v>4035</v>
      </c>
      <c r="L172" s="6" t="s">
        <v>4036</v>
      </c>
      <c r="M172" s="6" t="s">
        <v>4037</v>
      </c>
      <c r="N172" s="7"/>
      <c r="O172" s="6" t="s">
        <v>4038</v>
      </c>
      <c r="P172" s="6" t="s">
        <v>4039</v>
      </c>
      <c r="Q172" s="6" t="s">
        <v>4040</v>
      </c>
      <c r="R172" s="6" t="s">
        <v>246</v>
      </c>
      <c r="S172" s="6" t="s">
        <v>147</v>
      </c>
      <c r="T172" s="6" t="s">
        <v>250</v>
      </c>
      <c r="U172" s="6" t="s">
        <v>252</v>
      </c>
      <c r="V172" s="6" t="s">
        <v>246</v>
      </c>
      <c r="W172" s="6" t="s">
        <v>158</v>
      </c>
      <c r="X172" s="6" t="s">
        <v>257</v>
      </c>
      <c r="Y172" s="6" t="s">
        <v>162</v>
      </c>
      <c r="Z172" s="6" t="s">
        <v>165</v>
      </c>
      <c r="AA172" s="6" t="s">
        <v>262</v>
      </c>
      <c r="AB172" s="6" t="s">
        <v>521</v>
      </c>
      <c r="AC172" s="6" t="s">
        <v>174</v>
      </c>
      <c r="AD172" s="6" t="s">
        <v>175</v>
      </c>
      <c r="AE172" s="6" t="s">
        <v>271</v>
      </c>
      <c r="AF172" s="6" t="s">
        <v>181</v>
      </c>
      <c r="AG172" s="6" t="s">
        <v>182</v>
      </c>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row>
    <row r="173" ht="22.5" customHeight="1">
      <c r="A173" s="4">
        <v>46229.6975917824</v>
      </c>
      <c r="B173" s="5">
        <v>0.0</v>
      </c>
      <c r="C173" s="6" t="s">
        <v>114</v>
      </c>
      <c r="D173" s="6" t="s">
        <v>472</v>
      </c>
      <c r="E173" s="6" t="s">
        <v>473</v>
      </c>
      <c r="F173" s="6">
        <v>6.9070502807E10</v>
      </c>
      <c r="G173" s="6" t="s">
        <v>310</v>
      </c>
      <c r="H173" s="6" t="s">
        <v>4041</v>
      </c>
      <c r="I173" s="6" t="s">
        <v>4042</v>
      </c>
      <c r="J173" s="6" t="s">
        <v>4043</v>
      </c>
      <c r="K173" s="6" t="s">
        <v>4044</v>
      </c>
      <c r="L173" s="6" t="s">
        <v>4045</v>
      </c>
      <c r="M173" s="6" t="s">
        <v>4046</v>
      </c>
      <c r="N173" s="6" t="s">
        <v>4047</v>
      </c>
      <c r="O173" s="6" t="s">
        <v>4048</v>
      </c>
      <c r="P173" s="6" t="s">
        <v>4049</v>
      </c>
      <c r="Q173" s="6" t="s">
        <v>4050</v>
      </c>
      <c r="R173" s="6" t="s">
        <v>246</v>
      </c>
      <c r="S173" s="6" t="s">
        <v>147</v>
      </c>
      <c r="T173" s="6" t="s">
        <v>246</v>
      </c>
      <c r="U173" s="6" t="s">
        <v>2254</v>
      </c>
      <c r="V173" s="6" t="s">
        <v>246</v>
      </c>
      <c r="W173" s="6" t="s">
        <v>158</v>
      </c>
      <c r="X173" s="6" t="s">
        <v>161</v>
      </c>
      <c r="Y173" s="6" t="s">
        <v>162</v>
      </c>
      <c r="Z173" s="6" t="s">
        <v>165</v>
      </c>
      <c r="AA173" s="6" t="s">
        <v>262</v>
      </c>
      <c r="AB173" s="6" t="s">
        <v>521</v>
      </c>
      <c r="AC173" s="6" t="s">
        <v>1210</v>
      </c>
      <c r="AD173" s="6" t="s">
        <v>175</v>
      </c>
      <c r="AE173" s="6" t="s">
        <v>3105</v>
      </c>
      <c r="AF173" s="6" t="s">
        <v>174</v>
      </c>
      <c r="AG173" s="6" t="s">
        <v>182</v>
      </c>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row>
    <row r="174" ht="22.5" customHeight="1">
      <c r="A174" s="4">
        <v>46229.69760934028</v>
      </c>
      <c r="B174" s="5">
        <v>0.0</v>
      </c>
      <c r="C174" s="6" t="s">
        <v>114</v>
      </c>
      <c r="D174" s="6" t="s">
        <v>474</v>
      </c>
      <c r="E174" s="6" t="s">
        <v>475</v>
      </c>
      <c r="F174" s="6">
        <v>6.9070502512E10</v>
      </c>
      <c r="G174" s="6" t="s">
        <v>122</v>
      </c>
      <c r="H174" s="6" t="s">
        <v>2442</v>
      </c>
      <c r="I174" s="6" t="s">
        <v>4051</v>
      </c>
      <c r="J174" s="6" t="s">
        <v>4052</v>
      </c>
      <c r="K174" s="6" t="s">
        <v>4053</v>
      </c>
      <c r="L174" s="6" t="s">
        <v>4054</v>
      </c>
      <c r="M174" s="6" t="s">
        <v>4055</v>
      </c>
      <c r="N174" s="7"/>
      <c r="O174" s="6" t="s">
        <v>4056</v>
      </c>
      <c r="P174" s="6" t="s">
        <v>4057</v>
      </c>
      <c r="Q174" s="6" t="s">
        <v>4058</v>
      </c>
      <c r="R174" s="6" t="s">
        <v>246</v>
      </c>
      <c r="S174" s="6" t="s">
        <v>147</v>
      </c>
      <c r="T174" s="6" t="s">
        <v>250</v>
      </c>
      <c r="U174" s="6" t="s">
        <v>252</v>
      </c>
      <c r="V174" s="6" t="s">
        <v>2302</v>
      </c>
      <c r="W174" s="6" t="s">
        <v>932</v>
      </c>
      <c r="X174" s="6" t="s">
        <v>257</v>
      </c>
      <c r="Y174" s="6" t="s">
        <v>162</v>
      </c>
      <c r="Z174" s="6" t="s">
        <v>804</v>
      </c>
      <c r="AA174" s="6" t="s">
        <v>2307</v>
      </c>
      <c r="AB174" s="6" t="s">
        <v>3847</v>
      </c>
      <c r="AC174" s="6" t="s">
        <v>2718</v>
      </c>
      <c r="AD174" s="6" t="s">
        <v>175</v>
      </c>
      <c r="AE174" s="6" t="s">
        <v>178</v>
      </c>
      <c r="AF174" s="6" t="s">
        <v>811</v>
      </c>
      <c r="AG174" s="6" t="s">
        <v>812</v>
      </c>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row>
    <row r="175" ht="22.5" customHeight="1">
      <c r="A175" s="4">
        <v>46229.697618136575</v>
      </c>
      <c r="B175" s="5">
        <v>0.0</v>
      </c>
      <c r="C175" s="6" t="s">
        <v>3296</v>
      </c>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6" t="s">
        <v>2620</v>
      </c>
      <c r="AI175" s="6" t="s">
        <v>2621</v>
      </c>
      <c r="AJ175" s="6">
        <v>6.9070503437E10</v>
      </c>
      <c r="AK175" s="6" t="s">
        <v>3297</v>
      </c>
      <c r="AL175" s="7"/>
      <c r="AM175" s="6" t="s">
        <v>4059</v>
      </c>
      <c r="AN175" s="6" t="s">
        <v>4060</v>
      </c>
      <c r="AO175" s="6" t="s">
        <v>4061</v>
      </c>
      <c r="AP175" s="6" t="s">
        <v>4062</v>
      </c>
      <c r="AQ175" s="6" t="s">
        <v>4063</v>
      </c>
      <c r="AR175" s="7"/>
      <c r="AS175" s="6" t="s">
        <v>4064</v>
      </c>
      <c r="AT175" s="6" t="s">
        <v>4065</v>
      </c>
      <c r="AU175" s="6" t="s">
        <v>4066</v>
      </c>
      <c r="AV175" s="6" t="s">
        <v>3306</v>
      </c>
      <c r="AW175" s="6" t="s">
        <v>3307</v>
      </c>
      <c r="AX175" s="6" t="s">
        <v>3887</v>
      </c>
      <c r="AY175" s="6" t="s">
        <v>4067</v>
      </c>
      <c r="AZ175" s="6" t="s">
        <v>3306</v>
      </c>
      <c r="BA175" s="6" t="s">
        <v>3311</v>
      </c>
      <c r="BB175" s="6" t="s">
        <v>3312</v>
      </c>
      <c r="BC175" s="6" t="s">
        <v>3313</v>
      </c>
      <c r="BD175" s="6" t="s">
        <v>165</v>
      </c>
      <c r="BE175" s="6" t="s">
        <v>3888</v>
      </c>
      <c r="BF175" s="6" t="s">
        <v>3889</v>
      </c>
      <c r="BG175" s="6" t="s">
        <v>4068</v>
      </c>
      <c r="BH175" s="6" t="s">
        <v>3317</v>
      </c>
      <c r="BI175" s="6" t="s">
        <v>271</v>
      </c>
      <c r="BJ175" s="6" t="s">
        <v>3318</v>
      </c>
      <c r="BK175" s="6" t="s">
        <v>3319</v>
      </c>
    </row>
    <row r="176" ht="22.5" customHeight="1">
      <c r="A176" s="4">
        <v>46229.69762818287</v>
      </c>
      <c r="B176" s="5">
        <v>0.0</v>
      </c>
      <c r="C176" s="6" t="s">
        <v>114</v>
      </c>
      <c r="D176" s="6" t="s">
        <v>476</v>
      </c>
      <c r="E176" s="6" t="s">
        <v>477</v>
      </c>
      <c r="F176" s="6">
        <v>6.9070509806E10</v>
      </c>
      <c r="G176" s="6" t="s">
        <v>496</v>
      </c>
      <c r="H176" s="7"/>
      <c r="I176" s="6" t="s">
        <v>4069</v>
      </c>
      <c r="J176" s="6" t="s">
        <v>4070</v>
      </c>
      <c r="K176" s="6" t="s">
        <v>4071</v>
      </c>
      <c r="L176" s="6" t="s">
        <v>4072</v>
      </c>
      <c r="M176" s="6" t="s">
        <v>4073</v>
      </c>
      <c r="N176" s="6" t="s">
        <v>4074</v>
      </c>
      <c r="O176" s="6" t="s">
        <v>4075</v>
      </c>
      <c r="P176" s="6" t="s">
        <v>4076</v>
      </c>
      <c r="Q176" s="6" t="s">
        <v>4077</v>
      </c>
      <c r="R176" s="6" t="s">
        <v>246</v>
      </c>
      <c r="S176" s="6" t="s">
        <v>147</v>
      </c>
      <c r="T176" s="6" t="s">
        <v>250</v>
      </c>
      <c r="U176" s="6" t="s">
        <v>686</v>
      </c>
      <c r="V176" s="6" t="s">
        <v>246</v>
      </c>
      <c r="W176" s="6" t="s">
        <v>158</v>
      </c>
      <c r="X176" s="6" t="s">
        <v>257</v>
      </c>
      <c r="Y176" s="6" t="s">
        <v>162</v>
      </c>
      <c r="Z176" s="6" t="s">
        <v>165</v>
      </c>
      <c r="AA176" s="6" t="s">
        <v>262</v>
      </c>
      <c r="AB176" s="6" t="s">
        <v>171</v>
      </c>
      <c r="AC176" s="6" t="s">
        <v>174</v>
      </c>
      <c r="AD176" s="6" t="s">
        <v>175</v>
      </c>
      <c r="AE176" s="6" t="s">
        <v>271</v>
      </c>
      <c r="AF176" s="6" t="s">
        <v>181</v>
      </c>
      <c r="AG176" s="6" t="s">
        <v>182</v>
      </c>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row>
    <row r="177" ht="22.5" customHeight="1">
      <c r="A177" s="4">
        <v>46229.697630787035</v>
      </c>
      <c r="B177" s="5">
        <v>0.0</v>
      </c>
      <c r="C177" s="6" t="s">
        <v>114</v>
      </c>
      <c r="D177" s="6" t="s">
        <v>478</v>
      </c>
      <c r="E177" s="6" t="s">
        <v>479</v>
      </c>
      <c r="F177" s="6">
        <v>6.9070500227E10</v>
      </c>
      <c r="G177" s="6" t="s">
        <v>599</v>
      </c>
      <c r="H177" s="7"/>
      <c r="I177" s="6" t="s">
        <v>4078</v>
      </c>
      <c r="J177" s="6" t="s">
        <v>4079</v>
      </c>
      <c r="K177" s="6" t="s">
        <v>4080</v>
      </c>
      <c r="L177" s="6" t="s">
        <v>4081</v>
      </c>
      <c r="M177" s="6" t="s">
        <v>4082</v>
      </c>
      <c r="N177" s="6" t="s">
        <v>4083</v>
      </c>
      <c r="O177" s="6" t="s">
        <v>4084</v>
      </c>
      <c r="P177" s="6" t="s">
        <v>4085</v>
      </c>
      <c r="Q177" s="6" t="s">
        <v>4086</v>
      </c>
      <c r="R177" s="6" t="s">
        <v>257</v>
      </c>
      <c r="S177" s="6" t="s">
        <v>147</v>
      </c>
      <c r="T177" s="6" t="s">
        <v>250</v>
      </c>
      <c r="U177" s="6" t="s">
        <v>2254</v>
      </c>
      <c r="V177" s="6" t="s">
        <v>246</v>
      </c>
      <c r="W177" s="6" t="s">
        <v>158</v>
      </c>
      <c r="X177" s="6" t="s">
        <v>257</v>
      </c>
      <c r="Y177" s="6" t="s">
        <v>162</v>
      </c>
      <c r="Z177" s="6" t="s">
        <v>165</v>
      </c>
      <c r="AA177" s="6" t="s">
        <v>2307</v>
      </c>
      <c r="AB177" s="6" t="s">
        <v>171</v>
      </c>
      <c r="AC177" s="6" t="s">
        <v>633</v>
      </c>
      <c r="AD177" s="6" t="s">
        <v>175</v>
      </c>
      <c r="AE177" s="6" t="s">
        <v>3105</v>
      </c>
      <c r="AF177" s="6" t="s">
        <v>811</v>
      </c>
      <c r="AG177" s="6" t="s">
        <v>1326</v>
      </c>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row>
    <row r="178" ht="22.5" customHeight="1">
      <c r="A178" s="4">
        <v>46229.697631250005</v>
      </c>
      <c r="B178" s="5">
        <v>0.0</v>
      </c>
      <c r="C178" s="6" t="s">
        <v>114</v>
      </c>
      <c r="D178" s="6" t="s">
        <v>480</v>
      </c>
      <c r="E178" s="6" t="s">
        <v>481</v>
      </c>
      <c r="F178" s="6">
        <v>6.9070506447E10</v>
      </c>
      <c r="G178" s="6" t="s">
        <v>599</v>
      </c>
      <c r="H178" s="6" t="s">
        <v>4087</v>
      </c>
      <c r="I178" s="6" t="s">
        <v>4088</v>
      </c>
      <c r="J178" s="6" t="s">
        <v>4089</v>
      </c>
      <c r="K178" s="6" t="s">
        <v>4090</v>
      </c>
      <c r="L178" s="6" t="s">
        <v>4091</v>
      </c>
      <c r="M178" s="6" t="s">
        <v>4092</v>
      </c>
      <c r="N178" s="6" t="s">
        <v>4093</v>
      </c>
      <c r="O178" s="6" t="s">
        <v>4094</v>
      </c>
      <c r="P178" s="6" t="s">
        <v>4095</v>
      </c>
      <c r="Q178" s="6" t="s">
        <v>4096</v>
      </c>
      <c r="R178" s="6" t="s">
        <v>246</v>
      </c>
      <c r="S178" s="6" t="s">
        <v>147</v>
      </c>
      <c r="T178" s="6" t="s">
        <v>250</v>
      </c>
      <c r="U178" s="6" t="s">
        <v>686</v>
      </c>
      <c r="V178" s="6" t="s">
        <v>246</v>
      </c>
      <c r="W178" s="6" t="s">
        <v>158</v>
      </c>
      <c r="X178" s="6" t="s">
        <v>257</v>
      </c>
      <c r="Y178" s="6" t="s">
        <v>162</v>
      </c>
      <c r="Z178" s="6" t="s">
        <v>165</v>
      </c>
      <c r="AA178" s="6" t="s">
        <v>262</v>
      </c>
      <c r="AB178" s="6" t="s">
        <v>171</v>
      </c>
      <c r="AC178" s="6" t="s">
        <v>174</v>
      </c>
      <c r="AD178" s="6" t="s">
        <v>175</v>
      </c>
      <c r="AE178" s="6" t="s">
        <v>271</v>
      </c>
      <c r="AF178" s="6" t="s">
        <v>181</v>
      </c>
      <c r="AG178" s="6" t="s">
        <v>182</v>
      </c>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row>
    <row r="179" ht="22.5" customHeight="1">
      <c r="A179" s="4">
        <v>46229.697634791664</v>
      </c>
      <c r="B179" s="5">
        <v>0.0</v>
      </c>
      <c r="C179" s="6" t="s">
        <v>114</v>
      </c>
      <c r="D179" s="6" t="s">
        <v>482</v>
      </c>
      <c r="E179" s="6" t="s">
        <v>483</v>
      </c>
      <c r="F179" s="6">
        <v>6.9070509834E10</v>
      </c>
      <c r="G179" s="6" t="s">
        <v>496</v>
      </c>
      <c r="H179" s="7"/>
      <c r="I179" s="6" t="s">
        <v>4097</v>
      </c>
      <c r="J179" s="6" t="s">
        <v>4098</v>
      </c>
      <c r="K179" s="6" t="s">
        <v>4099</v>
      </c>
      <c r="L179" s="6" t="s">
        <v>4100</v>
      </c>
      <c r="M179" s="6" t="s">
        <v>4101</v>
      </c>
      <c r="N179" s="7"/>
      <c r="O179" s="6" t="s">
        <v>4102</v>
      </c>
      <c r="P179" s="6" t="s">
        <v>4103</v>
      </c>
      <c r="Q179" s="6" t="s">
        <v>4104</v>
      </c>
      <c r="R179" s="6" t="s">
        <v>861</v>
      </c>
      <c r="S179" s="6" t="s">
        <v>147</v>
      </c>
      <c r="T179" s="6" t="s">
        <v>257</v>
      </c>
      <c r="U179" s="6" t="s">
        <v>252</v>
      </c>
      <c r="V179" s="6" t="s">
        <v>155</v>
      </c>
      <c r="W179" s="6" t="s">
        <v>625</v>
      </c>
      <c r="X179" s="6" t="s">
        <v>250</v>
      </c>
      <c r="Y179" s="6" t="s">
        <v>162</v>
      </c>
      <c r="Z179" s="6" t="s">
        <v>165</v>
      </c>
      <c r="AA179" s="6" t="s">
        <v>262</v>
      </c>
      <c r="AB179" s="6" t="s">
        <v>171</v>
      </c>
      <c r="AC179" s="6" t="s">
        <v>174</v>
      </c>
      <c r="AD179" s="6" t="s">
        <v>175</v>
      </c>
      <c r="AE179" s="6" t="s">
        <v>271</v>
      </c>
      <c r="AF179" s="6" t="s">
        <v>181</v>
      </c>
      <c r="AG179" s="6" t="s">
        <v>182</v>
      </c>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row>
    <row r="180" ht="22.5" customHeight="1">
      <c r="A180" s="4">
        <v>46229.69763782407</v>
      </c>
      <c r="B180" s="5">
        <v>0.0</v>
      </c>
      <c r="C180" s="6" t="s">
        <v>114</v>
      </c>
      <c r="D180" s="6" t="s">
        <v>484</v>
      </c>
      <c r="E180" s="6" t="s">
        <v>485</v>
      </c>
      <c r="F180" s="6">
        <v>6.9070502808E10</v>
      </c>
      <c r="G180" s="6" t="s">
        <v>310</v>
      </c>
      <c r="H180" s="7"/>
      <c r="I180" s="6" t="s">
        <v>4105</v>
      </c>
      <c r="J180" s="6" t="s">
        <v>4106</v>
      </c>
      <c r="K180" s="6" t="s">
        <v>2610</v>
      </c>
      <c r="L180" s="6" t="s">
        <v>4107</v>
      </c>
      <c r="M180" s="6" t="s">
        <v>4108</v>
      </c>
      <c r="N180" s="7"/>
      <c r="O180" s="6" t="s">
        <v>4109</v>
      </c>
      <c r="P180" s="6" t="s">
        <v>4110</v>
      </c>
      <c r="Q180" s="6" t="s">
        <v>4111</v>
      </c>
      <c r="R180" s="6" t="s">
        <v>246</v>
      </c>
      <c r="S180" s="6" t="s">
        <v>4112</v>
      </c>
      <c r="T180" s="6" t="s">
        <v>257</v>
      </c>
      <c r="U180" s="6" t="s">
        <v>252</v>
      </c>
      <c r="V180" s="6" t="s">
        <v>246</v>
      </c>
      <c r="W180" s="6" t="s">
        <v>158</v>
      </c>
      <c r="X180" s="6" t="s">
        <v>250</v>
      </c>
      <c r="Y180" s="6" t="s">
        <v>162</v>
      </c>
      <c r="Z180" s="6" t="s">
        <v>165</v>
      </c>
      <c r="AA180" s="6" t="s">
        <v>262</v>
      </c>
      <c r="AB180" s="6" t="s">
        <v>521</v>
      </c>
      <c r="AC180" s="6" t="s">
        <v>174</v>
      </c>
      <c r="AD180" s="6" t="s">
        <v>1723</v>
      </c>
      <c r="AE180" s="6" t="s">
        <v>271</v>
      </c>
      <c r="AF180" s="6" t="s">
        <v>174</v>
      </c>
      <c r="AG180" s="6" t="s">
        <v>182</v>
      </c>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row>
    <row r="181" ht="22.5" customHeight="1">
      <c r="A181" s="4">
        <v>46229.697639861115</v>
      </c>
      <c r="B181" s="5">
        <v>0.0</v>
      </c>
      <c r="C181" s="6" t="s">
        <v>114</v>
      </c>
      <c r="D181" s="6" t="s">
        <v>486</v>
      </c>
      <c r="E181" s="6" t="s">
        <v>487</v>
      </c>
      <c r="F181" s="6">
        <v>6.9070500436E10</v>
      </c>
      <c r="G181" s="6" t="s">
        <v>310</v>
      </c>
      <c r="H181" s="6" t="s">
        <v>4113</v>
      </c>
      <c r="I181" s="6" t="s">
        <v>4114</v>
      </c>
      <c r="J181" s="6" t="s">
        <v>4115</v>
      </c>
      <c r="K181" s="6" t="s">
        <v>4116</v>
      </c>
      <c r="L181" s="6" t="s">
        <v>4117</v>
      </c>
      <c r="M181" s="6" t="s">
        <v>4118</v>
      </c>
      <c r="N181" s="7"/>
      <c r="O181" s="6" t="s">
        <v>4119</v>
      </c>
      <c r="P181" s="6" t="s">
        <v>4120</v>
      </c>
      <c r="Q181" s="6" t="s">
        <v>4121</v>
      </c>
      <c r="R181" s="6" t="s">
        <v>246</v>
      </c>
      <c r="S181" s="6" t="s">
        <v>147</v>
      </c>
      <c r="T181" s="6" t="s">
        <v>250</v>
      </c>
      <c r="U181" s="6" t="s">
        <v>686</v>
      </c>
      <c r="V181" s="6" t="s">
        <v>246</v>
      </c>
      <c r="W181" s="6" t="s">
        <v>158</v>
      </c>
      <c r="X181" s="6" t="s">
        <v>458</v>
      </c>
      <c r="Y181" s="6" t="s">
        <v>162</v>
      </c>
      <c r="Z181" s="6" t="s">
        <v>165</v>
      </c>
      <c r="AA181" s="6" t="s">
        <v>262</v>
      </c>
      <c r="AB181" s="6" t="s">
        <v>1266</v>
      </c>
      <c r="AC181" s="6" t="s">
        <v>1669</v>
      </c>
      <c r="AD181" s="6" t="s">
        <v>175</v>
      </c>
      <c r="AE181" s="6" t="s">
        <v>271</v>
      </c>
      <c r="AF181" s="6" t="s">
        <v>181</v>
      </c>
      <c r="AG181" s="6" t="s">
        <v>641</v>
      </c>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row>
    <row r="182" ht="22.5" customHeight="1">
      <c r="A182" s="4">
        <v>46229.69764221065</v>
      </c>
      <c r="B182" s="5">
        <v>0.0</v>
      </c>
      <c r="C182" s="6" t="s">
        <v>114</v>
      </c>
      <c r="D182" s="6" t="s">
        <v>488</v>
      </c>
      <c r="E182" s="6" t="s">
        <v>489</v>
      </c>
      <c r="F182" s="6">
        <v>6.9070502504E10</v>
      </c>
      <c r="G182" s="6" t="s">
        <v>122</v>
      </c>
      <c r="H182" s="6" t="s">
        <v>4122</v>
      </c>
      <c r="I182" s="6" t="s">
        <v>4123</v>
      </c>
      <c r="J182" s="6" t="s">
        <v>4124</v>
      </c>
      <c r="K182" s="6" t="s">
        <v>4125</v>
      </c>
      <c r="L182" s="6" t="s">
        <v>4126</v>
      </c>
      <c r="M182" s="6" t="s">
        <v>851</v>
      </c>
      <c r="N182" s="7"/>
      <c r="O182" s="6" t="s">
        <v>4127</v>
      </c>
      <c r="P182" s="6" t="s">
        <v>4128</v>
      </c>
      <c r="Q182" s="6" t="s">
        <v>4129</v>
      </c>
      <c r="R182" s="6" t="s">
        <v>246</v>
      </c>
      <c r="S182" s="6" t="s">
        <v>147</v>
      </c>
      <c r="T182" s="6" t="s">
        <v>250</v>
      </c>
      <c r="U182" s="6" t="s">
        <v>560</v>
      </c>
      <c r="V182" s="6" t="s">
        <v>246</v>
      </c>
      <c r="W182" s="6" t="s">
        <v>158</v>
      </c>
      <c r="X182" s="6" t="s">
        <v>257</v>
      </c>
      <c r="Y182" s="6" t="s">
        <v>162</v>
      </c>
      <c r="Z182" s="6" t="s">
        <v>165</v>
      </c>
      <c r="AA182" s="6" t="s">
        <v>262</v>
      </c>
      <c r="AB182" s="6" t="s">
        <v>171</v>
      </c>
      <c r="AC182" s="6" t="s">
        <v>174</v>
      </c>
      <c r="AD182" s="6" t="s">
        <v>175</v>
      </c>
      <c r="AE182" s="6" t="s">
        <v>271</v>
      </c>
      <c r="AF182" s="6" t="s">
        <v>181</v>
      </c>
      <c r="AG182" s="6" t="s">
        <v>182</v>
      </c>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row>
    <row r="183" ht="22.5" customHeight="1">
      <c r="A183" s="4">
        <v>46229.69764246528</v>
      </c>
      <c r="B183" s="5">
        <v>0.0</v>
      </c>
      <c r="C183" s="6" t="s">
        <v>114</v>
      </c>
      <c r="D183" s="6" t="s">
        <v>490</v>
      </c>
      <c r="E183" s="6" t="s">
        <v>491</v>
      </c>
      <c r="F183" s="6">
        <v>6.9070509833E10</v>
      </c>
      <c r="G183" s="6" t="s">
        <v>496</v>
      </c>
      <c r="H183" s="7"/>
      <c r="I183" s="6" t="s">
        <v>4130</v>
      </c>
      <c r="J183" s="6" t="s">
        <v>4131</v>
      </c>
      <c r="K183" s="6" t="s">
        <v>4132</v>
      </c>
      <c r="L183" s="6" t="s">
        <v>4133</v>
      </c>
      <c r="M183" s="6" t="s">
        <v>4134</v>
      </c>
      <c r="N183" s="6" t="s">
        <v>4135</v>
      </c>
      <c r="O183" s="6" t="s">
        <v>4136</v>
      </c>
      <c r="P183" s="6" t="s">
        <v>4137</v>
      </c>
      <c r="Q183" s="6" t="s">
        <v>4138</v>
      </c>
      <c r="R183" s="6" t="s">
        <v>257</v>
      </c>
      <c r="S183" s="6" t="s">
        <v>147</v>
      </c>
      <c r="T183" s="6" t="s">
        <v>246</v>
      </c>
      <c r="U183" s="6" t="s">
        <v>560</v>
      </c>
      <c r="V183" s="6" t="s">
        <v>246</v>
      </c>
      <c r="W183" s="6" t="s">
        <v>158</v>
      </c>
      <c r="X183" s="6" t="s">
        <v>257</v>
      </c>
      <c r="Y183" s="6" t="s">
        <v>162</v>
      </c>
      <c r="Z183" s="6" t="s">
        <v>165</v>
      </c>
      <c r="AA183" s="6" t="s">
        <v>262</v>
      </c>
      <c r="AB183" s="6" t="s">
        <v>171</v>
      </c>
      <c r="AC183" s="6" t="s">
        <v>174</v>
      </c>
      <c r="AD183" s="6" t="s">
        <v>175</v>
      </c>
      <c r="AE183" s="6" t="s">
        <v>271</v>
      </c>
      <c r="AF183" s="6" t="s">
        <v>181</v>
      </c>
      <c r="AG183" s="6" t="s">
        <v>182</v>
      </c>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row>
    <row r="184" ht="22.5" customHeight="1">
      <c r="A184" s="4">
        <v>46229.697678530094</v>
      </c>
      <c r="B184" s="5">
        <v>0.0</v>
      </c>
      <c r="C184" s="6" t="s">
        <v>114</v>
      </c>
      <c r="D184" s="6" t="s">
        <v>492</v>
      </c>
      <c r="E184" s="6" t="s">
        <v>493</v>
      </c>
      <c r="F184" s="6">
        <v>6.9070502501E10</v>
      </c>
      <c r="G184" s="6" t="s">
        <v>122</v>
      </c>
      <c r="H184" s="7"/>
      <c r="I184" s="6" t="s">
        <v>4139</v>
      </c>
      <c r="J184" s="6" t="s">
        <v>4140</v>
      </c>
      <c r="K184" s="6" t="s">
        <v>4141</v>
      </c>
      <c r="L184" s="6" t="s">
        <v>4142</v>
      </c>
      <c r="M184" s="6" t="s">
        <v>4143</v>
      </c>
      <c r="N184" s="7"/>
      <c r="O184" s="6" t="s">
        <v>4144</v>
      </c>
      <c r="P184" s="6" t="s">
        <v>4145</v>
      </c>
      <c r="Q184" s="6" t="s">
        <v>4146</v>
      </c>
      <c r="R184" s="6" t="s">
        <v>246</v>
      </c>
      <c r="S184" s="6" t="s">
        <v>147</v>
      </c>
      <c r="T184" s="6" t="s">
        <v>250</v>
      </c>
      <c r="U184" s="6" t="s">
        <v>686</v>
      </c>
      <c r="V184" s="6" t="s">
        <v>246</v>
      </c>
      <c r="W184" s="6" t="s">
        <v>158</v>
      </c>
      <c r="X184" s="6" t="s">
        <v>257</v>
      </c>
      <c r="Y184" s="6" t="s">
        <v>162</v>
      </c>
      <c r="Z184" s="6" t="s">
        <v>165</v>
      </c>
      <c r="AA184" s="6" t="s">
        <v>262</v>
      </c>
      <c r="AB184" s="6" t="s">
        <v>3847</v>
      </c>
      <c r="AC184" s="6" t="s">
        <v>174</v>
      </c>
      <c r="AD184" s="6" t="s">
        <v>175</v>
      </c>
      <c r="AE184" s="6" t="s">
        <v>271</v>
      </c>
      <c r="AF184" s="6" t="s">
        <v>181</v>
      </c>
      <c r="AG184" s="6" t="s">
        <v>182</v>
      </c>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row>
    <row r="185" ht="22.5" customHeight="1">
      <c r="A185" s="4">
        <v>46229.697683182865</v>
      </c>
      <c r="B185" s="5">
        <v>0.0</v>
      </c>
      <c r="C185" s="6" t="s">
        <v>114</v>
      </c>
      <c r="D185" s="6" t="s">
        <v>494</v>
      </c>
      <c r="E185" s="6" t="s">
        <v>495</v>
      </c>
      <c r="F185" s="6">
        <v>6.9070506434E10</v>
      </c>
      <c r="G185" s="6" t="s">
        <v>599</v>
      </c>
      <c r="H185" s="7"/>
      <c r="I185" s="6" t="s">
        <v>4147</v>
      </c>
      <c r="J185" s="6" t="s">
        <v>3586</v>
      </c>
      <c r="K185" s="6" t="s">
        <v>3169</v>
      </c>
      <c r="L185" s="6" t="s">
        <v>3588</v>
      </c>
      <c r="M185" s="6" t="s">
        <v>4148</v>
      </c>
      <c r="N185" s="7"/>
      <c r="O185" s="6" t="s">
        <v>4149</v>
      </c>
      <c r="P185" s="6" t="s">
        <v>4150</v>
      </c>
      <c r="Q185" s="6" t="s">
        <v>4151</v>
      </c>
      <c r="R185" s="6" t="s">
        <v>246</v>
      </c>
      <c r="S185" s="6" t="s">
        <v>147</v>
      </c>
      <c r="T185" s="6" t="s">
        <v>250</v>
      </c>
      <c r="U185" s="6" t="s">
        <v>252</v>
      </c>
      <c r="V185" s="6" t="s">
        <v>246</v>
      </c>
      <c r="W185" s="6" t="s">
        <v>158</v>
      </c>
      <c r="X185" s="6" t="s">
        <v>257</v>
      </c>
      <c r="Y185" s="6" t="s">
        <v>162</v>
      </c>
      <c r="Z185" s="6" t="s">
        <v>165</v>
      </c>
      <c r="AA185" s="6" t="s">
        <v>262</v>
      </c>
      <c r="AB185" s="6" t="s">
        <v>171</v>
      </c>
      <c r="AC185" s="6" t="s">
        <v>1669</v>
      </c>
      <c r="AD185" s="6" t="s">
        <v>175</v>
      </c>
      <c r="AE185" s="6" t="s">
        <v>271</v>
      </c>
      <c r="AF185" s="6" t="s">
        <v>181</v>
      </c>
      <c r="AG185" s="6" t="s">
        <v>1326</v>
      </c>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row>
    <row r="186" ht="22.5" customHeight="1">
      <c r="A186" s="4">
        <v>46229.69768582176</v>
      </c>
      <c r="B186" s="5">
        <v>0.0</v>
      </c>
      <c r="C186" s="6" t="s">
        <v>114</v>
      </c>
      <c r="D186" s="6" t="s">
        <v>497</v>
      </c>
      <c r="E186" s="6" t="s">
        <v>498</v>
      </c>
      <c r="F186" s="6">
        <v>6.9070502411E10</v>
      </c>
      <c r="G186" s="6" t="s">
        <v>122</v>
      </c>
      <c r="H186" s="7"/>
      <c r="I186" s="6" t="s">
        <v>4152</v>
      </c>
      <c r="J186" s="6" t="s">
        <v>1082</v>
      </c>
      <c r="K186" s="6" t="s">
        <v>3358</v>
      </c>
      <c r="L186" s="6" t="s">
        <v>4153</v>
      </c>
      <c r="M186" s="6" t="s">
        <v>4154</v>
      </c>
      <c r="N186" s="7"/>
      <c r="O186" s="6" t="s">
        <v>4155</v>
      </c>
      <c r="P186" s="6" t="s">
        <v>4156</v>
      </c>
      <c r="Q186" s="6" t="s">
        <v>4157</v>
      </c>
      <c r="R186" s="6" t="s">
        <v>246</v>
      </c>
      <c r="S186" s="6" t="s">
        <v>147</v>
      </c>
      <c r="T186" s="6" t="s">
        <v>250</v>
      </c>
      <c r="U186" s="6" t="s">
        <v>560</v>
      </c>
      <c r="V186" s="6" t="s">
        <v>155</v>
      </c>
      <c r="W186" s="6" t="s">
        <v>158</v>
      </c>
      <c r="X186" s="6" t="s">
        <v>257</v>
      </c>
      <c r="Y186" s="6" t="s">
        <v>162</v>
      </c>
      <c r="Z186" s="6" t="s">
        <v>165</v>
      </c>
      <c r="AA186" s="6" t="s">
        <v>262</v>
      </c>
      <c r="AB186" s="6" t="s">
        <v>171</v>
      </c>
      <c r="AC186" s="6" t="s">
        <v>174</v>
      </c>
      <c r="AD186" s="6" t="s">
        <v>175</v>
      </c>
      <c r="AE186" s="6" t="s">
        <v>271</v>
      </c>
      <c r="AF186" s="6" t="s">
        <v>181</v>
      </c>
      <c r="AG186" s="6" t="s">
        <v>182</v>
      </c>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row>
    <row r="187" ht="22.5" customHeight="1">
      <c r="A187" s="4">
        <v>46229.697703831014</v>
      </c>
      <c r="B187" s="5">
        <v>0.0</v>
      </c>
      <c r="C187" s="6" t="s">
        <v>114</v>
      </c>
      <c r="D187" s="6" t="s">
        <v>501</v>
      </c>
      <c r="E187" s="6" t="s">
        <v>502</v>
      </c>
      <c r="F187" s="6">
        <v>6.9070501817E10</v>
      </c>
      <c r="G187" s="6" t="s">
        <v>730</v>
      </c>
      <c r="H187" s="7"/>
      <c r="I187" s="6" t="s">
        <v>4158</v>
      </c>
      <c r="J187" s="6" t="s">
        <v>4159</v>
      </c>
      <c r="K187" s="6" t="s">
        <v>3905</v>
      </c>
      <c r="L187" s="6" t="s">
        <v>4160</v>
      </c>
      <c r="M187" s="6" t="s">
        <v>4161</v>
      </c>
      <c r="N187" s="6" t="s">
        <v>3473</v>
      </c>
      <c r="O187" s="6" t="s">
        <v>4162</v>
      </c>
      <c r="P187" s="6" t="s">
        <v>4163</v>
      </c>
      <c r="Q187" s="6" t="s">
        <v>4164</v>
      </c>
      <c r="R187" s="6" t="s">
        <v>246</v>
      </c>
      <c r="S187" s="6" t="s">
        <v>147</v>
      </c>
      <c r="T187" s="6" t="s">
        <v>250</v>
      </c>
      <c r="U187" s="6" t="s">
        <v>252</v>
      </c>
      <c r="V187" s="6" t="s">
        <v>246</v>
      </c>
      <c r="W187" s="6" t="s">
        <v>158</v>
      </c>
      <c r="X187" s="6" t="s">
        <v>257</v>
      </c>
      <c r="Y187" s="6" t="s">
        <v>162</v>
      </c>
      <c r="Z187" s="6" t="s">
        <v>165</v>
      </c>
      <c r="AA187" s="6" t="s">
        <v>262</v>
      </c>
      <c r="AB187" s="6" t="s">
        <v>171</v>
      </c>
      <c r="AC187" s="6" t="s">
        <v>174</v>
      </c>
      <c r="AD187" s="6" t="s">
        <v>175</v>
      </c>
      <c r="AE187" s="6" t="s">
        <v>271</v>
      </c>
      <c r="AF187" s="6" t="s">
        <v>181</v>
      </c>
      <c r="AG187" s="6" t="s">
        <v>182</v>
      </c>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row>
    <row r="188" ht="22.5" customHeight="1">
      <c r="A188" s="4">
        <v>46229.69770923611</v>
      </c>
      <c r="B188" s="5">
        <v>0.0</v>
      </c>
      <c r="C188" s="6" t="s">
        <v>114</v>
      </c>
      <c r="D188" s="6" t="s">
        <v>323</v>
      </c>
      <c r="E188" s="6" t="s">
        <v>505</v>
      </c>
      <c r="F188" s="6">
        <v>6.9070500305E10</v>
      </c>
      <c r="G188" s="6" t="s">
        <v>599</v>
      </c>
      <c r="H188" s="6" t="s">
        <v>4165</v>
      </c>
      <c r="I188" s="6" t="s">
        <v>3975</v>
      </c>
      <c r="J188" s="6" t="s">
        <v>4166</v>
      </c>
      <c r="K188" s="6" t="s">
        <v>4167</v>
      </c>
      <c r="L188" s="6" t="s">
        <v>4168</v>
      </c>
      <c r="M188" s="6" t="s">
        <v>4169</v>
      </c>
      <c r="N188" s="6" t="s">
        <v>2397</v>
      </c>
      <c r="O188" s="6" t="s">
        <v>4170</v>
      </c>
      <c r="P188" s="6" t="s">
        <v>4171</v>
      </c>
      <c r="Q188" s="6" t="s">
        <v>4172</v>
      </c>
      <c r="R188" s="6" t="s">
        <v>246</v>
      </c>
      <c r="S188" s="6" t="s">
        <v>147</v>
      </c>
      <c r="T188" s="6" t="s">
        <v>250</v>
      </c>
      <c r="U188" s="6" t="s">
        <v>686</v>
      </c>
      <c r="V188" s="6" t="s">
        <v>246</v>
      </c>
      <c r="W188" s="6" t="s">
        <v>158</v>
      </c>
      <c r="X188" s="6" t="s">
        <v>257</v>
      </c>
      <c r="Y188" s="6" t="s">
        <v>162</v>
      </c>
      <c r="Z188" s="6" t="s">
        <v>165</v>
      </c>
      <c r="AA188" s="6" t="s">
        <v>262</v>
      </c>
      <c r="AB188" s="6" t="s">
        <v>171</v>
      </c>
      <c r="AC188" s="6" t="s">
        <v>174</v>
      </c>
      <c r="AD188" s="6" t="s">
        <v>175</v>
      </c>
      <c r="AE188" s="6" t="s">
        <v>271</v>
      </c>
      <c r="AF188" s="6" t="s">
        <v>181</v>
      </c>
      <c r="AG188" s="6" t="s">
        <v>182</v>
      </c>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row>
    <row r="189" ht="22.5" customHeight="1">
      <c r="A189" s="4">
        <v>46229.69772013889</v>
      </c>
      <c r="B189" s="5">
        <v>0.0</v>
      </c>
      <c r="C189" s="6" t="s">
        <v>114</v>
      </c>
      <c r="D189" s="6" t="s">
        <v>507</v>
      </c>
      <c r="E189" s="6" t="s">
        <v>509</v>
      </c>
      <c r="F189" s="6">
        <v>6.9070509817E10</v>
      </c>
      <c r="G189" s="6" t="s">
        <v>496</v>
      </c>
      <c r="H189" s="6" t="s">
        <v>4173</v>
      </c>
      <c r="I189" s="6" t="s">
        <v>4174</v>
      </c>
      <c r="J189" s="6" t="s">
        <v>3227</v>
      </c>
      <c r="K189" s="6" t="s">
        <v>3226</v>
      </c>
      <c r="L189" s="6" t="s">
        <v>4175</v>
      </c>
      <c r="M189" s="6" t="s">
        <v>4176</v>
      </c>
      <c r="N189" s="7"/>
      <c r="O189" s="6" t="s">
        <v>4177</v>
      </c>
      <c r="P189" s="6" t="s">
        <v>4178</v>
      </c>
      <c r="Q189" s="6" t="s">
        <v>4179</v>
      </c>
      <c r="R189" s="6" t="s">
        <v>145</v>
      </c>
      <c r="S189" s="6" t="s">
        <v>1148</v>
      </c>
      <c r="T189" s="6" t="s">
        <v>516</v>
      </c>
      <c r="U189" s="6" t="s">
        <v>686</v>
      </c>
      <c r="V189" s="6" t="s">
        <v>246</v>
      </c>
      <c r="W189" s="6" t="s">
        <v>158</v>
      </c>
      <c r="X189" s="6" t="s">
        <v>257</v>
      </c>
      <c r="Y189" s="6" t="s">
        <v>162</v>
      </c>
      <c r="Z189" s="6" t="s">
        <v>165</v>
      </c>
      <c r="AA189" s="6" t="s">
        <v>262</v>
      </c>
      <c r="AB189" s="6" t="s">
        <v>171</v>
      </c>
      <c r="AC189" s="6" t="s">
        <v>174</v>
      </c>
      <c r="AD189" s="6" t="s">
        <v>175</v>
      </c>
      <c r="AE189" s="6" t="s">
        <v>271</v>
      </c>
      <c r="AF189" s="6" t="s">
        <v>181</v>
      </c>
      <c r="AG189" s="6" t="s">
        <v>182</v>
      </c>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row>
    <row r="190" ht="22.5" customHeight="1">
      <c r="A190" s="4">
        <v>46229.697725046295</v>
      </c>
      <c r="B190" s="5">
        <v>0.0</v>
      </c>
      <c r="C190" s="6" t="s">
        <v>114</v>
      </c>
      <c r="D190" s="6" t="s">
        <v>511</v>
      </c>
      <c r="E190" s="6" t="s">
        <v>512</v>
      </c>
      <c r="F190" s="6">
        <v>6.9070500472E10</v>
      </c>
      <c r="G190" s="6" t="s">
        <v>310</v>
      </c>
      <c r="H190" s="7"/>
      <c r="I190" s="6" t="s">
        <v>4180</v>
      </c>
      <c r="J190" s="6" t="s">
        <v>3982</v>
      </c>
      <c r="K190" s="6" t="s">
        <v>4181</v>
      </c>
      <c r="L190" s="6" t="s">
        <v>4182</v>
      </c>
      <c r="M190" s="6" t="s">
        <v>3984</v>
      </c>
      <c r="N190" s="6" t="s">
        <v>4183</v>
      </c>
      <c r="O190" s="6" t="s">
        <v>4184</v>
      </c>
      <c r="P190" s="6" t="s">
        <v>4185</v>
      </c>
      <c r="Q190" s="6" t="s">
        <v>4186</v>
      </c>
      <c r="R190" s="6" t="s">
        <v>861</v>
      </c>
      <c r="S190" s="6" t="s">
        <v>147</v>
      </c>
      <c r="T190" s="6" t="s">
        <v>250</v>
      </c>
      <c r="U190" s="6" t="s">
        <v>560</v>
      </c>
      <c r="V190" s="6" t="s">
        <v>246</v>
      </c>
      <c r="W190" s="6" t="s">
        <v>158</v>
      </c>
      <c r="X190" s="6" t="s">
        <v>458</v>
      </c>
      <c r="Y190" s="6" t="s">
        <v>162</v>
      </c>
      <c r="Z190" s="6" t="s">
        <v>165</v>
      </c>
      <c r="AA190" s="6" t="s">
        <v>262</v>
      </c>
      <c r="AB190" s="6" t="s">
        <v>521</v>
      </c>
      <c r="AC190" s="6" t="s">
        <v>174</v>
      </c>
      <c r="AD190" s="6" t="s">
        <v>175</v>
      </c>
      <c r="AE190" s="6" t="s">
        <v>271</v>
      </c>
      <c r="AF190" s="6" t="s">
        <v>181</v>
      </c>
      <c r="AG190" s="6" t="s">
        <v>182</v>
      </c>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row>
    <row r="191" ht="22.5" customHeight="1">
      <c r="A191" s="4">
        <v>46229.697731493055</v>
      </c>
      <c r="B191" s="5">
        <v>0.0</v>
      </c>
      <c r="C191" s="6" t="s">
        <v>114</v>
      </c>
      <c r="D191" s="6" t="s">
        <v>514</v>
      </c>
      <c r="E191" s="6" t="s">
        <v>515</v>
      </c>
      <c r="F191" s="6">
        <v>6.9070509635E10</v>
      </c>
      <c r="G191" s="6" t="s">
        <v>730</v>
      </c>
      <c r="H191" s="6" t="s">
        <v>4187</v>
      </c>
      <c r="I191" s="6" t="s">
        <v>4188</v>
      </c>
      <c r="J191" s="6" t="s">
        <v>4189</v>
      </c>
      <c r="K191" s="6" t="s">
        <v>4190</v>
      </c>
      <c r="L191" s="6" t="s">
        <v>4191</v>
      </c>
      <c r="M191" s="6" t="s">
        <v>4192</v>
      </c>
      <c r="N191" s="6" t="s">
        <v>2633</v>
      </c>
      <c r="O191" s="6" t="s">
        <v>4193</v>
      </c>
      <c r="P191" s="6" t="s">
        <v>4194</v>
      </c>
      <c r="Q191" s="6" t="s">
        <v>4195</v>
      </c>
      <c r="R191" s="6" t="s">
        <v>861</v>
      </c>
      <c r="S191" s="6" t="s">
        <v>147</v>
      </c>
      <c r="T191" s="6" t="s">
        <v>257</v>
      </c>
      <c r="U191" s="6" t="s">
        <v>252</v>
      </c>
      <c r="V191" s="6" t="s">
        <v>246</v>
      </c>
      <c r="W191" s="6" t="s">
        <v>158</v>
      </c>
      <c r="X191" s="6" t="s">
        <v>161</v>
      </c>
      <c r="Y191" s="6" t="s">
        <v>162</v>
      </c>
      <c r="Z191" s="6" t="s">
        <v>165</v>
      </c>
      <c r="AA191" s="6" t="s">
        <v>262</v>
      </c>
      <c r="AB191" s="6" t="s">
        <v>171</v>
      </c>
      <c r="AC191" s="6" t="s">
        <v>174</v>
      </c>
      <c r="AD191" s="6" t="s">
        <v>175</v>
      </c>
      <c r="AE191" s="6" t="s">
        <v>271</v>
      </c>
      <c r="AF191" s="6" t="s">
        <v>181</v>
      </c>
      <c r="AG191" s="6" t="s">
        <v>182</v>
      </c>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row>
    <row r="192" ht="22.5" customHeight="1">
      <c r="A192" s="4">
        <v>46229.69774011574</v>
      </c>
      <c r="B192" s="5">
        <v>0.0</v>
      </c>
      <c r="C192" s="6" t="s">
        <v>114</v>
      </c>
      <c r="D192" s="6" t="s">
        <v>517</v>
      </c>
      <c r="E192" s="6" t="s">
        <v>518</v>
      </c>
      <c r="F192" s="6">
        <v>6.9070500411E10</v>
      </c>
      <c r="G192" s="6" t="s">
        <v>310</v>
      </c>
      <c r="H192" s="7"/>
      <c r="I192" s="6" t="s">
        <v>4196</v>
      </c>
      <c r="J192" s="6" t="s">
        <v>974</v>
      </c>
      <c r="K192" s="6" t="s">
        <v>4197</v>
      </c>
      <c r="L192" s="6" t="s">
        <v>4198</v>
      </c>
      <c r="M192" s="6" t="s">
        <v>4199</v>
      </c>
      <c r="N192" s="6" t="s">
        <v>4200</v>
      </c>
      <c r="O192" s="6" t="s">
        <v>4201</v>
      </c>
      <c r="P192" s="6" t="s">
        <v>4202</v>
      </c>
      <c r="Q192" s="6" t="s">
        <v>4203</v>
      </c>
      <c r="R192" s="6" t="s">
        <v>257</v>
      </c>
      <c r="S192" s="6" t="s">
        <v>147</v>
      </c>
      <c r="T192" s="6" t="s">
        <v>250</v>
      </c>
      <c r="U192" s="6" t="s">
        <v>252</v>
      </c>
      <c r="V192" s="6" t="s">
        <v>246</v>
      </c>
      <c r="W192" s="6" t="s">
        <v>158</v>
      </c>
      <c r="X192" s="6" t="s">
        <v>257</v>
      </c>
      <c r="Y192" s="6" t="s">
        <v>162</v>
      </c>
      <c r="Z192" s="6" t="s">
        <v>804</v>
      </c>
      <c r="AA192" s="6" t="s">
        <v>262</v>
      </c>
      <c r="AB192" s="6" t="s">
        <v>171</v>
      </c>
      <c r="AC192" s="6" t="s">
        <v>633</v>
      </c>
      <c r="AD192" s="6" t="s">
        <v>1723</v>
      </c>
      <c r="AE192" s="6" t="s">
        <v>3105</v>
      </c>
      <c r="AF192" s="6" t="s">
        <v>181</v>
      </c>
      <c r="AG192" s="6" t="s">
        <v>182</v>
      </c>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row>
    <row r="193" ht="22.5" customHeight="1">
      <c r="A193" s="4">
        <v>46229.69774548611</v>
      </c>
      <c r="B193" s="5">
        <v>0.0</v>
      </c>
      <c r="C193" s="6" t="s">
        <v>114</v>
      </c>
      <c r="D193" s="6" t="s">
        <v>519</v>
      </c>
      <c r="E193" s="6" t="s">
        <v>520</v>
      </c>
      <c r="F193" s="6">
        <v>6.9070509827E10</v>
      </c>
      <c r="G193" s="6" t="s">
        <v>496</v>
      </c>
      <c r="H193" s="7"/>
      <c r="I193" s="6" t="s">
        <v>4204</v>
      </c>
      <c r="J193" s="6" t="s">
        <v>4205</v>
      </c>
      <c r="K193" s="6" t="s">
        <v>4206</v>
      </c>
      <c r="L193" s="6" t="s">
        <v>4207</v>
      </c>
      <c r="M193" s="6" t="s">
        <v>4208</v>
      </c>
      <c r="N193" s="7"/>
      <c r="O193" s="6" t="s">
        <v>4209</v>
      </c>
      <c r="P193" s="6" t="s">
        <v>4210</v>
      </c>
      <c r="Q193" s="6" t="s">
        <v>4211</v>
      </c>
      <c r="R193" s="6" t="s">
        <v>257</v>
      </c>
      <c r="S193" s="6" t="s">
        <v>147</v>
      </c>
      <c r="T193" s="6" t="s">
        <v>250</v>
      </c>
      <c r="U193" s="6" t="s">
        <v>252</v>
      </c>
      <c r="V193" s="6" t="s">
        <v>246</v>
      </c>
      <c r="W193" s="6" t="s">
        <v>158</v>
      </c>
      <c r="X193" s="6" t="s">
        <v>257</v>
      </c>
      <c r="Y193" s="6" t="s">
        <v>162</v>
      </c>
      <c r="Z193" s="6" t="s">
        <v>165</v>
      </c>
      <c r="AA193" s="6" t="s">
        <v>262</v>
      </c>
      <c r="AB193" s="6" t="s">
        <v>521</v>
      </c>
      <c r="AC193" s="6" t="s">
        <v>174</v>
      </c>
      <c r="AD193" s="6" t="s">
        <v>175</v>
      </c>
      <c r="AE193" s="6" t="s">
        <v>271</v>
      </c>
      <c r="AF193" s="6" t="s">
        <v>181</v>
      </c>
      <c r="AG193" s="6" t="s">
        <v>182</v>
      </c>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row>
    <row r="194" ht="22.5" customHeight="1">
      <c r="A194" s="4">
        <v>46229.69776283565</v>
      </c>
      <c r="B194" s="5">
        <v>0.0</v>
      </c>
      <c r="C194" s="6" t="s">
        <v>114</v>
      </c>
      <c r="D194" s="6" t="s">
        <v>522</v>
      </c>
      <c r="E194" s="6" t="s">
        <v>523</v>
      </c>
      <c r="F194" s="6">
        <v>6.9070505219E10</v>
      </c>
      <c r="G194" s="6" t="s">
        <v>1470</v>
      </c>
      <c r="H194" s="6" t="s">
        <v>2633</v>
      </c>
      <c r="I194" s="6" t="s">
        <v>4212</v>
      </c>
      <c r="J194" s="6" t="s">
        <v>4213</v>
      </c>
      <c r="K194" s="6" t="s">
        <v>4214</v>
      </c>
      <c r="L194" s="6" t="s">
        <v>4215</v>
      </c>
      <c r="M194" s="6" t="s">
        <v>4216</v>
      </c>
      <c r="N194" s="6" t="s">
        <v>2633</v>
      </c>
      <c r="O194" s="6" t="s">
        <v>4217</v>
      </c>
      <c r="P194" s="6" t="s">
        <v>4218</v>
      </c>
      <c r="Q194" s="6" t="s">
        <v>4219</v>
      </c>
      <c r="R194" s="6" t="s">
        <v>145</v>
      </c>
      <c r="S194" s="6" t="s">
        <v>147</v>
      </c>
      <c r="T194" s="6" t="s">
        <v>246</v>
      </c>
      <c r="U194" s="6" t="s">
        <v>252</v>
      </c>
      <c r="V194" s="6" t="s">
        <v>155</v>
      </c>
      <c r="W194" s="6" t="s">
        <v>158</v>
      </c>
      <c r="X194" s="6" t="s">
        <v>250</v>
      </c>
      <c r="Y194" s="6" t="s">
        <v>162</v>
      </c>
      <c r="Z194" s="6" t="s">
        <v>165</v>
      </c>
      <c r="AA194" s="6" t="s">
        <v>262</v>
      </c>
      <c r="AB194" s="6" t="s">
        <v>1266</v>
      </c>
      <c r="AC194" s="6" t="s">
        <v>633</v>
      </c>
      <c r="AD194" s="6" t="s">
        <v>175</v>
      </c>
      <c r="AE194" s="6" t="s">
        <v>271</v>
      </c>
      <c r="AF194" s="6" t="s">
        <v>181</v>
      </c>
      <c r="AG194" s="6" t="s">
        <v>182</v>
      </c>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row>
    <row r="195" ht="22.5" customHeight="1">
      <c r="A195" s="4">
        <v>46229.69777172453</v>
      </c>
      <c r="B195" s="5">
        <v>0.0</v>
      </c>
      <c r="C195" s="6" t="s">
        <v>114</v>
      </c>
      <c r="D195" s="6" t="s">
        <v>282</v>
      </c>
      <c r="E195" s="6" t="s">
        <v>525</v>
      </c>
      <c r="F195" s="6">
        <v>6.9070501058E10</v>
      </c>
      <c r="G195" s="6" t="s">
        <v>1470</v>
      </c>
      <c r="H195" s="7"/>
      <c r="I195" s="6" t="s">
        <v>4220</v>
      </c>
      <c r="J195" s="6" t="s">
        <v>4221</v>
      </c>
      <c r="K195" s="6" t="s">
        <v>4222</v>
      </c>
      <c r="L195" s="6" t="s">
        <v>4223</v>
      </c>
      <c r="M195" s="6" t="s">
        <v>4224</v>
      </c>
      <c r="N195" s="7"/>
      <c r="O195" s="6" t="s">
        <v>4225</v>
      </c>
      <c r="P195" s="6" t="s">
        <v>4226</v>
      </c>
      <c r="Q195" s="6" t="s">
        <v>4227</v>
      </c>
      <c r="R195" s="6" t="s">
        <v>246</v>
      </c>
      <c r="S195" s="6" t="s">
        <v>147</v>
      </c>
      <c r="T195" s="6" t="s">
        <v>250</v>
      </c>
      <c r="U195" s="6" t="s">
        <v>686</v>
      </c>
      <c r="V195" s="6" t="s">
        <v>246</v>
      </c>
      <c r="W195" s="6" t="s">
        <v>158</v>
      </c>
      <c r="X195" s="6" t="s">
        <v>257</v>
      </c>
      <c r="Y195" s="6" t="s">
        <v>162</v>
      </c>
      <c r="Z195" s="6" t="s">
        <v>165</v>
      </c>
      <c r="AA195" s="6" t="s">
        <v>262</v>
      </c>
      <c r="AB195" s="6" t="s">
        <v>171</v>
      </c>
      <c r="AC195" s="6" t="s">
        <v>174</v>
      </c>
      <c r="AD195" s="6" t="s">
        <v>175</v>
      </c>
      <c r="AE195" s="6" t="s">
        <v>271</v>
      </c>
      <c r="AF195" s="6" t="s">
        <v>181</v>
      </c>
      <c r="AG195" s="6" t="s">
        <v>182</v>
      </c>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row>
    <row r="196" ht="22.5" customHeight="1">
      <c r="A196" s="4">
        <v>46229.69777204861</v>
      </c>
      <c r="B196" s="5">
        <v>0.0</v>
      </c>
      <c r="C196" s="6" t="s">
        <v>114</v>
      </c>
      <c r="D196" s="6" t="s">
        <v>526</v>
      </c>
      <c r="E196" s="6" t="s">
        <v>527</v>
      </c>
      <c r="F196" s="6">
        <v>6.907050645E10</v>
      </c>
      <c r="G196" s="6" t="s">
        <v>599</v>
      </c>
      <c r="H196" s="7"/>
      <c r="I196" s="6" t="s">
        <v>4228</v>
      </c>
      <c r="J196" s="6" t="s">
        <v>4229</v>
      </c>
      <c r="K196" s="6" t="s">
        <v>4230</v>
      </c>
      <c r="L196" s="6" t="s">
        <v>4231</v>
      </c>
      <c r="M196" s="6" t="s">
        <v>4232</v>
      </c>
      <c r="N196" s="7"/>
      <c r="O196" s="6" t="s">
        <v>4233</v>
      </c>
      <c r="P196" s="6" t="s">
        <v>4234</v>
      </c>
      <c r="Q196" s="6" t="s">
        <v>4235</v>
      </c>
      <c r="R196" s="6" t="s">
        <v>246</v>
      </c>
      <c r="S196" s="6" t="s">
        <v>147</v>
      </c>
      <c r="T196" s="6" t="s">
        <v>250</v>
      </c>
      <c r="U196" s="6" t="s">
        <v>252</v>
      </c>
      <c r="V196" s="6" t="s">
        <v>246</v>
      </c>
      <c r="W196" s="6" t="s">
        <v>158</v>
      </c>
      <c r="X196" s="6" t="s">
        <v>257</v>
      </c>
      <c r="Y196" s="6" t="s">
        <v>162</v>
      </c>
      <c r="Z196" s="6" t="s">
        <v>165</v>
      </c>
      <c r="AA196" s="6" t="s">
        <v>262</v>
      </c>
      <c r="AB196" s="6" t="s">
        <v>521</v>
      </c>
      <c r="AC196" s="6" t="s">
        <v>174</v>
      </c>
      <c r="AD196" s="6" t="s">
        <v>175</v>
      </c>
      <c r="AE196" s="6" t="s">
        <v>271</v>
      </c>
      <c r="AF196" s="6" t="s">
        <v>181</v>
      </c>
      <c r="AG196" s="6" t="s">
        <v>182</v>
      </c>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row>
    <row r="197" ht="22.5" customHeight="1">
      <c r="A197" s="4">
        <v>46229.69777233797</v>
      </c>
      <c r="B197" s="5">
        <v>0.0</v>
      </c>
      <c r="C197" s="6" t="s">
        <v>114</v>
      </c>
      <c r="D197" s="6" t="s">
        <v>528</v>
      </c>
      <c r="E197" s="6" t="s">
        <v>529</v>
      </c>
      <c r="F197" s="6">
        <v>6.9070501002E10</v>
      </c>
      <c r="G197" s="6" t="s">
        <v>1470</v>
      </c>
      <c r="H197" s="7"/>
      <c r="I197" s="6" t="s">
        <v>4236</v>
      </c>
      <c r="J197" s="6" t="s">
        <v>4237</v>
      </c>
      <c r="K197" s="6" t="s">
        <v>4238</v>
      </c>
      <c r="L197" s="6" t="s">
        <v>4239</v>
      </c>
      <c r="M197" s="6" t="s">
        <v>4240</v>
      </c>
      <c r="N197" s="7"/>
      <c r="O197" s="6" t="s">
        <v>4241</v>
      </c>
      <c r="P197" s="6" t="s">
        <v>4242</v>
      </c>
      <c r="Q197" s="6" t="s">
        <v>4243</v>
      </c>
      <c r="R197" s="6" t="s">
        <v>246</v>
      </c>
      <c r="S197" s="6" t="s">
        <v>147</v>
      </c>
      <c r="T197" s="6" t="s">
        <v>250</v>
      </c>
      <c r="U197" s="6" t="s">
        <v>560</v>
      </c>
      <c r="V197" s="6" t="s">
        <v>246</v>
      </c>
      <c r="W197" s="6" t="s">
        <v>158</v>
      </c>
      <c r="X197" s="6" t="s">
        <v>257</v>
      </c>
      <c r="Y197" s="6" t="s">
        <v>162</v>
      </c>
      <c r="Z197" s="6" t="s">
        <v>165</v>
      </c>
      <c r="AA197" s="6" t="s">
        <v>262</v>
      </c>
      <c r="AB197" s="6" t="s">
        <v>171</v>
      </c>
      <c r="AC197" s="6" t="s">
        <v>174</v>
      </c>
      <c r="AD197" s="6" t="s">
        <v>175</v>
      </c>
      <c r="AE197" s="6" t="s">
        <v>271</v>
      </c>
      <c r="AF197" s="6" t="s">
        <v>181</v>
      </c>
      <c r="AG197" s="6" t="s">
        <v>182</v>
      </c>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row>
    <row r="198" ht="22.5" customHeight="1">
      <c r="A198" s="4">
        <v>46229.69780498843</v>
      </c>
      <c r="B198" s="5">
        <v>0.0</v>
      </c>
      <c r="C198" s="6" t="s">
        <v>114</v>
      </c>
      <c r="D198" s="6" t="s">
        <v>530</v>
      </c>
      <c r="E198" s="6" t="s">
        <v>531</v>
      </c>
      <c r="F198" s="6">
        <v>6.9070509811E10</v>
      </c>
      <c r="G198" s="6" t="s">
        <v>496</v>
      </c>
      <c r="H198" s="7"/>
      <c r="I198" s="6" t="s">
        <v>4244</v>
      </c>
      <c r="J198" s="6" t="s">
        <v>4245</v>
      </c>
      <c r="K198" s="6" t="s">
        <v>4246</v>
      </c>
      <c r="L198" s="6" t="s">
        <v>4247</v>
      </c>
      <c r="M198" s="6" t="s">
        <v>4248</v>
      </c>
      <c r="N198" s="7"/>
      <c r="O198" s="6" t="s">
        <v>4249</v>
      </c>
      <c r="P198" s="6" t="s">
        <v>4250</v>
      </c>
      <c r="Q198" s="6" t="s">
        <v>4251</v>
      </c>
      <c r="R198" s="6" t="s">
        <v>246</v>
      </c>
      <c r="S198" s="6" t="s">
        <v>147</v>
      </c>
      <c r="T198" s="6" t="s">
        <v>250</v>
      </c>
      <c r="U198" s="6" t="s">
        <v>252</v>
      </c>
      <c r="V198" s="6" t="s">
        <v>246</v>
      </c>
      <c r="W198" s="6" t="s">
        <v>158</v>
      </c>
      <c r="X198" s="6" t="s">
        <v>257</v>
      </c>
      <c r="Y198" s="6" t="s">
        <v>162</v>
      </c>
      <c r="Z198" s="6" t="s">
        <v>165</v>
      </c>
      <c r="AA198" s="6" t="s">
        <v>262</v>
      </c>
      <c r="AB198" s="6" t="s">
        <v>171</v>
      </c>
      <c r="AC198" s="6" t="s">
        <v>174</v>
      </c>
      <c r="AD198" s="6" t="s">
        <v>175</v>
      </c>
      <c r="AE198" s="6" t="s">
        <v>178</v>
      </c>
      <c r="AF198" s="6" t="s">
        <v>181</v>
      </c>
      <c r="AG198" s="6" t="s">
        <v>182</v>
      </c>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row>
    <row r="199" ht="22.5" customHeight="1">
      <c r="A199" s="4">
        <v>46229.6978260301</v>
      </c>
      <c r="B199" s="5">
        <v>0.0</v>
      </c>
      <c r="C199" s="6" t="s">
        <v>114</v>
      </c>
      <c r="D199" s="6" t="s">
        <v>532</v>
      </c>
      <c r="E199" s="6" t="s">
        <v>533</v>
      </c>
      <c r="F199" s="6">
        <v>6.9070500477E10</v>
      </c>
      <c r="G199" s="6" t="s">
        <v>310</v>
      </c>
      <c r="H199" s="7"/>
      <c r="I199" s="6" t="s">
        <v>4252</v>
      </c>
      <c r="J199" s="6" t="s">
        <v>4253</v>
      </c>
      <c r="K199" s="6" t="s">
        <v>4254</v>
      </c>
      <c r="L199" s="6" t="s">
        <v>4255</v>
      </c>
      <c r="M199" s="6" t="s">
        <v>4256</v>
      </c>
      <c r="N199" s="7"/>
      <c r="O199" s="6" t="s">
        <v>4257</v>
      </c>
      <c r="P199" s="6" t="s">
        <v>4258</v>
      </c>
      <c r="Q199" s="6" t="s">
        <v>4259</v>
      </c>
      <c r="R199" s="6" t="s">
        <v>257</v>
      </c>
      <c r="S199" s="6" t="s">
        <v>147</v>
      </c>
      <c r="T199" s="6" t="s">
        <v>250</v>
      </c>
      <c r="U199" s="6" t="s">
        <v>560</v>
      </c>
      <c r="V199" s="6" t="s">
        <v>155</v>
      </c>
      <c r="W199" s="6" t="s">
        <v>158</v>
      </c>
      <c r="X199" s="6" t="s">
        <v>257</v>
      </c>
      <c r="Y199" s="6" t="s">
        <v>162</v>
      </c>
      <c r="Z199" s="6" t="s">
        <v>165</v>
      </c>
      <c r="AA199" s="6" t="s">
        <v>262</v>
      </c>
      <c r="AB199" s="6" t="s">
        <v>171</v>
      </c>
      <c r="AC199" s="6" t="s">
        <v>1669</v>
      </c>
      <c r="AD199" s="6" t="s">
        <v>175</v>
      </c>
      <c r="AE199" s="6" t="s">
        <v>271</v>
      </c>
      <c r="AF199" s="6" t="s">
        <v>174</v>
      </c>
      <c r="AG199" s="6" t="s">
        <v>182</v>
      </c>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row>
    <row r="200" ht="22.5" customHeight="1">
      <c r="A200" s="4">
        <v>46229.69783775463</v>
      </c>
      <c r="B200" s="5">
        <v>0.0</v>
      </c>
      <c r="C200" s="6" t="s">
        <v>114</v>
      </c>
      <c r="D200" s="6" t="s">
        <v>534</v>
      </c>
      <c r="E200" s="6" t="s">
        <v>535</v>
      </c>
      <c r="F200" s="6">
        <v>6.9070509631E10</v>
      </c>
      <c r="G200" s="6" t="s">
        <v>730</v>
      </c>
      <c r="H200" s="7"/>
      <c r="I200" s="6" t="s">
        <v>4260</v>
      </c>
      <c r="J200" s="6" t="s">
        <v>4261</v>
      </c>
      <c r="K200" s="6" t="s">
        <v>4262</v>
      </c>
      <c r="L200" s="6" t="s">
        <v>4263</v>
      </c>
      <c r="M200" s="6" t="s">
        <v>4264</v>
      </c>
      <c r="N200" s="7"/>
      <c r="O200" s="6" t="s">
        <v>4265</v>
      </c>
      <c r="P200" s="6" t="s">
        <v>4266</v>
      </c>
      <c r="Q200" s="6" t="s">
        <v>4267</v>
      </c>
      <c r="R200" s="6" t="s">
        <v>246</v>
      </c>
      <c r="S200" s="6" t="s">
        <v>147</v>
      </c>
      <c r="T200" s="6" t="s">
        <v>250</v>
      </c>
      <c r="U200" s="6" t="s">
        <v>252</v>
      </c>
      <c r="V200" s="6" t="s">
        <v>246</v>
      </c>
      <c r="W200" s="6" t="s">
        <v>158</v>
      </c>
      <c r="X200" s="6" t="s">
        <v>458</v>
      </c>
      <c r="Y200" s="6" t="s">
        <v>162</v>
      </c>
      <c r="Z200" s="6" t="s">
        <v>165</v>
      </c>
      <c r="AA200" s="6" t="s">
        <v>262</v>
      </c>
      <c r="AB200" s="6" t="s">
        <v>171</v>
      </c>
      <c r="AC200" s="6" t="s">
        <v>633</v>
      </c>
      <c r="AD200" s="6" t="s">
        <v>175</v>
      </c>
      <c r="AE200" s="6" t="s">
        <v>271</v>
      </c>
      <c r="AF200" s="6" t="s">
        <v>633</v>
      </c>
      <c r="AG200" s="6" t="s">
        <v>1326</v>
      </c>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row>
    <row r="201" ht="22.5" customHeight="1">
      <c r="A201" s="4">
        <v>46229.697870081014</v>
      </c>
      <c r="B201" s="5">
        <v>0.0</v>
      </c>
      <c r="C201" s="6" t="s">
        <v>114</v>
      </c>
      <c r="D201" s="6" t="s">
        <v>536</v>
      </c>
      <c r="E201" s="6" t="s">
        <v>537</v>
      </c>
      <c r="F201" s="6">
        <v>6.9070506453E10</v>
      </c>
      <c r="G201" s="6" t="s">
        <v>599</v>
      </c>
      <c r="H201" s="6" t="s">
        <v>4268</v>
      </c>
      <c r="I201" s="6" t="s">
        <v>4269</v>
      </c>
      <c r="J201" s="6" t="s">
        <v>4270</v>
      </c>
      <c r="K201" s="6" t="s">
        <v>4271</v>
      </c>
      <c r="L201" s="6" t="s">
        <v>4272</v>
      </c>
      <c r="M201" s="6" t="s">
        <v>4273</v>
      </c>
      <c r="N201" s="6" t="s">
        <v>4274</v>
      </c>
      <c r="O201" s="6" t="s">
        <v>4275</v>
      </c>
      <c r="P201" s="6" t="s">
        <v>4276</v>
      </c>
      <c r="Q201" s="6" t="s">
        <v>4277</v>
      </c>
      <c r="R201" s="6" t="s">
        <v>257</v>
      </c>
      <c r="S201" s="6" t="s">
        <v>147</v>
      </c>
      <c r="T201" s="6" t="s">
        <v>246</v>
      </c>
      <c r="U201" s="6" t="s">
        <v>686</v>
      </c>
      <c r="V201" s="6" t="s">
        <v>246</v>
      </c>
      <c r="W201" s="6" t="s">
        <v>158</v>
      </c>
      <c r="X201" s="6" t="s">
        <v>458</v>
      </c>
      <c r="Y201" s="6" t="s">
        <v>162</v>
      </c>
      <c r="Z201" s="6" t="s">
        <v>165</v>
      </c>
      <c r="AA201" s="6" t="s">
        <v>262</v>
      </c>
      <c r="AB201" s="6" t="s">
        <v>521</v>
      </c>
      <c r="AC201" s="6" t="s">
        <v>1669</v>
      </c>
      <c r="AD201" s="6" t="s">
        <v>175</v>
      </c>
      <c r="AE201" s="6" t="s">
        <v>271</v>
      </c>
      <c r="AF201" s="6" t="s">
        <v>181</v>
      </c>
      <c r="AG201" s="6" t="s">
        <v>182</v>
      </c>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row>
    <row r="202" ht="22.5" customHeight="1">
      <c r="A202" s="4">
        <v>46229.697872766206</v>
      </c>
      <c r="B202" s="5">
        <v>0.0</v>
      </c>
      <c r="C202" s="6" t="s">
        <v>114</v>
      </c>
      <c r="D202" s="6" t="s">
        <v>538</v>
      </c>
      <c r="E202" s="6" t="s">
        <v>539</v>
      </c>
      <c r="F202" s="6">
        <v>6.907050282E10</v>
      </c>
      <c r="G202" s="6" t="s">
        <v>310</v>
      </c>
      <c r="H202" s="7"/>
      <c r="I202" s="6" t="s">
        <v>4278</v>
      </c>
      <c r="J202" s="6" t="s">
        <v>4279</v>
      </c>
      <c r="K202" s="6" t="s">
        <v>4280</v>
      </c>
      <c r="L202" s="6" t="s">
        <v>4281</v>
      </c>
      <c r="M202" s="6" t="s">
        <v>4282</v>
      </c>
      <c r="N202" s="6" t="s">
        <v>4283</v>
      </c>
      <c r="O202" s="6" t="s">
        <v>4284</v>
      </c>
      <c r="P202" s="6" t="s">
        <v>4285</v>
      </c>
      <c r="Q202" s="6" t="s">
        <v>4286</v>
      </c>
      <c r="R202" s="6" t="s">
        <v>246</v>
      </c>
      <c r="S202" s="6" t="s">
        <v>147</v>
      </c>
      <c r="T202" s="6" t="s">
        <v>250</v>
      </c>
      <c r="U202" s="6" t="s">
        <v>252</v>
      </c>
      <c r="V202" s="6" t="s">
        <v>246</v>
      </c>
      <c r="W202" s="6" t="s">
        <v>158</v>
      </c>
      <c r="X202" s="6" t="s">
        <v>246</v>
      </c>
      <c r="Y202" s="6" t="s">
        <v>4287</v>
      </c>
      <c r="Z202" s="6" t="s">
        <v>152</v>
      </c>
      <c r="AA202" s="6" t="s">
        <v>262</v>
      </c>
      <c r="AB202" s="6" t="s">
        <v>521</v>
      </c>
      <c r="AC202" s="6" t="s">
        <v>2718</v>
      </c>
      <c r="AD202" s="6" t="s">
        <v>641</v>
      </c>
      <c r="AE202" s="6" t="s">
        <v>271</v>
      </c>
      <c r="AF202" s="6" t="s">
        <v>181</v>
      </c>
      <c r="AG202" s="6" t="s">
        <v>641</v>
      </c>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row>
    <row r="203" ht="22.5" customHeight="1">
      <c r="A203" s="4">
        <v>46229.697891296295</v>
      </c>
      <c r="B203" s="5">
        <v>0.0</v>
      </c>
      <c r="C203" s="6" t="s">
        <v>114</v>
      </c>
      <c r="D203" s="6" t="s">
        <v>540</v>
      </c>
      <c r="E203" s="6" t="s">
        <v>541</v>
      </c>
      <c r="F203" s="6">
        <v>6.9070500256E10</v>
      </c>
      <c r="G203" s="6" t="s">
        <v>599</v>
      </c>
      <c r="H203" s="7"/>
      <c r="I203" s="6" t="s">
        <v>4288</v>
      </c>
      <c r="J203" s="6" t="s">
        <v>4289</v>
      </c>
      <c r="K203" s="6" t="s">
        <v>4290</v>
      </c>
      <c r="L203" s="6" t="s">
        <v>4291</v>
      </c>
      <c r="M203" s="6" t="s">
        <v>4292</v>
      </c>
      <c r="N203" s="7"/>
      <c r="O203" s="6" t="s">
        <v>4293</v>
      </c>
      <c r="P203" s="6" t="s">
        <v>4294</v>
      </c>
      <c r="Q203" s="6" t="s">
        <v>4295</v>
      </c>
      <c r="R203" s="6" t="s">
        <v>246</v>
      </c>
      <c r="S203" s="6" t="s">
        <v>147</v>
      </c>
      <c r="T203" s="6" t="s">
        <v>250</v>
      </c>
      <c r="U203" s="6" t="s">
        <v>252</v>
      </c>
      <c r="V203" s="6" t="s">
        <v>155</v>
      </c>
      <c r="W203" s="6" t="s">
        <v>158</v>
      </c>
      <c r="X203" s="6" t="s">
        <v>257</v>
      </c>
      <c r="Y203" s="6" t="s">
        <v>162</v>
      </c>
      <c r="Z203" s="6" t="s">
        <v>165</v>
      </c>
      <c r="AA203" s="6" t="s">
        <v>641</v>
      </c>
      <c r="AB203" s="6" t="s">
        <v>521</v>
      </c>
      <c r="AC203" s="6" t="s">
        <v>1669</v>
      </c>
      <c r="AD203" s="6" t="s">
        <v>175</v>
      </c>
      <c r="AE203" s="6" t="s">
        <v>271</v>
      </c>
      <c r="AF203" s="6" t="s">
        <v>181</v>
      </c>
      <c r="AG203" s="6" t="s">
        <v>182</v>
      </c>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row>
    <row r="204" ht="22.5" customHeight="1">
      <c r="A204" s="4">
        <v>46229.69790537037</v>
      </c>
      <c r="B204" s="5">
        <v>0.0</v>
      </c>
      <c r="C204" s="6" t="s">
        <v>114</v>
      </c>
      <c r="D204" s="6" t="s">
        <v>542</v>
      </c>
      <c r="E204" s="6" t="s">
        <v>543</v>
      </c>
      <c r="F204" s="6">
        <v>6.9070500307E10</v>
      </c>
      <c r="G204" s="6" t="s">
        <v>599</v>
      </c>
      <c r="H204" s="6" t="s">
        <v>4296</v>
      </c>
      <c r="I204" s="6" t="s">
        <v>4297</v>
      </c>
      <c r="J204" s="6" t="s">
        <v>4298</v>
      </c>
      <c r="K204" s="6" t="s">
        <v>4299</v>
      </c>
      <c r="L204" s="6" t="s">
        <v>4300</v>
      </c>
      <c r="M204" s="6" t="s">
        <v>4301</v>
      </c>
      <c r="N204" s="6" t="s">
        <v>4302</v>
      </c>
      <c r="O204" s="6" t="s">
        <v>4303</v>
      </c>
      <c r="P204" s="6" t="s">
        <v>4304</v>
      </c>
      <c r="Q204" s="6" t="s">
        <v>4305</v>
      </c>
      <c r="R204" s="6" t="s">
        <v>246</v>
      </c>
      <c r="S204" s="6" t="s">
        <v>147</v>
      </c>
      <c r="T204" s="6" t="s">
        <v>246</v>
      </c>
      <c r="U204" s="6" t="s">
        <v>686</v>
      </c>
      <c r="V204" s="6" t="s">
        <v>246</v>
      </c>
      <c r="W204" s="6" t="s">
        <v>158</v>
      </c>
      <c r="X204" s="6" t="s">
        <v>257</v>
      </c>
      <c r="Y204" s="6" t="s">
        <v>162</v>
      </c>
      <c r="Z204" s="6" t="s">
        <v>165</v>
      </c>
      <c r="AA204" s="6" t="s">
        <v>2307</v>
      </c>
      <c r="AB204" s="6" t="s">
        <v>171</v>
      </c>
      <c r="AC204" s="6" t="s">
        <v>174</v>
      </c>
      <c r="AD204" s="6" t="s">
        <v>175</v>
      </c>
      <c r="AE204" s="6" t="s">
        <v>524</v>
      </c>
      <c r="AF204" s="6" t="s">
        <v>181</v>
      </c>
      <c r="AG204" s="6" t="s">
        <v>182</v>
      </c>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row>
    <row r="205" ht="22.5" customHeight="1">
      <c r="A205" s="4">
        <v>46229.697905995374</v>
      </c>
      <c r="B205" s="5">
        <v>0.0</v>
      </c>
      <c r="C205" s="6" t="s">
        <v>114</v>
      </c>
      <c r="D205" s="6" t="s">
        <v>544</v>
      </c>
      <c r="E205" s="6" t="s">
        <v>545</v>
      </c>
      <c r="F205" s="6">
        <v>6.9070500805E10</v>
      </c>
      <c r="G205" s="6" t="s">
        <v>496</v>
      </c>
      <c r="H205" s="7"/>
      <c r="I205" s="6" t="s">
        <v>4306</v>
      </c>
      <c r="J205" s="6" t="s">
        <v>4307</v>
      </c>
      <c r="K205" s="6" t="s">
        <v>4308</v>
      </c>
      <c r="L205" s="6" t="s">
        <v>4309</v>
      </c>
      <c r="M205" s="6" t="s">
        <v>4310</v>
      </c>
      <c r="N205" s="6" t="s">
        <v>4311</v>
      </c>
      <c r="O205" s="6" t="s">
        <v>4312</v>
      </c>
      <c r="P205" s="6" t="s">
        <v>4313</v>
      </c>
      <c r="Q205" s="6" t="s">
        <v>4314</v>
      </c>
      <c r="R205" s="6" t="s">
        <v>246</v>
      </c>
      <c r="S205" s="6" t="s">
        <v>147</v>
      </c>
      <c r="T205" s="6" t="s">
        <v>250</v>
      </c>
      <c r="U205" s="6" t="s">
        <v>686</v>
      </c>
      <c r="V205" s="6" t="s">
        <v>246</v>
      </c>
      <c r="W205" s="6" t="s">
        <v>158</v>
      </c>
      <c r="X205" s="6" t="s">
        <v>257</v>
      </c>
      <c r="Y205" s="6" t="s">
        <v>162</v>
      </c>
      <c r="Z205" s="6" t="s">
        <v>165</v>
      </c>
      <c r="AA205" s="6" t="s">
        <v>2307</v>
      </c>
      <c r="AB205" s="6" t="s">
        <v>171</v>
      </c>
      <c r="AC205" s="6" t="s">
        <v>1669</v>
      </c>
      <c r="AD205" s="6" t="s">
        <v>1723</v>
      </c>
      <c r="AE205" s="6" t="s">
        <v>271</v>
      </c>
      <c r="AF205" s="6" t="s">
        <v>181</v>
      </c>
      <c r="AG205" s="6" t="s">
        <v>182</v>
      </c>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row>
    <row r="206" ht="22.5" customHeight="1">
      <c r="A206" s="4">
        <v>46229.69790917824</v>
      </c>
      <c r="B206" s="5">
        <v>0.0</v>
      </c>
      <c r="C206" s="6" t="s">
        <v>114</v>
      </c>
      <c r="D206" s="6" t="s">
        <v>548</v>
      </c>
      <c r="E206" s="6" t="s">
        <v>549</v>
      </c>
      <c r="F206" s="6">
        <v>6.9070500428E10</v>
      </c>
      <c r="G206" s="6" t="s">
        <v>310</v>
      </c>
      <c r="H206" s="7"/>
      <c r="I206" s="6" t="s">
        <v>4315</v>
      </c>
      <c r="J206" s="6" t="s">
        <v>4316</v>
      </c>
      <c r="K206" s="6" t="s">
        <v>4317</v>
      </c>
      <c r="L206" s="6" t="s">
        <v>4318</v>
      </c>
      <c r="M206" s="6" t="s">
        <v>4319</v>
      </c>
      <c r="N206" s="7"/>
      <c r="O206" s="6" t="s">
        <v>4320</v>
      </c>
      <c r="P206" s="6" t="s">
        <v>4321</v>
      </c>
      <c r="Q206" s="6" t="s">
        <v>4322</v>
      </c>
      <c r="R206" s="6" t="s">
        <v>246</v>
      </c>
      <c r="S206" s="6" t="s">
        <v>147</v>
      </c>
      <c r="T206" s="6" t="s">
        <v>516</v>
      </c>
      <c r="U206" s="6" t="s">
        <v>252</v>
      </c>
      <c r="V206" s="6" t="s">
        <v>155</v>
      </c>
      <c r="W206" s="6" t="s">
        <v>3463</v>
      </c>
      <c r="X206" s="6" t="s">
        <v>161</v>
      </c>
      <c r="Y206" s="6" t="s">
        <v>162</v>
      </c>
      <c r="Z206" s="6" t="s">
        <v>804</v>
      </c>
      <c r="AA206" s="6" t="s">
        <v>262</v>
      </c>
      <c r="AB206" s="6" t="s">
        <v>1266</v>
      </c>
      <c r="AC206" s="6" t="s">
        <v>1669</v>
      </c>
      <c r="AD206" s="6" t="s">
        <v>1723</v>
      </c>
      <c r="AE206" s="6" t="s">
        <v>178</v>
      </c>
      <c r="AF206" s="6" t="s">
        <v>811</v>
      </c>
      <c r="AG206" s="6" t="s">
        <v>182</v>
      </c>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row>
    <row r="207" ht="22.5" customHeight="1">
      <c r="A207" s="4">
        <v>46229.69793524306</v>
      </c>
      <c r="B207" s="5">
        <v>0.0</v>
      </c>
      <c r="C207" s="6" t="s">
        <v>114</v>
      </c>
      <c r="D207" s="6" t="s">
        <v>553</v>
      </c>
      <c r="E207" s="6" t="s">
        <v>554</v>
      </c>
      <c r="F207" s="6">
        <v>6.9070500286E10</v>
      </c>
      <c r="G207" s="6" t="s">
        <v>599</v>
      </c>
      <c r="H207" s="7"/>
      <c r="I207" s="6" t="s">
        <v>4323</v>
      </c>
      <c r="J207" s="6" t="s">
        <v>4324</v>
      </c>
      <c r="K207" s="6" t="s">
        <v>4325</v>
      </c>
      <c r="L207" s="6" t="s">
        <v>4326</v>
      </c>
      <c r="M207" s="6" t="s">
        <v>4327</v>
      </c>
      <c r="N207" s="7"/>
      <c r="O207" s="6" t="s">
        <v>4328</v>
      </c>
      <c r="P207" s="6" t="s">
        <v>4329</v>
      </c>
      <c r="Q207" s="6" t="s">
        <v>4330</v>
      </c>
      <c r="R207" s="6" t="s">
        <v>257</v>
      </c>
      <c r="S207" s="6" t="s">
        <v>147</v>
      </c>
      <c r="T207" s="6" t="s">
        <v>246</v>
      </c>
      <c r="U207" s="6" t="s">
        <v>686</v>
      </c>
      <c r="V207" s="6" t="s">
        <v>246</v>
      </c>
      <c r="W207" s="6" t="s">
        <v>158</v>
      </c>
      <c r="X207" s="6" t="s">
        <v>458</v>
      </c>
      <c r="Y207" s="6" t="s">
        <v>162</v>
      </c>
      <c r="Z207" s="6" t="s">
        <v>165</v>
      </c>
      <c r="AA207" s="6" t="s">
        <v>168</v>
      </c>
      <c r="AB207" s="6" t="s">
        <v>521</v>
      </c>
      <c r="AC207" s="6" t="s">
        <v>174</v>
      </c>
      <c r="AD207" s="6" t="s">
        <v>175</v>
      </c>
      <c r="AE207" s="6" t="s">
        <v>271</v>
      </c>
      <c r="AF207" s="6" t="s">
        <v>181</v>
      </c>
      <c r="AG207" s="6" t="s">
        <v>182</v>
      </c>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row>
    <row r="208" ht="22.5" customHeight="1">
      <c r="A208" s="4">
        <v>46229.69794412037</v>
      </c>
      <c r="B208" s="5">
        <v>0.0</v>
      </c>
      <c r="C208" s="6" t="s">
        <v>3296</v>
      </c>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6" t="s">
        <v>2622</v>
      </c>
      <c r="AI208" s="6" t="s">
        <v>2623</v>
      </c>
      <c r="AJ208" s="6">
        <v>6.9070509214E10</v>
      </c>
      <c r="AK208" s="6" t="s">
        <v>4331</v>
      </c>
      <c r="AL208" s="6" t="s">
        <v>4332</v>
      </c>
      <c r="AM208" s="6" t="s">
        <v>4333</v>
      </c>
      <c r="AN208" s="6" t="s">
        <v>4334</v>
      </c>
      <c r="AO208" s="6" t="s">
        <v>4335</v>
      </c>
      <c r="AP208" s="6" t="s">
        <v>4336</v>
      </c>
      <c r="AQ208" s="6" t="s">
        <v>4337</v>
      </c>
      <c r="AR208" s="6" t="s">
        <v>2633</v>
      </c>
      <c r="AS208" s="6" t="s">
        <v>4338</v>
      </c>
      <c r="AT208" s="6" t="s">
        <v>4339</v>
      </c>
      <c r="AU208" s="6" t="s">
        <v>4340</v>
      </c>
      <c r="AV208" s="6" t="s">
        <v>3312</v>
      </c>
      <c r="AW208" s="6" t="s">
        <v>3307</v>
      </c>
      <c r="AX208" s="6" t="s">
        <v>3887</v>
      </c>
      <c r="AY208" s="6" t="s">
        <v>4067</v>
      </c>
      <c r="AZ208" s="6" t="s">
        <v>3306</v>
      </c>
      <c r="BA208" s="6" t="s">
        <v>3311</v>
      </c>
      <c r="BB208" s="6" t="s">
        <v>3312</v>
      </c>
      <c r="BC208" s="6" t="s">
        <v>3313</v>
      </c>
      <c r="BD208" s="6" t="s">
        <v>165</v>
      </c>
      <c r="BE208" s="6" t="s">
        <v>4341</v>
      </c>
      <c r="BF208" s="6" t="s">
        <v>3315</v>
      </c>
      <c r="BG208" s="6" t="s">
        <v>4342</v>
      </c>
      <c r="BH208" s="6" t="s">
        <v>3317</v>
      </c>
      <c r="BI208" s="6" t="s">
        <v>271</v>
      </c>
      <c r="BJ208" s="6" t="s">
        <v>3318</v>
      </c>
      <c r="BK208" s="6" t="s">
        <v>3319</v>
      </c>
    </row>
    <row r="209" ht="22.5" customHeight="1">
      <c r="A209" s="4">
        <v>46229.69795615741</v>
      </c>
      <c r="B209" s="5">
        <v>0.0</v>
      </c>
      <c r="C209" s="6" t="s">
        <v>114</v>
      </c>
      <c r="D209" s="6" t="s">
        <v>558</v>
      </c>
      <c r="E209" s="6" t="s">
        <v>559</v>
      </c>
      <c r="F209" s="6">
        <v>6.9070509632E10</v>
      </c>
      <c r="G209" s="6" t="s">
        <v>228</v>
      </c>
      <c r="H209" s="6" t="s">
        <v>4343</v>
      </c>
      <c r="I209" s="6" t="s">
        <v>4344</v>
      </c>
      <c r="J209" s="6" t="s">
        <v>4262</v>
      </c>
      <c r="K209" s="6" t="s">
        <v>4345</v>
      </c>
      <c r="L209" s="6" t="s">
        <v>4346</v>
      </c>
      <c r="M209" s="6" t="s">
        <v>4347</v>
      </c>
      <c r="N209" s="7"/>
      <c r="O209" s="6" t="s">
        <v>4348</v>
      </c>
      <c r="P209" s="6" t="s">
        <v>4349</v>
      </c>
      <c r="Q209" s="6" t="s">
        <v>4350</v>
      </c>
      <c r="R209" s="6" t="s">
        <v>861</v>
      </c>
      <c r="S209" s="6" t="s">
        <v>147</v>
      </c>
      <c r="T209" s="6" t="s">
        <v>250</v>
      </c>
      <c r="U209" s="6" t="s">
        <v>252</v>
      </c>
      <c r="V209" s="6" t="s">
        <v>246</v>
      </c>
      <c r="W209" s="6" t="s">
        <v>3463</v>
      </c>
      <c r="X209" s="6" t="s">
        <v>257</v>
      </c>
      <c r="Y209" s="6" t="s">
        <v>162</v>
      </c>
      <c r="Z209" s="6" t="s">
        <v>165</v>
      </c>
      <c r="AA209" s="6" t="s">
        <v>2307</v>
      </c>
      <c r="AB209" s="6" t="s">
        <v>1266</v>
      </c>
      <c r="AC209" s="6" t="s">
        <v>174</v>
      </c>
      <c r="AD209" s="6" t="s">
        <v>175</v>
      </c>
      <c r="AE209" s="6" t="s">
        <v>271</v>
      </c>
      <c r="AF209" s="6" t="s">
        <v>181</v>
      </c>
      <c r="AG209" s="6" t="s">
        <v>182</v>
      </c>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row>
    <row r="210" ht="22.5" customHeight="1">
      <c r="A210" s="4">
        <v>46229.697962129634</v>
      </c>
      <c r="B210" s="5">
        <v>0.0</v>
      </c>
      <c r="C210" s="6" t="s">
        <v>114</v>
      </c>
      <c r="D210" s="6" t="s">
        <v>561</v>
      </c>
      <c r="E210" s="6" t="s">
        <v>562</v>
      </c>
      <c r="F210" s="6">
        <v>6.907050108E10</v>
      </c>
      <c r="G210" s="6" t="s">
        <v>1470</v>
      </c>
      <c r="H210" s="6" t="s">
        <v>4351</v>
      </c>
      <c r="I210" s="6" t="s">
        <v>3627</v>
      </c>
      <c r="J210" s="6" t="s">
        <v>4352</v>
      </c>
      <c r="K210" s="6" t="s">
        <v>4353</v>
      </c>
      <c r="L210" s="6" t="s">
        <v>4354</v>
      </c>
      <c r="M210" s="6" t="s">
        <v>4355</v>
      </c>
      <c r="N210" s="7"/>
      <c r="O210" s="6" t="s">
        <v>4356</v>
      </c>
      <c r="P210" s="6" t="s">
        <v>4357</v>
      </c>
      <c r="Q210" s="6" t="s">
        <v>4358</v>
      </c>
      <c r="R210" s="6" t="s">
        <v>246</v>
      </c>
      <c r="S210" s="6" t="s">
        <v>147</v>
      </c>
      <c r="T210" s="6" t="s">
        <v>246</v>
      </c>
      <c r="U210" s="6" t="s">
        <v>560</v>
      </c>
      <c r="V210" s="6" t="s">
        <v>246</v>
      </c>
      <c r="W210" s="6" t="s">
        <v>158</v>
      </c>
      <c r="X210" s="6" t="s">
        <v>250</v>
      </c>
      <c r="Y210" s="6" t="s">
        <v>162</v>
      </c>
      <c r="Z210" s="6" t="s">
        <v>165</v>
      </c>
      <c r="AA210" s="6" t="s">
        <v>168</v>
      </c>
      <c r="AB210" s="6" t="s">
        <v>171</v>
      </c>
      <c r="AC210" s="6" t="s">
        <v>174</v>
      </c>
      <c r="AD210" s="6" t="s">
        <v>175</v>
      </c>
      <c r="AE210" s="6" t="s">
        <v>271</v>
      </c>
      <c r="AF210" s="6" t="s">
        <v>181</v>
      </c>
      <c r="AG210" s="6" t="s">
        <v>182</v>
      </c>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row>
    <row r="211" ht="22.5" customHeight="1">
      <c r="A211" s="4">
        <v>46229.69797084491</v>
      </c>
      <c r="B211" s="5">
        <v>0.0</v>
      </c>
      <c r="C211" s="6" t="s">
        <v>114</v>
      </c>
      <c r="D211" s="6" t="s">
        <v>563</v>
      </c>
      <c r="E211" s="6" t="s">
        <v>564</v>
      </c>
      <c r="F211" s="6">
        <v>6.9070502215E10</v>
      </c>
      <c r="G211" s="6" t="s">
        <v>496</v>
      </c>
      <c r="H211" s="6" t="s">
        <v>2633</v>
      </c>
      <c r="I211" s="6" t="s">
        <v>4359</v>
      </c>
      <c r="J211" s="6" t="s">
        <v>4360</v>
      </c>
      <c r="K211" s="6" t="s">
        <v>4361</v>
      </c>
      <c r="L211" s="6" t="s">
        <v>4362</v>
      </c>
      <c r="M211" s="6" t="s">
        <v>4363</v>
      </c>
      <c r="N211" s="7"/>
      <c r="O211" s="6" t="s">
        <v>4364</v>
      </c>
      <c r="P211" s="6" t="s">
        <v>4365</v>
      </c>
      <c r="Q211" s="6" t="s">
        <v>4366</v>
      </c>
      <c r="R211" s="6" t="s">
        <v>257</v>
      </c>
      <c r="S211" s="6" t="s">
        <v>147</v>
      </c>
      <c r="T211" s="6" t="s">
        <v>149</v>
      </c>
      <c r="U211" s="6" t="s">
        <v>252</v>
      </c>
      <c r="V211" s="6" t="s">
        <v>246</v>
      </c>
      <c r="W211" s="6" t="s">
        <v>158</v>
      </c>
      <c r="X211" s="6" t="s">
        <v>257</v>
      </c>
      <c r="Y211" s="6" t="s">
        <v>162</v>
      </c>
      <c r="Z211" s="6" t="s">
        <v>165</v>
      </c>
      <c r="AA211" s="6" t="s">
        <v>262</v>
      </c>
      <c r="AB211" s="6" t="s">
        <v>171</v>
      </c>
      <c r="AC211" s="6" t="s">
        <v>174</v>
      </c>
      <c r="AD211" s="6" t="s">
        <v>175</v>
      </c>
      <c r="AE211" s="6" t="s">
        <v>178</v>
      </c>
      <c r="AF211" s="6" t="s">
        <v>181</v>
      </c>
      <c r="AG211" s="6" t="s">
        <v>182</v>
      </c>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row>
    <row r="212" ht="22.5" customHeight="1">
      <c r="A212" s="4">
        <v>46229.69797259259</v>
      </c>
      <c r="B212" s="5">
        <v>0.0</v>
      </c>
      <c r="C212" s="6" t="s">
        <v>114</v>
      </c>
      <c r="D212" s="6" t="s">
        <v>323</v>
      </c>
      <c r="E212" s="6" t="s">
        <v>565</v>
      </c>
      <c r="F212" s="6">
        <v>6.9070506429E10</v>
      </c>
      <c r="G212" s="6" t="s">
        <v>599</v>
      </c>
      <c r="H212" s="7"/>
      <c r="I212" s="6" t="s">
        <v>4367</v>
      </c>
      <c r="J212" s="6" t="s">
        <v>4368</v>
      </c>
      <c r="K212" s="6" t="s">
        <v>4369</v>
      </c>
      <c r="L212" s="6" t="s">
        <v>4370</v>
      </c>
      <c r="M212" s="6" t="s">
        <v>3522</v>
      </c>
      <c r="N212" s="6" t="s">
        <v>4371</v>
      </c>
      <c r="O212" s="6" t="s">
        <v>4372</v>
      </c>
      <c r="P212" s="6" t="s">
        <v>4373</v>
      </c>
      <c r="Q212" s="6" t="s">
        <v>4374</v>
      </c>
      <c r="R212" s="6" t="s">
        <v>246</v>
      </c>
      <c r="S212" s="6" t="s">
        <v>147</v>
      </c>
      <c r="T212" s="6" t="s">
        <v>250</v>
      </c>
      <c r="U212" s="6" t="s">
        <v>686</v>
      </c>
      <c r="V212" s="6" t="s">
        <v>246</v>
      </c>
      <c r="W212" s="6" t="s">
        <v>158</v>
      </c>
      <c r="X212" s="6" t="s">
        <v>257</v>
      </c>
      <c r="Y212" s="6" t="s">
        <v>162</v>
      </c>
      <c r="Z212" s="6" t="s">
        <v>165</v>
      </c>
      <c r="AA212" s="6" t="s">
        <v>262</v>
      </c>
      <c r="AB212" s="6" t="s">
        <v>521</v>
      </c>
      <c r="AC212" s="6" t="s">
        <v>174</v>
      </c>
      <c r="AD212" s="6" t="s">
        <v>175</v>
      </c>
      <c r="AE212" s="6" t="s">
        <v>271</v>
      </c>
      <c r="AF212" s="6" t="s">
        <v>181</v>
      </c>
      <c r="AG212" s="6" t="s">
        <v>182</v>
      </c>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row>
    <row r="213" ht="22.5" customHeight="1">
      <c r="A213" s="4">
        <v>46229.69797417824</v>
      </c>
      <c r="B213" s="5">
        <v>0.0</v>
      </c>
      <c r="C213" s="6" t="s">
        <v>114</v>
      </c>
      <c r="D213" s="6" t="s">
        <v>566</v>
      </c>
      <c r="E213" s="6" t="s">
        <v>567</v>
      </c>
      <c r="F213" s="6">
        <v>6.9070501069E10</v>
      </c>
      <c r="G213" s="6" t="s">
        <v>1470</v>
      </c>
      <c r="H213" s="6" t="s">
        <v>4375</v>
      </c>
      <c r="I213" s="6" t="s">
        <v>4376</v>
      </c>
      <c r="J213" s="6" t="s">
        <v>4377</v>
      </c>
      <c r="K213" s="6" t="s">
        <v>4378</v>
      </c>
      <c r="L213" s="6" t="s">
        <v>4379</v>
      </c>
      <c r="M213" s="6" t="s">
        <v>4380</v>
      </c>
      <c r="N213" s="7"/>
      <c r="O213" s="6" t="s">
        <v>4381</v>
      </c>
      <c r="P213" s="6" t="s">
        <v>4382</v>
      </c>
      <c r="Q213" s="6" t="s">
        <v>4383</v>
      </c>
      <c r="R213" s="6" t="s">
        <v>257</v>
      </c>
      <c r="S213" s="6" t="s">
        <v>1148</v>
      </c>
      <c r="T213" s="6" t="s">
        <v>250</v>
      </c>
      <c r="U213" s="6" t="s">
        <v>560</v>
      </c>
      <c r="V213" s="6" t="s">
        <v>246</v>
      </c>
      <c r="W213" s="6" t="s">
        <v>158</v>
      </c>
      <c r="X213" s="6" t="s">
        <v>257</v>
      </c>
      <c r="Y213" s="6" t="s">
        <v>162</v>
      </c>
      <c r="Z213" s="6" t="s">
        <v>165</v>
      </c>
      <c r="AA213" s="6" t="s">
        <v>262</v>
      </c>
      <c r="AB213" s="6" t="s">
        <v>1266</v>
      </c>
      <c r="AC213" s="6" t="s">
        <v>174</v>
      </c>
      <c r="AD213" s="6" t="s">
        <v>175</v>
      </c>
      <c r="AE213" s="6" t="s">
        <v>271</v>
      </c>
      <c r="AF213" s="6" t="s">
        <v>181</v>
      </c>
      <c r="AG213" s="6" t="s">
        <v>641</v>
      </c>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row>
    <row r="214" ht="22.5" customHeight="1">
      <c r="A214" s="4">
        <v>46229.69798819444</v>
      </c>
      <c r="B214" s="5">
        <v>0.0</v>
      </c>
      <c r="C214" s="6" t="s">
        <v>114</v>
      </c>
      <c r="D214" s="6" t="s">
        <v>568</v>
      </c>
      <c r="E214" s="6" t="s">
        <v>569</v>
      </c>
      <c r="F214" s="6">
        <v>6.9070501855E10</v>
      </c>
      <c r="G214" s="6" t="s">
        <v>730</v>
      </c>
      <c r="H214" s="7"/>
      <c r="I214" s="6" t="s">
        <v>4384</v>
      </c>
      <c r="J214" s="6" t="s">
        <v>4385</v>
      </c>
      <c r="K214" s="6" t="s">
        <v>4386</v>
      </c>
      <c r="L214" s="6" t="s">
        <v>3740</v>
      </c>
      <c r="M214" s="6" t="s">
        <v>4387</v>
      </c>
      <c r="N214" s="7"/>
      <c r="O214" s="6" t="s">
        <v>4388</v>
      </c>
      <c r="P214" s="6" t="s">
        <v>4389</v>
      </c>
      <c r="Q214" s="6" t="s">
        <v>4390</v>
      </c>
      <c r="R214" s="6" t="s">
        <v>246</v>
      </c>
      <c r="S214" s="6" t="s">
        <v>147</v>
      </c>
      <c r="T214" s="6" t="s">
        <v>250</v>
      </c>
      <c r="U214" s="6" t="s">
        <v>252</v>
      </c>
      <c r="V214" s="6" t="s">
        <v>246</v>
      </c>
      <c r="W214" s="6" t="s">
        <v>158</v>
      </c>
      <c r="X214" s="6" t="s">
        <v>257</v>
      </c>
      <c r="Y214" s="6" t="s">
        <v>162</v>
      </c>
      <c r="Z214" s="6" t="s">
        <v>165</v>
      </c>
      <c r="AA214" s="6" t="s">
        <v>262</v>
      </c>
      <c r="AB214" s="6" t="s">
        <v>171</v>
      </c>
      <c r="AC214" s="6" t="s">
        <v>174</v>
      </c>
      <c r="AD214" s="6" t="s">
        <v>175</v>
      </c>
      <c r="AE214" s="6" t="s">
        <v>271</v>
      </c>
      <c r="AF214" s="6" t="s">
        <v>181</v>
      </c>
      <c r="AG214" s="6" t="s">
        <v>182</v>
      </c>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row>
    <row r="215" ht="22.5" customHeight="1">
      <c r="A215" s="4">
        <v>46229.69798849537</v>
      </c>
      <c r="B215" s="5">
        <v>0.0</v>
      </c>
      <c r="C215" s="6" t="s">
        <v>114</v>
      </c>
      <c r="D215" s="6" t="s">
        <v>570</v>
      </c>
      <c r="E215" s="6" t="s">
        <v>571</v>
      </c>
      <c r="F215" s="6">
        <v>6.9070500425E10</v>
      </c>
      <c r="G215" s="6" t="s">
        <v>310</v>
      </c>
      <c r="H215" s="7"/>
      <c r="I215" s="6" t="s">
        <v>4391</v>
      </c>
      <c r="J215" s="6" t="s">
        <v>4392</v>
      </c>
      <c r="K215" s="6" t="s">
        <v>4393</v>
      </c>
      <c r="L215" s="6" t="s">
        <v>377</v>
      </c>
      <c r="M215" s="6" t="s">
        <v>4394</v>
      </c>
      <c r="N215" s="7"/>
      <c r="O215" s="6" t="s">
        <v>4395</v>
      </c>
      <c r="P215" s="6" t="s">
        <v>4396</v>
      </c>
      <c r="Q215" s="6" t="s">
        <v>4397</v>
      </c>
      <c r="R215" s="6" t="s">
        <v>246</v>
      </c>
      <c r="S215" s="6" t="s">
        <v>147</v>
      </c>
      <c r="T215" s="6" t="s">
        <v>250</v>
      </c>
      <c r="U215" s="6" t="s">
        <v>2254</v>
      </c>
      <c r="V215" s="6" t="s">
        <v>246</v>
      </c>
      <c r="W215" s="6" t="s">
        <v>158</v>
      </c>
      <c r="X215" s="6" t="s">
        <v>257</v>
      </c>
      <c r="Y215" s="6" t="s">
        <v>162</v>
      </c>
      <c r="Z215" s="6" t="s">
        <v>165</v>
      </c>
      <c r="AA215" s="6" t="s">
        <v>262</v>
      </c>
      <c r="AB215" s="6" t="s">
        <v>521</v>
      </c>
      <c r="AC215" s="6" t="s">
        <v>174</v>
      </c>
      <c r="AD215" s="6" t="s">
        <v>175</v>
      </c>
      <c r="AE215" s="6" t="s">
        <v>271</v>
      </c>
      <c r="AF215" s="6" t="s">
        <v>181</v>
      </c>
      <c r="AG215" s="6" t="s">
        <v>182</v>
      </c>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row>
    <row r="216" ht="22.5" customHeight="1">
      <c r="A216" s="4">
        <v>46229.69799002315</v>
      </c>
      <c r="B216" s="5">
        <v>0.0</v>
      </c>
      <c r="C216" s="6" t="s">
        <v>114</v>
      </c>
      <c r="D216" s="6" t="s">
        <v>572</v>
      </c>
      <c r="E216" s="6" t="s">
        <v>573</v>
      </c>
      <c r="F216" s="6">
        <v>6.9070509603E10</v>
      </c>
      <c r="G216" s="6" t="s">
        <v>730</v>
      </c>
      <c r="H216" s="6" t="s">
        <v>4398</v>
      </c>
      <c r="I216" s="6" t="s">
        <v>4399</v>
      </c>
      <c r="J216" s="6" t="s">
        <v>4400</v>
      </c>
      <c r="K216" s="6" t="s">
        <v>4401</v>
      </c>
      <c r="L216" s="6" t="s">
        <v>4402</v>
      </c>
      <c r="M216" s="6" t="s">
        <v>4403</v>
      </c>
      <c r="N216" s="6" t="s">
        <v>4404</v>
      </c>
      <c r="O216" s="6" t="s">
        <v>4405</v>
      </c>
      <c r="P216" s="6" t="s">
        <v>4406</v>
      </c>
      <c r="Q216" s="6" t="s">
        <v>4407</v>
      </c>
      <c r="R216" s="6" t="s">
        <v>246</v>
      </c>
      <c r="S216" s="6" t="s">
        <v>147</v>
      </c>
      <c r="T216" s="6" t="s">
        <v>250</v>
      </c>
      <c r="U216" s="6" t="s">
        <v>252</v>
      </c>
      <c r="V216" s="6" t="s">
        <v>246</v>
      </c>
      <c r="W216" s="6" t="s">
        <v>158</v>
      </c>
      <c r="X216" s="6" t="s">
        <v>257</v>
      </c>
      <c r="Y216" s="6" t="s">
        <v>162</v>
      </c>
      <c r="Z216" s="6" t="s">
        <v>165</v>
      </c>
      <c r="AA216" s="6" t="s">
        <v>262</v>
      </c>
      <c r="AB216" s="6" t="s">
        <v>4010</v>
      </c>
      <c r="AC216" s="6" t="s">
        <v>174</v>
      </c>
      <c r="AD216" s="6" t="s">
        <v>175</v>
      </c>
      <c r="AE216" s="6" t="s">
        <v>271</v>
      </c>
      <c r="AF216" s="6" t="s">
        <v>181</v>
      </c>
      <c r="AG216" s="6" t="s">
        <v>182</v>
      </c>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row>
    <row r="217" ht="22.5" customHeight="1">
      <c r="A217" s="4">
        <v>46229.6979908912</v>
      </c>
      <c r="B217" s="5">
        <v>0.0</v>
      </c>
      <c r="C217" s="6" t="s">
        <v>114</v>
      </c>
      <c r="D217" s="6" t="s">
        <v>574</v>
      </c>
      <c r="E217" s="6" t="s">
        <v>575</v>
      </c>
      <c r="F217" s="6">
        <v>6.9070500811E10</v>
      </c>
      <c r="G217" s="6" t="s">
        <v>496</v>
      </c>
      <c r="H217" s="7"/>
      <c r="I217" s="6" t="s">
        <v>3085</v>
      </c>
      <c r="J217" s="6" t="s">
        <v>4408</v>
      </c>
      <c r="K217" s="6" t="s">
        <v>4409</v>
      </c>
      <c r="L217" s="6" t="s">
        <v>4410</v>
      </c>
      <c r="M217" s="6" t="s">
        <v>4411</v>
      </c>
      <c r="N217" s="6" t="s">
        <v>4412</v>
      </c>
      <c r="O217" s="6" t="s">
        <v>4413</v>
      </c>
      <c r="P217" s="6" t="s">
        <v>4414</v>
      </c>
      <c r="Q217" s="6" t="s">
        <v>4415</v>
      </c>
      <c r="R217" s="6" t="s">
        <v>257</v>
      </c>
      <c r="S217" s="6" t="s">
        <v>147</v>
      </c>
      <c r="T217" s="6" t="s">
        <v>250</v>
      </c>
      <c r="U217" s="6" t="s">
        <v>686</v>
      </c>
      <c r="V217" s="6" t="s">
        <v>246</v>
      </c>
      <c r="W217" s="6" t="s">
        <v>158</v>
      </c>
      <c r="X217" s="6" t="s">
        <v>257</v>
      </c>
      <c r="Y217" s="6" t="s">
        <v>4287</v>
      </c>
      <c r="Z217" s="6" t="s">
        <v>165</v>
      </c>
      <c r="AA217" s="6" t="s">
        <v>262</v>
      </c>
      <c r="AB217" s="6" t="s">
        <v>171</v>
      </c>
      <c r="AC217" s="6" t="s">
        <v>174</v>
      </c>
      <c r="AD217" s="6" t="s">
        <v>175</v>
      </c>
      <c r="AE217" s="6" t="s">
        <v>271</v>
      </c>
      <c r="AF217" s="6" t="s">
        <v>181</v>
      </c>
      <c r="AG217" s="6" t="s">
        <v>182</v>
      </c>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row>
    <row r="218" ht="22.5" customHeight="1">
      <c r="A218" s="4">
        <v>46229.69799717593</v>
      </c>
      <c r="B218" s="5">
        <v>0.0</v>
      </c>
      <c r="C218" s="6" t="s">
        <v>114</v>
      </c>
      <c r="D218" s="6" t="s">
        <v>576</v>
      </c>
      <c r="E218" s="6" t="s">
        <v>577</v>
      </c>
      <c r="F218" s="6">
        <v>6.9070501275E10</v>
      </c>
      <c r="G218" s="6" t="s">
        <v>228</v>
      </c>
      <c r="H218" s="7"/>
      <c r="I218" s="6" t="s">
        <v>4416</v>
      </c>
      <c r="J218" s="6" t="s">
        <v>4417</v>
      </c>
      <c r="K218" s="6" t="s">
        <v>4418</v>
      </c>
      <c r="L218" s="6" t="s">
        <v>4419</v>
      </c>
      <c r="M218" s="6" t="s">
        <v>4420</v>
      </c>
      <c r="N218" s="7"/>
      <c r="O218" s="6" t="s">
        <v>4421</v>
      </c>
      <c r="P218" s="6" t="s">
        <v>4422</v>
      </c>
      <c r="Q218" s="6" t="s">
        <v>4423</v>
      </c>
      <c r="R218" s="6" t="s">
        <v>257</v>
      </c>
      <c r="S218" s="6" t="s">
        <v>147</v>
      </c>
      <c r="T218" s="6" t="s">
        <v>250</v>
      </c>
      <c r="U218" s="6" t="s">
        <v>252</v>
      </c>
      <c r="V218" s="6" t="s">
        <v>246</v>
      </c>
      <c r="W218" s="6" t="s">
        <v>158</v>
      </c>
      <c r="X218" s="6" t="s">
        <v>257</v>
      </c>
      <c r="Y218" s="6" t="s">
        <v>162</v>
      </c>
      <c r="Z218" s="6" t="s">
        <v>165</v>
      </c>
      <c r="AA218" s="6" t="s">
        <v>262</v>
      </c>
      <c r="AB218" s="6" t="s">
        <v>521</v>
      </c>
      <c r="AC218" s="6" t="s">
        <v>174</v>
      </c>
      <c r="AD218" s="6" t="s">
        <v>175</v>
      </c>
      <c r="AE218" s="6" t="s">
        <v>271</v>
      </c>
      <c r="AF218" s="6" t="s">
        <v>181</v>
      </c>
      <c r="AG218" s="6" t="s">
        <v>182</v>
      </c>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row>
    <row r="219" ht="22.5" customHeight="1">
      <c r="A219" s="4">
        <v>46229.69799726852</v>
      </c>
      <c r="B219" s="5">
        <v>0.0</v>
      </c>
      <c r="C219" s="6" t="s">
        <v>114</v>
      </c>
      <c r="D219" s="6" t="s">
        <v>578</v>
      </c>
      <c r="E219" s="6" t="s">
        <v>579</v>
      </c>
      <c r="F219" s="6">
        <v>6.9070500426E10</v>
      </c>
      <c r="G219" s="6" t="s">
        <v>310</v>
      </c>
      <c r="H219" s="7"/>
      <c r="I219" s="6" t="s">
        <v>4424</v>
      </c>
      <c r="J219" s="6" t="s">
        <v>3610</v>
      </c>
      <c r="K219" s="6" t="s">
        <v>4425</v>
      </c>
      <c r="L219" s="6" t="s">
        <v>1649</v>
      </c>
      <c r="M219" s="6" t="s">
        <v>3611</v>
      </c>
      <c r="N219" s="7"/>
      <c r="O219" s="6" t="s">
        <v>4426</v>
      </c>
      <c r="P219" s="6" t="s">
        <v>4427</v>
      </c>
      <c r="Q219" s="6" t="s">
        <v>4428</v>
      </c>
      <c r="R219" s="6" t="s">
        <v>145</v>
      </c>
      <c r="S219" s="6" t="s">
        <v>147</v>
      </c>
      <c r="T219" s="6" t="s">
        <v>250</v>
      </c>
      <c r="U219" s="6" t="s">
        <v>2254</v>
      </c>
      <c r="V219" s="6" t="s">
        <v>246</v>
      </c>
      <c r="W219" s="6" t="s">
        <v>158</v>
      </c>
      <c r="X219" s="6" t="s">
        <v>458</v>
      </c>
      <c r="Y219" s="6" t="s">
        <v>162</v>
      </c>
      <c r="Z219" s="6" t="s">
        <v>165</v>
      </c>
      <c r="AA219" s="6" t="s">
        <v>262</v>
      </c>
      <c r="AB219" s="6" t="s">
        <v>171</v>
      </c>
      <c r="AC219" s="6" t="s">
        <v>174</v>
      </c>
      <c r="AD219" s="6" t="s">
        <v>175</v>
      </c>
      <c r="AE219" s="6" t="s">
        <v>271</v>
      </c>
      <c r="AF219" s="6" t="s">
        <v>181</v>
      </c>
      <c r="AG219" s="6" t="s">
        <v>182</v>
      </c>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row>
    <row r="220" ht="22.5" customHeight="1">
      <c r="A220" s="4">
        <v>46229.69800024306</v>
      </c>
      <c r="B220" s="5">
        <v>0.0</v>
      </c>
      <c r="C220" s="6" t="s">
        <v>114</v>
      </c>
      <c r="D220" s="6" t="s">
        <v>580</v>
      </c>
      <c r="E220" s="6" t="s">
        <v>581</v>
      </c>
      <c r="F220" s="6">
        <v>6.9070501268E10</v>
      </c>
      <c r="G220" s="6" t="s">
        <v>228</v>
      </c>
      <c r="H220" s="7"/>
      <c r="I220" s="6" t="s">
        <v>4429</v>
      </c>
      <c r="J220" s="6" t="s">
        <v>4430</v>
      </c>
      <c r="K220" s="6" t="s">
        <v>4431</v>
      </c>
      <c r="L220" s="6" t="s">
        <v>4432</v>
      </c>
      <c r="M220" s="6" t="s">
        <v>4433</v>
      </c>
      <c r="N220" s="7"/>
      <c r="O220" s="6" t="s">
        <v>4434</v>
      </c>
      <c r="P220" s="6" t="s">
        <v>4435</v>
      </c>
      <c r="Q220" s="6" t="s">
        <v>4436</v>
      </c>
      <c r="R220" s="6" t="s">
        <v>257</v>
      </c>
      <c r="S220" s="6" t="s">
        <v>147</v>
      </c>
      <c r="T220" s="6" t="s">
        <v>250</v>
      </c>
      <c r="U220" s="6" t="s">
        <v>252</v>
      </c>
      <c r="V220" s="6" t="s">
        <v>246</v>
      </c>
      <c r="W220" s="6" t="s">
        <v>158</v>
      </c>
      <c r="X220" s="6" t="s">
        <v>257</v>
      </c>
      <c r="Y220" s="6" t="s">
        <v>162</v>
      </c>
      <c r="Z220" s="6" t="s">
        <v>165</v>
      </c>
      <c r="AA220" s="6" t="s">
        <v>262</v>
      </c>
      <c r="AB220" s="6" t="s">
        <v>521</v>
      </c>
      <c r="AC220" s="6" t="s">
        <v>174</v>
      </c>
      <c r="AD220" s="6" t="s">
        <v>175</v>
      </c>
      <c r="AE220" s="6" t="s">
        <v>271</v>
      </c>
      <c r="AF220" s="6" t="s">
        <v>181</v>
      </c>
      <c r="AG220" s="6" t="s">
        <v>182</v>
      </c>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row>
    <row r="221" ht="22.5" customHeight="1">
      <c r="A221" s="4">
        <v>46229.69800240741</v>
      </c>
      <c r="B221" s="5">
        <v>0.0</v>
      </c>
      <c r="C221" s="6" t="s">
        <v>114</v>
      </c>
      <c r="D221" s="6" t="s">
        <v>582</v>
      </c>
      <c r="E221" s="6" t="s">
        <v>583</v>
      </c>
      <c r="F221" s="6">
        <v>6.9070502408E10</v>
      </c>
      <c r="G221" s="6" t="s">
        <v>122</v>
      </c>
      <c r="H221" s="7"/>
      <c r="I221" s="6" t="s">
        <v>4437</v>
      </c>
      <c r="J221" s="6" t="s">
        <v>4438</v>
      </c>
      <c r="K221" s="6" t="s">
        <v>4439</v>
      </c>
      <c r="L221" s="6" t="s">
        <v>4440</v>
      </c>
      <c r="M221" s="6" t="s">
        <v>4441</v>
      </c>
      <c r="N221" s="7"/>
      <c r="O221" s="6" t="s">
        <v>4442</v>
      </c>
      <c r="P221" s="6" t="s">
        <v>4443</v>
      </c>
      <c r="Q221" s="6" t="s">
        <v>4444</v>
      </c>
      <c r="R221" s="6" t="s">
        <v>246</v>
      </c>
      <c r="S221" s="6" t="s">
        <v>147</v>
      </c>
      <c r="T221" s="6" t="s">
        <v>250</v>
      </c>
      <c r="U221" s="6" t="s">
        <v>252</v>
      </c>
      <c r="V221" s="6" t="s">
        <v>155</v>
      </c>
      <c r="W221" s="6" t="s">
        <v>3463</v>
      </c>
      <c r="X221" s="6" t="s">
        <v>257</v>
      </c>
      <c r="Y221" s="6" t="s">
        <v>162</v>
      </c>
      <c r="Z221" s="6" t="s">
        <v>804</v>
      </c>
      <c r="AA221" s="6" t="s">
        <v>168</v>
      </c>
      <c r="AB221" s="6" t="s">
        <v>171</v>
      </c>
      <c r="AC221" s="6" t="s">
        <v>174</v>
      </c>
      <c r="AD221" s="6" t="s">
        <v>1723</v>
      </c>
      <c r="AE221" s="6" t="s">
        <v>3105</v>
      </c>
      <c r="AF221" s="6" t="s">
        <v>811</v>
      </c>
      <c r="AG221" s="6" t="s">
        <v>182</v>
      </c>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row>
    <row r="222" ht="22.5" customHeight="1">
      <c r="A222" s="4">
        <v>46229.698011608794</v>
      </c>
      <c r="B222" s="5">
        <v>0.0</v>
      </c>
      <c r="C222" s="6" t="s">
        <v>114</v>
      </c>
      <c r="D222" s="6" t="s">
        <v>584</v>
      </c>
      <c r="E222" s="6" t="s">
        <v>585</v>
      </c>
      <c r="F222" s="6">
        <v>6.9070508241E10</v>
      </c>
      <c r="G222" s="6" t="s">
        <v>730</v>
      </c>
      <c r="H222" s="7"/>
      <c r="I222" s="6" t="s">
        <v>3200</v>
      </c>
      <c r="J222" s="6" t="s">
        <v>4445</v>
      </c>
      <c r="K222" s="6" t="s">
        <v>4446</v>
      </c>
      <c r="L222" s="6" t="s">
        <v>4447</v>
      </c>
      <c r="M222" s="6" t="s">
        <v>4448</v>
      </c>
      <c r="N222" s="7"/>
      <c r="O222" s="6" t="s">
        <v>4449</v>
      </c>
      <c r="P222" s="6" t="s">
        <v>4450</v>
      </c>
      <c r="Q222" s="6" t="s">
        <v>4451</v>
      </c>
      <c r="R222" s="6" t="s">
        <v>246</v>
      </c>
      <c r="S222" s="6" t="s">
        <v>147</v>
      </c>
      <c r="T222" s="6" t="s">
        <v>250</v>
      </c>
      <c r="U222" s="6" t="s">
        <v>686</v>
      </c>
      <c r="V222" s="6" t="s">
        <v>246</v>
      </c>
      <c r="W222" s="6" t="s">
        <v>158</v>
      </c>
      <c r="X222" s="6" t="s">
        <v>257</v>
      </c>
      <c r="Y222" s="6" t="s">
        <v>162</v>
      </c>
      <c r="Z222" s="6" t="s">
        <v>165</v>
      </c>
      <c r="AA222" s="6" t="s">
        <v>2307</v>
      </c>
      <c r="AB222" s="6" t="s">
        <v>521</v>
      </c>
      <c r="AC222" s="6" t="s">
        <v>174</v>
      </c>
      <c r="AD222" s="6" t="s">
        <v>175</v>
      </c>
      <c r="AE222" s="6" t="s">
        <v>271</v>
      </c>
      <c r="AF222" s="6" t="s">
        <v>181</v>
      </c>
      <c r="AG222" s="6" t="s">
        <v>182</v>
      </c>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row>
    <row r="223" ht="22.5" customHeight="1">
      <c r="A223" s="4">
        <v>46229.69801202546</v>
      </c>
      <c r="B223" s="5">
        <v>0.0</v>
      </c>
      <c r="C223" s="6" t="s">
        <v>114</v>
      </c>
      <c r="D223" s="6" t="s">
        <v>586</v>
      </c>
      <c r="E223" s="6" t="s">
        <v>587</v>
      </c>
      <c r="F223" s="6">
        <v>6.9070501837E10</v>
      </c>
      <c r="G223" s="6" t="s">
        <v>730</v>
      </c>
      <c r="H223" s="7"/>
      <c r="I223" s="6" t="s">
        <v>3740</v>
      </c>
      <c r="J223" s="6" t="s">
        <v>4385</v>
      </c>
      <c r="K223" s="6" t="s">
        <v>4384</v>
      </c>
      <c r="L223" s="6" t="s">
        <v>4452</v>
      </c>
      <c r="M223" s="6" t="s">
        <v>4453</v>
      </c>
      <c r="N223" s="6" t="s">
        <v>4454</v>
      </c>
      <c r="O223" s="6" t="s">
        <v>4455</v>
      </c>
      <c r="P223" s="6" t="s">
        <v>4456</v>
      </c>
      <c r="Q223" s="6" t="s">
        <v>4457</v>
      </c>
      <c r="R223" s="6" t="s">
        <v>246</v>
      </c>
      <c r="S223" s="6" t="s">
        <v>147</v>
      </c>
      <c r="T223" s="6" t="s">
        <v>250</v>
      </c>
      <c r="U223" s="6" t="s">
        <v>252</v>
      </c>
      <c r="V223" s="6" t="s">
        <v>246</v>
      </c>
      <c r="W223" s="6" t="s">
        <v>158</v>
      </c>
      <c r="X223" s="6" t="s">
        <v>257</v>
      </c>
      <c r="Y223" s="6" t="s">
        <v>162</v>
      </c>
      <c r="Z223" s="6" t="s">
        <v>165</v>
      </c>
      <c r="AA223" s="6" t="s">
        <v>262</v>
      </c>
      <c r="AB223" s="6" t="s">
        <v>171</v>
      </c>
      <c r="AC223" s="6" t="s">
        <v>174</v>
      </c>
      <c r="AD223" s="6" t="s">
        <v>175</v>
      </c>
      <c r="AE223" s="6" t="s">
        <v>271</v>
      </c>
      <c r="AF223" s="6" t="s">
        <v>181</v>
      </c>
      <c r="AG223" s="6" t="s">
        <v>182</v>
      </c>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row>
    <row r="224" ht="22.5" customHeight="1">
      <c r="A224" s="4">
        <v>46229.698016932874</v>
      </c>
      <c r="B224" s="5">
        <v>0.0</v>
      </c>
      <c r="C224" s="6" t="s">
        <v>114</v>
      </c>
      <c r="D224" s="6" t="s">
        <v>588</v>
      </c>
      <c r="E224" s="6" t="s">
        <v>589</v>
      </c>
      <c r="F224" s="6">
        <v>6.907050103E10</v>
      </c>
      <c r="G224" s="6" t="s">
        <v>1470</v>
      </c>
      <c r="H224" s="7"/>
      <c r="I224" s="6" t="s">
        <v>4458</v>
      </c>
      <c r="J224" s="6" t="s">
        <v>2506</v>
      </c>
      <c r="K224" s="6" t="s">
        <v>4459</v>
      </c>
      <c r="L224" s="6" t="s">
        <v>4460</v>
      </c>
      <c r="M224" s="6" t="s">
        <v>4461</v>
      </c>
      <c r="N224" s="6" t="s">
        <v>4462</v>
      </c>
      <c r="O224" s="6" t="s">
        <v>4463</v>
      </c>
      <c r="P224" s="6" t="s">
        <v>4464</v>
      </c>
      <c r="Q224" s="6" t="s">
        <v>4465</v>
      </c>
      <c r="R224" s="6" t="s">
        <v>246</v>
      </c>
      <c r="S224" s="6" t="s">
        <v>147</v>
      </c>
      <c r="T224" s="6" t="s">
        <v>250</v>
      </c>
      <c r="U224" s="6" t="s">
        <v>252</v>
      </c>
      <c r="V224" s="6" t="s">
        <v>246</v>
      </c>
      <c r="W224" s="6" t="s">
        <v>158</v>
      </c>
      <c r="X224" s="6" t="s">
        <v>257</v>
      </c>
      <c r="Y224" s="6" t="s">
        <v>162</v>
      </c>
      <c r="Z224" s="6" t="s">
        <v>165</v>
      </c>
      <c r="AA224" s="6" t="s">
        <v>262</v>
      </c>
      <c r="AB224" s="6" t="s">
        <v>171</v>
      </c>
      <c r="AC224" s="6" t="s">
        <v>174</v>
      </c>
      <c r="AD224" s="6" t="s">
        <v>175</v>
      </c>
      <c r="AE224" s="6" t="s">
        <v>271</v>
      </c>
      <c r="AF224" s="6" t="s">
        <v>181</v>
      </c>
      <c r="AG224" s="6" t="s">
        <v>182</v>
      </c>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row>
    <row r="225" ht="22.5" customHeight="1">
      <c r="A225" s="4">
        <v>46229.69803743056</v>
      </c>
      <c r="B225" s="5">
        <v>0.0</v>
      </c>
      <c r="C225" s="6" t="s">
        <v>114</v>
      </c>
      <c r="D225" s="6" t="s">
        <v>590</v>
      </c>
      <c r="E225" s="6" t="s">
        <v>591</v>
      </c>
      <c r="F225" s="6">
        <v>6.9070502467E10</v>
      </c>
      <c r="G225" s="6" t="s">
        <v>122</v>
      </c>
      <c r="H225" s="7"/>
      <c r="I225" s="6" t="s">
        <v>4466</v>
      </c>
      <c r="J225" s="6" t="s">
        <v>4467</v>
      </c>
      <c r="K225" s="6" t="s">
        <v>4468</v>
      </c>
      <c r="L225" s="6" t="s">
        <v>4469</v>
      </c>
      <c r="M225" s="6" t="s">
        <v>4470</v>
      </c>
      <c r="N225" s="7"/>
      <c r="O225" s="6" t="s">
        <v>4471</v>
      </c>
      <c r="P225" s="6" t="s">
        <v>4472</v>
      </c>
      <c r="Q225" s="6" t="s">
        <v>4473</v>
      </c>
      <c r="R225" s="6" t="s">
        <v>246</v>
      </c>
      <c r="S225" s="6" t="s">
        <v>147</v>
      </c>
      <c r="T225" s="6" t="s">
        <v>250</v>
      </c>
      <c r="U225" s="6" t="s">
        <v>252</v>
      </c>
      <c r="V225" s="6" t="s">
        <v>246</v>
      </c>
      <c r="W225" s="6" t="s">
        <v>158</v>
      </c>
      <c r="X225" s="6" t="s">
        <v>257</v>
      </c>
      <c r="Y225" s="6" t="s">
        <v>162</v>
      </c>
      <c r="Z225" s="6" t="s">
        <v>165</v>
      </c>
      <c r="AA225" s="6" t="s">
        <v>262</v>
      </c>
      <c r="AB225" s="6" t="s">
        <v>171</v>
      </c>
      <c r="AC225" s="6" t="s">
        <v>174</v>
      </c>
      <c r="AD225" s="6" t="s">
        <v>175</v>
      </c>
      <c r="AE225" s="6" t="s">
        <v>271</v>
      </c>
      <c r="AF225" s="6" t="s">
        <v>181</v>
      </c>
      <c r="AG225" s="6" t="s">
        <v>182</v>
      </c>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row>
    <row r="226" ht="22.5" customHeight="1">
      <c r="A226" s="4">
        <v>46229.69803828704</v>
      </c>
      <c r="B226" s="5">
        <v>0.0</v>
      </c>
      <c r="C226" s="6" t="s">
        <v>114</v>
      </c>
      <c r="D226" s="6" t="s">
        <v>592</v>
      </c>
      <c r="E226" s="6" t="s">
        <v>593</v>
      </c>
      <c r="F226" s="6">
        <v>6.907050983E10</v>
      </c>
      <c r="G226" s="6" t="s">
        <v>496</v>
      </c>
      <c r="H226" s="7"/>
      <c r="I226" s="6" t="s">
        <v>4244</v>
      </c>
      <c r="J226" s="6" t="s">
        <v>4474</v>
      </c>
      <c r="K226" s="6" t="s">
        <v>4475</v>
      </c>
      <c r="L226" s="6" t="s">
        <v>4476</v>
      </c>
      <c r="M226" s="6" t="s">
        <v>4474</v>
      </c>
      <c r="N226" s="7"/>
      <c r="O226" s="6" t="s">
        <v>4477</v>
      </c>
      <c r="P226" s="6" t="s">
        <v>4478</v>
      </c>
      <c r="Q226" s="6" t="s">
        <v>4479</v>
      </c>
      <c r="R226" s="6" t="s">
        <v>246</v>
      </c>
      <c r="S226" s="6" t="s">
        <v>147</v>
      </c>
      <c r="T226" s="6" t="s">
        <v>250</v>
      </c>
      <c r="U226" s="6" t="s">
        <v>252</v>
      </c>
      <c r="V226" s="6" t="s">
        <v>246</v>
      </c>
      <c r="W226" s="6" t="s">
        <v>158</v>
      </c>
      <c r="X226" s="6" t="s">
        <v>257</v>
      </c>
      <c r="Y226" s="6" t="s">
        <v>162</v>
      </c>
      <c r="Z226" s="6" t="s">
        <v>165</v>
      </c>
      <c r="AA226" s="6" t="s">
        <v>262</v>
      </c>
      <c r="AB226" s="6" t="s">
        <v>521</v>
      </c>
      <c r="AC226" s="6" t="s">
        <v>174</v>
      </c>
      <c r="AD226" s="6" t="s">
        <v>175</v>
      </c>
      <c r="AE226" s="6" t="s">
        <v>178</v>
      </c>
      <c r="AF226" s="6" t="s">
        <v>181</v>
      </c>
      <c r="AG226" s="6" t="s">
        <v>182</v>
      </c>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row>
    <row r="227" ht="22.5" customHeight="1">
      <c r="A227" s="4">
        <v>46229.69804427083</v>
      </c>
      <c r="B227" s="5">
        <v>0.0</v>
      </c>
      <c r="C227" s="6" t="s">
        <v>114</v>
      </c>
      <c r="D227" s="6" t="s">
        <v>594</v>
      </c>
      <c r="E227" s="6" t="s">
        <v>595</v>
      </c>
      <c r="F227" s="6">
        <v>6.907050105E10</v>
      </c>
      <c r="G227" s="6" t="s">
        <v>1470</v>
      </c>
      <c r="H227" s="7"/>
      <c r="I227" s="6" t="s">
        <v>4458</v>
      </c>
      <c r="J227" s="6" t="s">
        <v>4480</v>
      </c>
      <c r="K227" s="6" t="s">
        <v>4481</v>
      </c>
      <c r="L227" s="6" t="s">
        <v>4482</v>
      </c>
      <c r="M227" s="6" t="s">
        <v>4483</v>
      </c>
      <c r="N227" s="7"/>
      <c r="O227" s="6" t="s">
        <v>4484</v>
      </c>
      <c r="P227" s="6" t="s">
        <v>4485</v>
      </c>
      <c r="Q227" s="6" t="s">
        <v>4486</v>
      </c>
      <c r="R227" s="6" t="s">
        <v>246</v>
      </c>
      <c r="S227" s="6" t="s">
        <v>147</v>
      </c>
      <c r="T227" s="6" t="s">
        <v>250</v>
      </c>
      <c r="U227" s="6" t="s">
        <v>252</v>
      </c>
      <c r="V227" s="6" t="s">
        <v>246</v>
      </c>
      <c r="W227" s="6" t="s">
        <v>158</v>
      </c>
      <c r="X227" s="6" t="s">
        <v>458</v>
      </c>
      <c r="Y227" s="6" t="s">
        <v>162</v>
      </c>
      <c r="Z227" s="6" t="s">
        <v>165</v>
      </c>
      <c r="AA227" s="6" t="s">
        <v>262</v>
      </c>
      <c r="AB227" s="6" t="s">
        <v>521</v>
      </c>
      <c r="AC227" s="6" t="s">
        <v>174</v>
      </c>
      <c r="AD227" s="6" t="s">
        <v>175</v>
      </c>
      <c r="AE227" s="6" t="s">
        <v>271</v>
      </c>
      <c r="AF227" s="6" t="s">
        <v>181</v>
      </c>
      <c r="AG227" s="6" t="s">
        <v>182</v>
      </c>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row>
    <row r="228" ht="22.5" customHeight="1">
      <c r="A228" s="4">
        <v>46229.698044675926</v>
      </c>
      <c r="B228" s="5">
        <v>0.0</v>
      </c>
      <c r="C228" s="6" t="s">
        <v>114</v>
      </c>
      <c r="D228" s="6" t="s">
        <v>209</v>
      </c>
      <c r="E228" s="6" t="s">
        <v>596</v>
      </c>
      <c r="F228" s="6">
        <v>6.9070500497E10</v>
      </c>
      <c r="G228" s="6" t="s">
        <v>310</v>
      </c>
      <c r="H228" s="7"/>
      <c r="I228" s="6" t="s">
        <v>4487</v>
      </c>
      <c r="J228" s="6" t="s">
        <v>3420</v>
      </c>
      <c r="K228" s="6" t="s">
        <v>4488</v>
      </c>
      <c r="L228" s="6" t="s">
        <v>4489</v>
      </c>
      <c r="M228" s="6" t="s">
        <v>4490</v>
      </c>
      <c r="N228" s="6" t="s">
        <v>4491</v>
      </c>
      <c r="O228" s="6" t="s">
        <v>4492</v>
      </c>
      <c r="P228" s="6" t="s">
        <v>4493</v>
      </c>
      <c r="Q228" s="6" t="s">
        <v>4494</v>
      </c>
      <c r="R228" s="6" t="s">
        <v>246</v>
      </c>
      <c r="S228" s="6" t="s">
        <v>147</v>
      </c>
      <c r="T228" s="6" t="s">
        <v>250</v>
      </c>
      <c r="U228" s="6" t="s">
        <v>2254</v>
      </c>
      <c r="V228" s="6" t="s">
        <v>155</v>
      </c>
      <c r="W228" s="6" t="s">
        <v>625</v>
      </c>
      <c r="X228" s="6" t="s">
        <v>246</v>
      </c>
      <c r="Y228" s="6" t="s">
        <v>162</v>
      </c>
      <c r="Z228" s="6" t="s">
        <v>165</v>
      </c>
      <c r="AA228" s="6" t="s">
        <v>262</v>
      </c>
      <c r="AB228" s="6" t="s">
        <v>171</v>
      </c>
      <c r="AC228" s="6" t="s">
        <v>174</v>
      </c>
      <c r="AD228" s="6" t="s">
        <v>175</v>
      </c>
      <c r="AE228" s="6" t="s">
        <v>271</v>
      </c>
      <c r="AF228" s="6" t="s">
        <v>181</v>
      </c>
      <c r="AG228" s="6" t="s">
        <v>182</v>
      </c>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row>
    <row r="229" ht="22.5" customHeight="1">
      <c r="A229" s="4">
        <v>46229.698047708334</v>
      </c>
      <c r="B229" s="5">
        <v>0.0</v>
      </c>
      <c r="C229" s="6" t="s">
        <v>114</v>
      </c>
      <c r="D229" s="6" t="s">
        <v>597</v>
      </c>
      <c r="E229" s="6" t="s">
        <v>598</v>
      </c>
      <c r="F229" s="6">
        <v>6.9070500814E10</v>
      </c>
      <c r="G229" s="6" t="s">
        <v>496</v>
      </c>
      <c r="H229" s="7"/>
      <c r="I229" s="6" t="s">
        <v>4495</v>
      </c>
      <c r="J229" s="6" t="s">
        <v>4496</v>
      </c>
      <c r="K229" s="6" t="s">
        <v>3896</v>
      </c>
      <c r="L229" s="6" t="s">
        <v>4497</v>
      </c>
      <c r="M229" s="6" t="s">
        <v>4498</v>
      </c>
      <c r="N229" s="7"/>
      <c r="O229" s="6" t="s">
        <v>4499</v>
      </c>
      <c r="P229" s="6" t="s">
        <v>4500</v>
      </c>
      <c r="Q229" s="6" t="s">
        <v>4501</v>
      </c>
      <c r="R229" s="6" t="s">
        <v>246</v>
      </c>
      <c r="S229" s="6" t="s">
        <v>147</v>
      </c>
      <c r="T229" s="6" t="s">
        <v>250</v>
      </c>
      <c r="U229" s="6" t="s">
        <v>252</v>
      </c>
      <c r="V229" s="6" t="s">
        <v>246</v>
      </c>
      <c r="W229" s="6" t="s">
        <v>158</v>
      </c>
      <c r="X229" s="6" t="s">
        <v>257</v>
      </c>
      <c r="Y229" s="6" t="s">
        <v>162</v>
      </c>
      <c r="Z229" s="6" t="s">
        <v>165</v>
      </c>
      <c r="AA229" s="6" t="s">
        <v>262</v>
      </c>
      <c r="AB229" s="6" t="s">
        <v>521</v>
      </c>
      <c r="AC229" s="6" t="s">
        <v>174</v>
      </c>
      <c r="AD229" s="6" t="s">
        <v>175</v>
      </c>
      <c r="AE229" s="6" t="s">
        <v>271</v>
      </c>
      <c r="AF229" s="6" t="s">
        <v>181</v>
      </c>
      <c r="AG229" s="6" t="s">
        <v>182</v>
      </c>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row>
    <row r="230" ht="22.5" customHeight="1">
      <c r="A230" s="4">
        <v>46229.69806214121</v>
      </c>
      <c r="B230" s="5">
        <v>0.0</v>
      </c>
      <c r="C230" s="6" t="s">
        <v>114</v>
      </c>
      <c r="D230" s="6" t="s">
        <v>600</v>
      </c>
      <c r="E230" s="6" t="s">
        <v>602</v>
      </c>
      <c r="F230" s="6">
        <v>6.9070502819E10</v>
      </c>
      <c r="G230" s="6" t="s">
        <v>310</v>
      </c>
      <c r="H230" s="6" t="s">
        <v>4502</v>
      </c>
      <c r="I230" s="6" t="s">
        <v>4503</v>
      </c>
      <c r="J230" s="6" t="s">
        <v>4504</v>
      </c>
      <c r="K230" s="6" t="s">
        <v>3841</v>
      </c>
      <c r="L230" s="6" t="s">
        <v>3839</v>
      </c>
      <c r="M230" s="6" t="s">
        <v>4505</v>
      </c>
      <c r="N230" s="7"/>
      <c r="O230" s="6" t="s">
        <v>4506</v>
      </c>
      <c r="P230" s="6" t="s">
        <v>4507</v>
      </c>
      <c r="Q230" s="6" t="s">
        <v>4508</v>
      </c>
      <c r="R230" s="6" t="s">
        <v>246</v>
      </c>
      <c r="S230" s="6" t="s">
        <v>147</v>
      </c>
      <c r="T230" s="6" t="s">
        <v>246</v>
      </c>
      <c r="U230" s="6" t="s">
        <v>252</v>
      </c>
      <c r="V230" s="6" t="s">
        <v>246</v>
      </c>
      <c r="W230" s="6" t="s">
        <v>158</v>
      </c>
      <c r="X230" s="6" t="s">
        <v>257</v>
      </c>
      <c r="Y230" s="6" t="s">
        <v>162</v>
      </c>
      <c r="Z230" s="6" t="s">
        <v>165</v>
      </c>
      <c r="AA230" s="6" t="s">
        <v>262</v>
      </c>
      <c r="AB230" s="6" t="s">
        <v>171</v>
      </c>
      <c r="AC230" s="6" t="s">
        <v>174</v>
      </c>
      <c r="AD230" s="6" t="s">
        <v>175</v>
      </c>
      <c r="AE230" s="6" t="s">
        <v>271</v>
      </c>
      <c r="AF230" s="6" t="s">
        <v>181</v>
      </c>
      <c r="AG230" s="6" t="s">
        <v>182</v>
      </c>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row>
    <row r="231" ht="22.5" customHeight="1">
      <c r="A231" s="4">
        <v>46229.69806605324</v>
      </c>
      <c r="B231" s="5">
        <v>0.0</v>
      </c>
      <c r="C231" s="6" t="s">
        <v>114</v>
      </c>
      <c r="D231" s="6" t="s">
        <v>605</v>
      </c>
      <c r="E231" s="6" t="s">
        <v>606</v>
      </c>
      <c r="F231" s="6">
        <v>6.9070502478E10</v>
      </c>
      <c r="G231" s="6" t="s">
        <v>122</v>
      </c>
      <c r="H231" s="7"/>
      <c r="I231" s="6" t="s">
        <v>4509</v>
      </c>
      <c r="J231" s="6" t="s">
        <v>4510</v>
      </c>
      <c r="K231" s="6" t="s">
        <v>3839</v>
      </c>
      <c r="L231" s="6" t="s">
        <v>4511</v>
      </c>
      <c r="M231" s="6" t="s">
        <v>3907</v>
      </c>
      <c r="N231" s="6" t="s">
        <v>232</v>
      </c>
      <c r="O231" s="6" t="s">
        <v>4512</v>
      </c>
      <c r="P231" s="6" t="s">
        <v>4513</v>
      </c>
      <c r="Q231" s="6" t="s">
        <v>4514</v>
      </c>
      <c r="R231" s="6" t="s">
        <v>246</v>
      </c>
      <c r="S231" s="6" t="s">
        <v>147</v>
      </c>
      <c r="T231" s="6" t="s">
        <v>250</v>
      </c>
      <c r="U231" s="6" t="s">
        <v>560</v>
      </c>
      <c r="V231" s="6" t="s">
        <v>246</v>
      </c>
      <c r="W231" s="6" t="s">
        <v>158</v>
      </c>
      <c r="X231" s="6" t="s">
        <v>458</v>
      </c>
      <c r="Y231" s="6" t="s">
        <v>162</v>
      </c>
      <c r="Z231" s="6" t="s">
        <v>165</v>
      </c>
      <c r="AA231" s="6" t="s">
        <v>262</v>
      </c>
      <c r="AB231" s="6" t="s">
        <v>171</v>
      </c>
      <c r="AC231" s="6" t="s">
        <v>174</v>
      </c>
      <c r="AD231" s="6" t="s">
        <v>175</v>
      </c>
      <c r="AE231" s="6" t="s">
        <v>1211</v>
      </c>
      <c r="AF231" s="6" t="s">
        <v>181</v>
      </c>
      <c r="AG231" s="6" t="s">
        <v>182</v>
      </c>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row>
    <row r="232" ht="22.5" customHeight="1">
      <c r="A232" s="4">
        <v>46229.698068275466</v>
      </c>
      <c r="B232" s="5">
        <v>0.0</v>
      </c>
      <c r="C232" s="6" t="s">
        <v>114</v>
      </c>
      <c r="D232" s="6" t="s">
        <v>609</v>
      </c>
      <c r="E232" s="6" t="s">
        <v>610</v>
      </c>
      <c r="F232" s="6">
        <v>6.9070500819E10</v>
      </c>
      <c r="G232" s="6" t="s">
        <v>496</v>
      </c>
      <c r="H232" s="7"/>
      <c r="I232" s="6" t="s">
        <v>4515</v>
      </c>
      <c r="J232" s="6" t="s">
        <v>4516</v>
      </c>
      <c r="K232" s="6" t="s">
        <v>4517</v>
      </c>
      <c r="L232" s="6" t="s">
        <v>4518</v>
      </c>
      <c r="M232" s="6" t="s">
        <v>4519</v>
      </c>
      <c r="N232" s="6" t="s">
        <v>4520</v>
      </c>
      <c r="O232" s="6" t="s">
        <v>4521</v>
      </c>
      <c r="P232" s="6" t="s">
        <v>4522</v>
      </c>
      <c r="Q232" s="6" t="s">
        <v>4523</v>
      </c>
      <c r="R232" s="6" t="s">
        <v>246</v>
      </c>
      <c r="S232" s="6" t="s">
        <v>147</v>
      </c>
      <c r="T232" s="6" t="s">
        <v>246</v>
      </c>
      <c r="U232" s="6" t="s">
        <v>252</v>
      </c>
      <c r="V232" s="6" t="s">
        <v>246</v>
      </c>
      <c r="W232" s="6" t="s">
        <v>158</v>
      </c>
      <c r="X232" s="6" t="s">
        <v>257</v>
      </c>
      <c r="Y232" s="6" t="s">
        <v>162</v>
      </c>
      <c r="Z232" s="6" t="s">
        <v>165</v>
      </c>
      <c r="AA232" s="6" t="s">
        <v>262</v>
      </c>
      <c r="AB232" s="6" t="s">
        <v>521</v>
      </c>
      <c r="AC232" s="6" t="s">
        <v>174</v>
      </c>
      <c r="AD232" s="6" t="s">
        <v>175</v>
      </c>
      <c r="AE232" s="6" t="s">
        <v>271</v>
      </c>
      <c r="AF232" s="6" t="s">
        <v>181</v>
      </c>
      <c r="AG232" s="6" t="s">
        <v>182</v>
      </c>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row>
    <row r="233" ht="22.5" customHeight="1">
      <c r="A233" s="4">
        <v>46229.69807068287</v>
      </c>
      <c r="B233" s="5">
        <v>0.0</v>
      </c>
      <c r="C233" s="6" t="s">
        <v>114</v>
      </c>
      <c r="D233" s="6" t="s">
        <v>613</v>
      </c>
      <c r="E233" s="6" t="s">
        <v>614</v>
      </c>
      <c r="F233" s="6">
        <v>6.907050283E10</v>
      </c>
      <c r="G233" s="6" t="s">
        <v>310</v>
      </c>
      <c r="H233" s="7"/>
      <c r="I233" s="6" t="s">
        <v>4524</v>
      </c>
      <c r="J233" s="6" t="s">
        <v>4525</v>
      </c>
      <c r="K233" s="6" t="s">
        <v>4526</v>
      </c>
      <c r="L233" s="6" t="s">
        <v>4527</v>
      </c>
      <c r="M233" s="6" t="s">
        <v>4528</v>
      </c>
      <c r="N233" s="7"/>
      <c r="O233" s="6" t="s">
        <v>4529</v>
      </c>
      <c r="P233" s="6" t="s">
        <v>4530</v>
      </c>
      <c r="Q233" s="6" t="s">
        <v>4531</v>
      </c>
      <c r="R233" s="6" t="s">
        <v>246</v>
      </c>
      <c r="S233" s="6" t="s">
        <v>147</v>
      </c>
      <c r="T233" s="6" t="s">
        <v>250</v>
      </c>
      <c r="U233" s="6" t="s">
        <v>686</v>
      </c>
      <c r="V233" s="6" t="s">
        <v>246</v>
      </c>
      <c r="W233" s="6" t="s">
        <v>158</v>
      </c>
      <c r="X233" s="6" t="s">
        <v>458</v>
      </c>
      <c r="Y233" s="6" t="s">
        <v>162</v>
      </c>
      <c r="Z233" s="6" t="s">
        <v>165</v>
      </c>
      <c r="AA233" s="6" t="s">
        <v>262</v>
      </c>
      <c r="AB233" s="6" t="s">
        <v>171</v>
      </c>
      <c r="AC233" s="6" t="s">
        <v>174</v>
      </c>
      <c r="AD233" s="6" t="s">
        <v>175</v>
      </c>
      <c r="AE233" s="6" t="s">
        <v>271</v>
      </c>
      <c r="AF233" s="6" t="s">
        <v>181</v>
      </c>
      <c r="AG233" s="6" t="s">
        <v>182</v>
      </c>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row>
    <row r="234" ht="22.5" customHeight="1">
      <c r="A234" s="4">
        <v>46229.698073217594</v>
      </c>
      <c r="B234" s="5">
        <v>0.0</v>
      </c>
      <c r="C234" s="6" t="s">
        <v>114</v>
      </c>
      <c r="D234" s="6" t="s">
        <v>617</v>
      </c>
      <c r="E234" s="6" t="s">
        <v>618</v>
      </c>
      <c r="F234" s="6">
        <v>6.9070500864E10</v>
      </c>
      <c r="G234" s="6" t="s">
        <v>496</v>
      </c>
      <c r="H234" s="7"/>
      <c r="I234" s="6" t="s">
        <v>4532</v>
      </c>
      <c r="J234" s="6" t="s">
        <v>4533</v>
      </c>
      <c r="K234" s="6" t="s">
        <v>4534</v>
      </c>
      <c r="L234" s="6" t="s">
        <v>4535</v>
      </c>
      <c r="M234" s="6" t="s">
        <v>4536</v>
      </c>
      <c r="N234" s="7"/>
      <c r="O234" s="6" t="s">
        <v>4537</v>
      </c>
      <c r="P234" s="6" t="s">
        <v>4538</v>
      </c>
      <c r="Q234" s="6" t="s">
        <v>4539</v>
      </c>
      <c r="R234" s="6" t="s">
        <v>246</v>
      </c>
      <c r="S234" s="6" t="s">
        <v>147</v>
      </c>
      <c r="T234" s="6" t="s">
        <v>250</v>
      </c>
      <c r="U234" s="6" t="s">
        <v>252</v>
      </c>
      <c r="V234" s="6" t="s">
        <v>246</v>
      </c>
      <c r="W234" s="6" t="s">
        <v>158</v>
      </c>
      <c r="X234" s="6" t="s">
        <v>257</v>
      </c>
      <c r="Y234" s="6" t="s">
        <v>162</v>
      </c>
      <c r="Z234" s="6" t="s">
        <v>165</v>
      </c>
      <c r="AA234" s="6" t="s">
        <v>262</v>
      </c>
      <c r="AB234" s="6" t="s">
        <v>171</v>
      </c>
      <c r="AC234" s="6" t="s">
        <v>174</v>
      </c>
      <c r="AD234" s="6" t="s">
        <v>175</v>
      </c>
      <c r="AE234" s="6" t="s">
        <v>271</v>
      </c>
      <c r="AF234" s="6" t="s">
        <v>181</v>
      </c>
      <c r="AG234" s="6" t="s">
        <v>182</v>
      </c>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row>
    <row r="235" ht="22.5" customHeight="1">
      <c r="A235" s="4">
        <v>46229.698080625</v>
      </c>
      <c r="B235" s="5">
        <v>0.0</v>
      </c>
      <c r="C235" s="6" t="s">
        <v>114</v>
      </c>
      <c r="D235" s="6" t="s">
        <v>620</v>
      </c>
      <c r="E235" s="6" t="s">
        <v>621</v>
      </c>
      <c r="F235" s="6">
        <v>6.9070501801E10</v>
      </c>
      <c r="G235" s="6" t="s">
        <v>730</v>
      </c>
      <c r="H235" s="7"/>
      <c r="I235" s="6" t="s">
        <v>4540</v>
      </c>
      <c r="J235" s="6" t="s">
        <v>4541</v>
      </c>
      <c r="K235" s="6" t="s">
        <v>4161</v>
      </c>
      <c r="L235" s="6" t="s">
        <v>4542</v>
      </c>
      <c r="M235" s="6" t="s">
        <v>4543</v>
      </c>
      <c r="N235" s="7"/>
      <c r="O235" s="6" t="s">
        <v>4544</v>
      </c>
      <c r="P235" s="6" t="s">
        <v>4545</v>
      </c>
      <c r="Q235" s="6" t="s">
        <v>4546</v>
      </c>
      <c r="R235" s="6" t="s">
        <v>246</v>
      </c>
      <c r="S235" s="6" t="s">
        <v>147</v>
      </c>
      <c r="T235" s="6" t="s">
        <v>149</v>
      </c>
      <c r="U235" s="6" t="s">
        <v>560</v>
      </c>
      <c r="V235" s="6" t="s">
        <v>246</v>
      </c>
      <c r="W235" s="6" t="s">
        <v>158</v>
      </c>
      <c r="X235" s="6" t="s">
        <v>458</v>
      </c>
      <c r="Y235" s="6" t="s">
        <v>162</v>
      </c>
      <c r="Z235" s="6" t="s">
        <v>165</v>
      </c>
      <c r="AA235" s="6" t="s">
        <v>262</v>
      </c>
      <c r="AB235" s="6" t="s">
        <v>521</v>
      </c>
      <c r="AC235" s="6" t="s">
        <v>174</v>
      </c>
      <c r="AD235" s="6" t="s">
        <v>175</v>
      </c>
      <c r="AE235" s="6" t="s">
        <v>1211</v>
      </c>
      <c r="AF235" s="6" t="s">
        <v>181</v>
      </c>
      <c r="AG235" s="6" t="s">
        <v>182</v>
      </c>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row>
    <row r="236" ht="22.5" customHeight="1">
      <c r="A236" s="4">
        <v>46229.69808511574</v>
      </c>
      <c r="B236" s="5">
        <v>0.0</v>
      </c>
      <c r="C236" s="6" t="s">
        <v>114</v>
      </c>
      <c r="D236" s="6" t="s">
        <v>622</v>
      </c>
      <c r="E236" s="6" t="s">
        <v>623</v>
      </c>
      <c r="F236" s="6">
        <v>6.9070500866E10</v>
      </c>
      <c r="G236" s="6" t="s">
        <v>496</v>
      </c>
      <c r="H236" s="7"/>
      <c r="I236" s="6" t="s">
        <v>4547</v>
      </c>
      <c r="J236" s="6" t="s">
        <v>3114</v>
      </c>
      <c r="K236" s="6" t="s">
        <v>4548</v>
      </c>
      <c r="L236" s="6" t="s">
        <v>4549</v>
      </c>
      <c r="M236" s="6" t="s">
        <v>4550</v>
      </c>
      <c r="N236" s="7"/>
      <c r="O236" s="6" t="s">
        <v>4551</v>
      </c>
      <c r="P236" s="6" t="s">
        <v>4552</v>
      </c>
      <c r="Q236" s="6" t="s">
        <v>4553</v>
      </c>
      <c r="R236" s="6" t="s">
        <v>246</v>
      </c>
      <c r="S236" s="6" t="s">
        <v>147</v>
      </c>
      <c r="T236" s="6" t="s">
        <v>516</v>
      </c>
      <c r="U236" s="6" t="s">
        <v>686</v>
      </c>
      <c r="V236" s="6" t="s">
        <v>246</v>
      </c>
      <c r="W236" s="6" t="s">
        <v>158</v>
      </c>
      <c r="X236" s="6" t="s">
        <v>250</v>
      </c>
      <c r="Y236" s="6" t="s">
        <v>162</v>
      </c>
      <c r="Z236" s="6" t="s">
        <v>165</v>
      </c>
      <c r="AA236" s="6" t="s">
        <v>262</v>
      </c>
      <c r="AB236" s="6" t="s">
        <v>171</v>
      </c>
      <c r="AC236" s="6" t="s">
        <v>174</v>
      </c>
      <c r="AD236" s="6" t="s">
        <v>175</v>
      </c>
      <c r="AE236" s="6" t="s">
        <v>271</v>
      </c>
      <c r="AF236" s="6" t="s">
        <v>181</v>
      </c>
      <c r="AG236" s="6" t="s">
        <v>182</v>
      </c>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row>
    <row r="237" ht="22.5" customHeight="1">
      <c r="A237" s="4">
        <v>46229.698092314815</v>
      </c>
      <c r="B237" s="5">
        <v>0.0</v>
      </c>
      <c r="C237" s="6" t="s">
        <v>114</v>
      </c>
      <c r="D237" s="6" t="s">
        <v>624</v>
      </c>
      <c r="E237" s="6" t="s">
        <v>626</v>
      </c>
      <c r="F237" s="6">
        <v>6.9070506466E10</v>
      </c>
      <c r="G237" s="6" t="s">
        <v>599</v>
      </c>
      <c r="H237" s="6" t="s">
        <v>4554</v>
      </c>
      <c r="I237" s="6" t="s">
        <v>4555</v>
      </c>
      <c r="J237" s="6" t="s">
        <v>4556</v>
      </c>
      <c r="K237" s="6" t="s">
        <v>4557</v>
      </c>
      <c r="L237" s="6" t="s">
        <v>4558</v>
      </c>
      <c r="M237" s="6" t="s">
        <v>3051</v>
      </c>
      <c r="N237" s="6" t="s">
        <v>4559</v>
      </c>
      <c r="O237" s="6" t="s">
        <v>4560</v>
      </c>
      <c r="P237" s="6" t="s">
        <v>4561</v>
      </c>
      <c r="Q237" s="6" t="s">
        <v>4562</v>
      </c>
      <c r="R237" s="6" t="s">
        <v>246</v>
      </c>
      <c r="S237" s="6" t="s">
        <v>147</v>
      </c>
      <c r="T237" s="6" t="s">
        <v>250</v>
      </c>
      <c r="U237" s="6" t="s">
        <v>686</v>
      </c>
      <c r="V237" s="6" t="s">
        <v>246</v>
      </c>
      <c r="W237" s="6" t="s">
        <v>158</v>
      </c>
      <c r="X237" s="6" t="s">
        <v>257</v>
      </c>
      <c r="Y237" s="6" t="s">
        <v>162</v>
      </c>
      <c r="Z237" s="6" t="s">
        <v>165</v>
      </c>
      <c r="AA237" s="6" t="s">
        <v>262</v>
      </c>
      <c r="AB237" s="6" t="s">
        <v>171</v>
      </c>
      <c r="AC237" s="6" t="s">
        <v>174</v>
      </c>
      <c r="AD237" s="6" t="s">
        <v>175</v>
      </c>
      <c r="AE237" s="6" t="s">
        <v>271</v>
      </c>
      <c r="AF237" s="6" t="s">
        <v>181</v>
      </c>
      <c r="AG237" s="6" t="s">
        <v>182</v>
      </c>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row>
    <row r="238" ht="22.5" customHeight="1">
      <c r="A238" s="4">
        <v>46229.69809421296</v>
      </c>
      <c r="B238" s="5">
        <v>0.0</v>
      </c>
      <c r="C238" s="6" t="s">
        <v>114</v>
      </c>
      <c r="D238" s="6" t="s">
        <v>627</v>
      </c>
      <c r="E238" s="6" t="s">
        <v>628</v>
      </c>
      <c r="F238" s="6">
        <v>6.9070502829E10</v>
      </c>
      <c r="G238" s="6" t="s">
        <v>310</v>
      </c>
      <c r="H238" s="7"/>
      <c r="I238" s="6" t="s">
        <v>4563</v>
      </c>
      <c r="J238" s="6" t="s">
        <v>4564</v>
      </c>
      <c r="K238" s="6" t="s">
        <v>4565</v>
      </c>
      <c r="L238" s="6" t="s">
        <v>4566</v>
      </c>
      <c r="M238" s="6" t="s">
        <v>4567</v>
      </c>
      <c r="N238" s="7"/>
      <c r="O238" s="6" t="s">
        <v>4568</v>
      </c>
      <c r="P238" s="6" t="s">
        <v>4569</v>
      </c>
      <c r="Q238" s="6" t="s">
        <v>4570</v>
      </c>
      <c r="R238" s="6" t="s">
        <v>246</v>
      </c>
      <c r="S238" s="6" t="s">
        <v>147</v>
      </c>
      <c r="T238" s="6" t="s">
        <v>246</v>
      </c>
      <c r="U238" s="6" t="s">
        <v>252</v>
      </c>
      <c r="V238" s="6" t="s">
        <v>155</v>
      </c>
      <c r="W238" s="6" t="s">
        <v>158</v>
      </c>
      <c r="X238" s="6" t="s">
        <v>458</v>
      </c>
      <c r="Y238" s="6" t="s">
        <v>162</v>
      </c>
      <c r="Z238" s="6" t="s">
        <v>165</v>
      </c>
      <c r="AA238" s="6" t="s">
        <v>262</v>
      </c>
      <c r="AB238" s="6" t="s">
        <v>521</v>
      </c>
      <c r="AC238" s="6" t="s">
        <v>174</v>
      </c>
      <c r="AD238" s="6" t="s">
        <v>1723</v>
      </c>
      <c r="AE238" s="6" t="s">
        <v>178</v>
      </c>
      <c r="AF238" s="6" t="s">
        <v>811</v>
      </c>
      <c r="AG238" s="6" t="s">
        <v>182</v>
      </c>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row>
    <row r="239" ht="22.5" customHeight="1">
      <c r="A239" s="4">
        <v>46229.6980994676</v>
      </c>
      <c r="B239" s="5">
        <v>0.0</v>
      </c>
      <c r="C239" s="6" t="s">
        <v>114</v>
      </c>
      <c r="D239" s="6" t="s">
        <v>630</v>
      </c>
      <c r="E239" s="6" t="s">
        <v>631</v>
      </c>
      <c r="F239" s="6">
        <v>6.9070500401E10</v>
      </c>
      <c r="G239" s="6" t="s">
        <v>310</v>
      </c>
      <c r="H239" s="7"/>
      <c r="I239" s="6" t="s">
        <v>4571</v>
      </c>
      <c r="J239" s="6" t="s">
        <v>4572</v>
      </c>
      <c r="K239" s="6" t="s">
        <v>4573</v>
      </c>
      <c r="L239" s="6" t="s">
        <v>4574</v>
      </c>
      <c r="M239" s="6" t="s">
        <v>4575</v>
      </c>
      <c r="N239" s="6" t="s">
        <v>4576</v>
      </c>
      <c r="O239" s="6" t="s">
        <v>4577</v>
      </c>
      <c r="P239" s="6" t="s">
        <v>4578</v>
      </c>
      <c r="Q239" s="6" t="s">
        <v>4579</v>
      </c>
      <c r="R239" s="6" t="s">
        <v>257</v>
      </c>
      <c r="S239" s="6" t="s">
        <v>147</v>
      </c>
      <c r="T239" s="6" t="s">
        <v>250</v>
      </c>
      <c r="U239" s="6" t="s">
        <v>252</v>
      </c>
      <c r="V239" s="6" t="s">
        <v>246</v>
      </c>
      <c r="W239" s="6" t="s">
        <v>158</v>
      </c>
      <c r="X239" s="6" t="s">
        <v>257</v>
      </c>
      <c r="Y239" s="6" t="s">
        <v>162</v>
      </c>
      <c r="Z239" s="6" t="s">
        <v>165</v>
      </c>
      <c r="AA239" s="6" t="s">
        <v>262</v>
      </c>
      <c r="AB239" s="6" t="s">
        <v>171</v>
      </c>
      <c r="AC239" s="6" t="s">
        <v>1669</v>
      </c>
      <c r="AD239" s="6" t="s">
        <v>175</v>
      </c>
      <c r="AE239" s="6" t="s">
        <v>271</v>
      </c>
      <c r="AF239" s="6" t="s">
        <v>181</v>
      </c>
      <c r="AG239" s="6" t="s">
        <v>182</v>
      </c>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row>
    <row r="240" ht="22.5" customHeight="1">
      <c r="A240" s="4">
        <v>46229.69810709491</v>
      </c>
      <c r="B240" s="5">
        <v>0.0</v>
      </c>
      <c r="C240" s="6" t="s">
        <v>114</v>
      </c>
      <c r="D240" s="6" t="s">
        <v>632</v>
      </c>
      <c r="E240" s="6" t="s">
        <v>634</v>
      </c>
      <c r="F240" s="6">
        <v>6.9070500047E10</v>
      </c>
      <c r="G240" s="6" t="s">
        <v>4580</v>
      </c>
      <c r="H240" s="6" t="s">
        <v>4581</v>
      </c>
      <c r="I240" s="6" t="s">
        <v>4582</v>
      </c>
      <c r="J240" s="6" t="s">
        <v>4583</v>
      </c>
      <c r="K240" s="6" t="s">
        <v>4584</v>
      </c>
      <c r="L240" s="6" t="s">
        <v>4585</v>
      </c>
      <c r="M240" s="6" t="s">
        <v>4586</v>
      </c>
      <c r="N240" s="7"/>
      <c r="O240" s="6" t="s">
        <v>4587</v>
      </c>
      <c r="P240" s="6" t="s">
        <v>4588</v>
      </c>
      <c r="Q240" s="6" t="s">
        <v>4589</v>
      </c>
      <c r="R240" s="6" t="s">
        <v>246</v>
      </c>
      <c r="S240" s="6" t="s">
        <v>147</v>
      </c>
      <c r="T240" s="6" t="s">
        <v>250</v>
      </c>
      <c r="U240" s="6" t="s">
        <v>252</v>
      </c>
      <c r="V240" s="6" t="s">
        <v>246</v>
      </c>
      <c r="W240" s="6" t="s">
        <v>158</v>
      </c>
      <c r="X240" s="6" t="s">
        <v>257</v>
      </c>
      <c r="Y240" s="6" t="s">
        <v>162</v>
      </c>
      <c r="Z240" s="6" t="s">
        <v>165</v>
      </c>
      <c r="AA240" s="6" t="s">
        <v>262</v>
      </c>
      <c r="AB240" s="6" t="s">
        <v>171</v>
      </c>
      <c r="AC240" s="6" t="s">
        <v>174</v>
      </c>
      <c r="AD240" s="6" t="s">
        <v>175</v>
      </c>
      <c r="AE240" s="6" t="s">
        <v>271</v>
      </c>
      <c r="AF240" s="6" t="s">
        <v>181</v>
      </c>
      <c r="AG240" s="6" t="s">
        <v>182</v>
      </c>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row>
    <row r="241" ht="22.5" customHeight="1">
      <c r="A241" s="4">
        <v>46229.69811278935</v>
      </c>
      <c r="B241" s="5">
        <v>0.0</v>
      </c>
      <c r="C241" s="6" t="s">
        <v>114</v>
      </c>
      <c r="D241" s="6" t="s">
        <v>636</v>
      </c>
      <c r="E241" s="6" t="s">
        <v>637</v>
      </c>
      <c r="F241" s="6">
        <v>6.9070500431E10</v>
      </c>
      <c r="G241" s="6" t="s">
        <v>310</v>
      </c>
      <c r="H241" s="6" t="s">
        <v>4590</v>
      </c>
      <c r="I241" s="6" t="s">
        <v>4591</v>
      </c>
      <c r="J241" s="6" t="s">
        <v>4592</v>
      </c>
      <c r="K241" s="6" t="s">
        <v>4593</v>
      </c>
      <c r="L241" s="6" t="s">
        <v>3161</v>
      </c>
      <c r="M241" s="6" t="s">
        <v>4594</v>
      </c>
      <c r="N241" s="7"/>
      <c r="O241" s="6" t="s">
        <v>4595</v>
      </c>
      <c r="P241" s="6" t="s">
        <v>4596</v>
      </c>
      <c r="Q241" s="6" t="s">
        <v>4597</v>
      </c>
      <c r="R241" s="6" t="s">
        <v>246</v>
      </c>
      <c r="S241" s="6" t="s">
        <v>147</v>
      </c>
      <c r="T241" s="6" t="s">
        <v>250</v>
      </c>
      <c r="U241" s="6" t="s">
        <v>252</v>
      </c>
      <c r="V241" s="6" t="s">
        <v>155</v>
      </c>
      <c r="W241" s="6" t="s">
        <v>158</v>
      </c>
      <c r="X241" s="6" t="s">
        <v>458</v>
      </c>
      <c r="Y241" s="6" t="s">
        <v>162</v>
      </c>
      <c r="Z241" s="6" t="s">
        <v>165</v>
      </c>
      <c r="AA241" s="6" t="s">
        <v>262</v>
      </c>
      <c r="AB241" s="6" t="s">
        <v>521</v>
      </c>
      <c r="AC241" s="6" t="s">
        <v>1669</v>
      </c>
      <c r="AD241" s="6" t="s">
        <v>1723</v>
      </c>
      <c r="AE241" s="6" t="s">
        <v>524</v>
      </c>
      <c r="AF241" s="6" t="s">
        <v>181</v>
      </c>
      <c r="AG241" s="6" t="s">
        <v>182</v>
      </c>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row>
    <row r="242" ht="22.5" customHeight="1">
      <c r="A242" s="4">
        <v>46229.69811385417</v>
      </c>
      <c r="B242" s="5">
        <v>0.0</v>
      </c>
      <c r="C242" s="6" t="s">
        <v>114</v>
      </c>
      <c r="D242" s="6" t="s">
        <v>639</v>
      </c>
      <c r="E242" s="6" t="s">
        <v>640</v>
      </c>
      <c r="F242" s="6">
        <v>6.9070509842E10</v>
      </c>
      <c r="G242" s="6" t="s">
        <v>496</v>
      </c>
      <c r="H242" s="7"/>
      <c r="I242" s="6" t="s">
        <v>4598</v>
      </c>
      <c r="J242" s="6" t="s">
        <v>4599</v>
      </c>
      <c r="K242" s="6" t="s">
        <v>4600</v>
      </c>
      <c r="L242" s="6" t="s">
        <v>4601</v>
      </c>
      <c r="M242" s="6" t="s">
        <v>4602</v>
      </c>
      <c r="N242" s="7"/>
      <c r="O242" s="6" t="s">
        <v>4603</v>
      </c>
      <c r="P242" s="6" t="s">
        <v>4604</v>
      </c>
      <c r="Q242" s="6" t="s">
        <v>4605</v>
      </c>
      <c r="R242" s="6" t="s">
        <v>246</v>
      </c>
      <c r="S242" s="6" t="s">
        <v>147</v>
      </c>
      <c r="T242" s="6" t="s">
        <v>250</v>
      </c>
      <c r="U242" s="6" t="s">
        <v>252</v>
      </c>
      <c r="V242" s="6" t="s">
        <v>246</v>
      </c>
      <c r="W242" s="6" t="s">
        <v>158</v>
      </c>
      <c r="X242" s="6" t="s">
        <v>257</v>
      </c>
      <c r="Y242" s="6" t="s">
        <v>162</v>
      </c>
      <c r="Z242" s="6" t="s">
        <v>165</v>
      </c>
      <c r="AA242" s="6" t="s">
        <v>262</v>
      </c>
      <c r="AB242" s="6" t="s">
        <v>171</v>
      </c>
      <c r="AC242" s="6" t="s">
        <v>174</v>
      </c>
      <c r="AD242" s="6" t="s">
        <v>175</v>
      </c>
      <c r="AE242" s="6" t="s">
        <v>524</v>
      </c>
      <c r="AF242" s="6" t="s">
        <v>181</v>
      </c>
      <c r="AG242" s="6" t="s">
        <v>182</v>
      </c>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row>
    <row r="243" ht="22.5" customHeight="1">
      <c r="A243" s="4">
        <v>46229.69812428241</v>
      </c>
      <c r="B243" s="5">
        <v>0.0</v>
      </c>
      <c r="C243" s="6" t="s">
        <v>114</v>
      </c>
      <c r="D243" s="6" t="s">
        <v>642</v>
      </c>
      <c r="E243" s="6" t="s">
        <v>643</v>
      </c>
      <c r="F243" s="6">
        <v>6.907050029E10</v>
      </c>
      <c r="G243" s="6" t="s">
        <v>599</v>
      </c>
      <c r="H243" s="7"/>
      <c r="I243" s="6" t="s">
        <v>3161</v>
      </c>
      <c r="J243" s="6" t="s">
        <v>4606</v>
      </c>
      <c r="K243" s="6" t="s">
        <v>4607</v>
      </c>
      <c r="L243" s="6" t="s">
        <v>4608</v>
      </c>
      <c r="M243" s="6" t="s">
        <v>4609</v>
      </c>
      <c r="N243" s="7"/>
      <c r="O243" s="6" t="s">
        <v>4610</v>
      </c>
      <c r="P243" s="6" t="s">
        <v>4611</v>
      </c>
      <c r="Q243" s="6" t="s">
        <v>4612</v>
      </c>
      <c r="R243" s="6" t="s">
        <v>246</v>
      </c>
      <c r="S243" s="6" t="s">
        <v>147</v>
      </c>
      <c r="T243" s="6" t="s">
        <v>250</v>
      </c>
      <c r="U243" s="6" t="s">
        <v>252</v>
      </c>
      <c r="V243" s="6" t="s">
        <v>246</v>
      </c>
      <c r="W243" s="6" t="s">
        <v>158</v>
      </c>
      <c r="X243" s="6" t="s">
        <v>458</v>
      </c>
      <c r="Y243" s="6" t="s">
        <v>162</v>
      </c>
      <c r="Z243" s="6" t="s">
        <v>165</v>
      </c>
      <c r="AA243" s="6" t="s">
        <v>262</v>
      </c>
      <c r="AB243" s="6" t="s">
        <v>521</v>
      </c>
      <c r="AC243" s="6" t="s">
        <v>174</v>
      </c>
      <c r="AD243" s="6" t="s">
        <v>175</v>
      </c>
      <c r="AE243" s="6" t="s">
        <v>271</v>
      </c>
      <c r="AF243" s="6" t="s">
        <v>181</v>
      </c>
      <c r="AG243" s="6" t="s">
        <v>182</v>
      </c>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row>
    <row r="244" ht="22.5" customHeight="1">
      <c r="A244" s="4">
        <v>46229.69812783565</v>
      </c>
      <c r="B244" s="5">
        <v>0.0</v>
      </c>
      <c r="C244" s="6" t="s">
        <v>114</v>
      </c>
      <c r="D244" s="6" t="s">
        <v>580</v>
      </c>
      <c r="E244" s="6" t="s">
        <v>644</v>
      </c>
      <c r="F244" s="6">
        <v>6.9070501042E10</v>
      </c>
      <c r="G244" s="6" t="s">
        <v>1470</v>
      </c>
      <c r="H244" s="7"/>
      <c r="I244" s="6" t="s">
        <v>4613</v>
      </c>
      <c r="J244" s="6" t="s">
        <v>4614</v>
      </c>
      <c r="K244" s="6" t="s">
        <v>4615</v>
      </c>
      <c r="L244" s="6" t="s">
        <v>4616</v>
      </c>
      <c r="M244" s="6" t="s">
        <v>4617</v>
      </c>
      <c r="N244" s="7"/>
      <c r="O244" s="6" t="s">
        <v>4618</v>
      </c>
      <c r="P244" s="6" t="s">
        <v>4619</v>
      </c>
      <c r="Q244" s="6" t="s">
        <v>4620</v>
      </c>
      <c r="R244" s="6" t="s">
        <v>257</v>
      </c>
      <c r="S244" s="6" t="s">
        <v>147</v>
      </c>
      <c r="T244" s="6" t="s">
        <v>250</v>
      </c>
      <c r="U244" s="6" t="s">
        <v>252</v>
      </c>
      <c r="V244" s="6" t="s">
        <v>246</v>
      </c>
      <c r="W244" s="6" t="s">
        <v>158</v>
      </c>
      <c r="X244" s="6" t="s">
        <v>458</v>
      </c>
      <c r="Y244" s="6" t="s">
        <v>162</v>
      </c>
      <c r="Z244" s="6" t="s">
        <v>165</v>
      </c>
      <c r="AA244" s="6" t="s">
        <v>262</v>
      </c>
      <c r="AB244" s="6" t="s">
        <v>171</v>
      </c>
      <c r="AC244" s="6" t="s">
        <v>174</v>
      </c>
      <c r="AD244" s="6" t="s">
        <v>175</v>
      </c>
      <c r="AE244" s="6" t="s">
        <v>271</v>
      </c>
      <c r="AF244" s="6" t="s">
        <v>181</v>
      </c>
      <c r="AG244" s="6" t="s">
        <v>182</v>
      </c>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row>
    <row r="245" ht="22.5" customHeight="1">
      <c r="A245" s="4">
        <v>46229.698128564814</v>
      </c>
      <c r="B245" s="5">
        <v>0.0</v>
      </c>
      <c r="C245" s="6" t="s">
        <v>114</v>
      </c>
      <c r="D245" s="6" t="s">
        <v>645</v>
      </c>
      <c r="E245" s="6" t="s">
        <v>646</v>
      </c>
      <c r="F245" s="6">
        <v>6.907050821E10</v>
      </c>
      <c r="G245" s="6" t="s">
        <v>730</v>
      </c>
      <c r="H245" s="7"/>
      <c r="I245" s="6" t="s">
        <v>4621</v>
      </c>
      <c r="J245" s="6" t="s">
        <v>4622</v>
      </c>
      <c r="K245" s="6" t="s">
        <v>4623</v>
      </c>
      <c r="L245" s="6" t="s">
        <v>4624</v>
      </c>
      <c r="M245" s="6" t="s">
        <v>4625</v>
      </c>
      <c r="N245" s="6" t="s">
        <v>4626</v>
      </c>
      <c r="O245" s="6" t="s">
        <v>4627</v>
      </c>
      <c r="P245" s="6" t="s">
        <v>4628</v>
      </c>
      <c r="Q245" s="6" t="s">
        <v>4629</v>
      </c>
      <c r="R245" s="6" t="s">
        <v>246</v>
      </c>
      <c r="S245" s="6" t="s">
        <v>147</v>
      </c>
      <c r="T245" s="6" t="s">
        <v>250</v>
      </c>
      <c r="U245" s="6" t="s">
        <v>152</v>
      </c>
      <c r="V245" s="6" t="s">
        <v>246</v>
      </c>
      <c r="W245" s="6" t="s">
        <v>158</v>
      </c>
      <c r="X245" s="6" t="s">
        <v>257</v>
      </c>
      <c r="Y245" s="6" t="s">
        <v>162</v>
      </c>
      <c r="Z245" s="6" t="s">
        <v>165</v>
      </c>
      <c r="AA245" s="6" t="s">
        <v>262</v>
      </c>
      <c r="AB245" s="6" t="s">
        <v>521</v>
      </c>
      <c r="AC245" s="6" t="s">
        <v>174</v>
      </c>
      <c r="AD245" s="6" t="s">
        <v>175</v>
      </c>
      <c r="AE245" s="6" t="s">
        <v>271</v>
      </c>
      <c r="AF245" s="6" t="s">
        <v>181</v>
      </c>
      <c r="AG245" s="6" t="s">
        <v>182</v>
      </c>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row>
    <row r="246" ht="22.5" customHeight="1">
      <c r="A246" s="4">
        <v>46229.69813625</v>
      </c>
      <c r="B246" s="5">
        <v>0.0</v>
      </c>
      <c r="C246" s="6" t="s">
        <v>114</v>
      </c>
      <c r="D246" s="6" t="s">
        <v>328</v>
      </c>
      <c r="E246" s="6" t="s">
        <v>647</v>
      </c>
      <c r="F246" s="6">
        <v>6.9070506428E10</v>
      </c>
      <c r="G246" s="6" t="s">
        <v>599</v>
      </c>
      <c r="H246" s="6" t="s">
        <v>843</v>
      </c>
      <c r="I246" s="6" t="s">
        <v>4630</v>
      </c>
      <c r="J246" s="6" t="s">
        <v>4631</v>
      </c>
      <c r="K246" s="6" t="s">
        <v>4632</v>
      </c>
      <c r="L246" s="6" t="s">
        <v>4633</v>
      </c>
      <c r="M246" s="6" t="s">
        <v>4634</v>
      </c>
      <c r="N246" s="7"/>
      <c r="O246" s="6" t="s">
        <v>4635</v>
      </c>
      <c r="P246" s="6" t="s">
        <v>4636</v>
      </c>
      <c r="Q246" s="6" t="s">
        <v>4637</v>
      </c>
      <c r="R246" s="6" t="s">
        <v>246</v>
      </c>
      <c r="S246" s="6" t="s">
        <v>147</v>
      </c>
      <c r="T246" s="6" t="s">
        <v>250</v>
      </c>
      <c r="U246" s="6" t="s">
        <v>560</v>
      </c>
      <c r="V246" s="6" t="s">
        <v>246</v>
      </c>
      <c r="W246" s="6" t="s">
        <v>158</v>
      </c>
      <c r="X246" s="6" t="s">
        <v>257</v>
      </c>
      <c r="Y246" s="6" t="s">
        <v>162</v>
      </c>
      <c r="Z246" s="6" t="s">
        <v>165</v>
      </c>
      <c r="AA246" s="6" t="s">
        <v>262</v>
      </c>
      <c r="AB246" s="6" t="s">
        <v>171</v>
      </c>
      <c r="AC246" s="6" t="s">
        <v>174</v>
      </c>
      <c r="AD246" s="6" t="s">
        <v>1723</v>
      </c>
      <c r="AE246" s="6" t="s">
        <v>271</v>
      </c>
      <c r="AF246" s="6" t="s">
        <v>181</v>
      </c>
      <c r="AG246" s="6" t="s">
        <v>182</v>
      </c>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row>
    <row r="247" ht="22.5" customHeight="1">
      <c r="A247" s="4">
        <v>46229.69814849537</v>
      </c>
      <c r="B247" s="5">
        <v>0.0</v>
      </c>
      <c r="C247" s="6" t="s">
        <v>114</v>
      </c>
      <c r="D247" s="6" t="s">
        <v>648</v>
      </c>
      <c r="E247" s="6" t="s">
        <v>649</v>
      </c>
      <c r="F247" s="6">
        <v>6.9070502821E10</v>
      </c>
      <c r="G247" s="6" t="s">
        <v>310</v>
      </c>
      <c r="H247" s="7"/>
      <c r="I247" s="6" t="s">
        <v>4638</v>
      </c>
      <c r="J247" s="6" t="s">
        <v>4639</v>
      </c>
      <c r="K247" s="6" t="s">
        <v>4640</v>
      </c>
      <c r="L247" s="6" t="s">
        <v>3841</v>
      </c>
      <c r="M247" s="6" t="s">
        <v>4641</v>
      </c>
      <c r="N247" s="7"/>
      <c r="O247" s="6" t="s">
        <v>4642</v>
      </c>
      <c r="P247" s="6" t="s">
        <v>4643</v>
      </c>
      <c r="Q247" s="6" t="s">
        <v>4644</v>
      </c>
      <c r="R247" s="6" t="s">
        <v>246</v>
      </c>
      <c r="S247" s="6" t="s">
        <v>147</v>
      </c>
      <c r="T247" s="6" t="s">
        <v>250</v>
      </c>
      <c r="U247" s="6" t="s">
        <v>252</v>
      </c>
      <c r="V247" s="6" t="s">
        <v>246</v>
      </c>
      <c r="W247" s="6" t="s">
        <v>158</v>
      </c>
      <c r="X247" s="6" t="s">
        <v>161</v>
      </c>
      <c r="Y247" s="6" t="s">
        <v>162</v>
      </c>
      <c r="Z247" s="6" t="s">
        <v>165</v>
      </c>
      <c r="AA247" s="6" t="s">
        <v>262</v>
      </c>
      <c r="AB247" s="6" t="s">
        <v>521</v>
      </c>
      <c r="AC247" s="6" t="s">
        <v>1669</v>
      </c>
      <c r="AD247" s="6" t="s">
        <v>175</v>
      </c>
      <c r="AE247" s="6" t="s">
        <v>178</v>
      </c>
      <c r="AF247" s="6" t="s">
        <v>181</v>
      </c>
      <c r="AG247" s="6" t="s">
        <v>182</v>
      </c>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row>
    <row r="248" ht="22.5" customHeight="1">
      <c r="A248" s="4">
        <v>46229.698151585646</v>
      </c>
      <c r="B248" s="5">
        <v>0.0</v>
      </c>
      <c r="C248" s="6" t="s">
        <v>114</v>
      </c>
      <c r="D248" s="6" t="s">
        <v>650</v>
      </c>
      <c r="E248" s="6" t="s">
        <v>651</v>
      </c>
      <c r="F248" s="6">
        <v>6.9070506444E10</v>
      </c>
      <c r="G248" s="6" t="s">
        <v>599</v>
      </c>
      <c r="H248" s="7"/>
      <c r="I248" s="6" t="s">
        <v>4645</v>
      </c>
      <c r="J248" s="6" t="s">
        <v>4646</v>
      </c>
      <c r="K248" s="6" t="s">
        <v>4647</v>
      </c>
      <c r="L248" s="6" t="s">
        <v>4648</v>
      </c>
      <c r="M248" s="6" t="s">
        <v>4649</v>
      </c>
      <c r="N248" s="7"/>
      <c r="O248" s="6" t="s">
        <v>4650</v>
      </c>
      <c r="P248" s="6" t="s">
        <v>4651</v>
      </c>
      <c r="Q248" s="6" t="s">
        <v>4652</v>
      </c>
      <c r="R248" s="6" t="s">
        <v>4653</v>
      </c>
      <c r="S248" s="6" t="s">
        <v>147</v>
      </c>
      <c r="T248" s="6" t="s">
        <v>246</v>
      </c>
      <c r="U248" s="6" t="s">
        <v>2254</v>
      </c>
      <c r="V248" s="6" t="s">
        <v>246</v>
      </c>
      <c r="W248" s="6" t="s">
        <v>158</v>
      </c>
      <c r="X248" s="6" t="s">
        <v>257</v>
      </c>
      <c r="Y248" s="6" t="s">
        <v>162</v>
      </c>
      <c r="Z248" s="6" t="s">
        <v>165</v>
      </c>
      <c r="AA248" s="6" t="s">
        <v>262</v>
      </c>
      <c r="AB248" s="6" t="s">
        <v>1266</v>
      </c>
      <c r="AC248" s="6" t="s">
        <v>1669</v>
      </c>
      <c r="AD248" s="6" t="s">
        <v>1723</v>
      </c>
      <c r="AE248" s="6" t="s">
        <v>271</v>
      </c>
      <c r="AF248" s="6" t="s">
        <v>181</v>
      </c>
      <c r="AG248" s="6" t="s">
        <v>182</v>
      </c>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row>
    <row r="249" ht="22.5" customHeight="1">
      <c r="A249" s="4">
        <v>46229.698154618054</v>
      </c>
      <c r="B249" s="5">
        <v>0.0</v>
      </c>
      <c r="C249" s="6" t="s">
        <v>114</v>
      </c>
      <c r="D249" s="6" t="s">
        <v>652</v>
      </c>
      <c r="E249" s="6" t="s">
        <v>653</v>
      </c>
      <c r="F249" s="6">
        <v>6.9070500229E10</v>
      </c>
      <c r="G249" s="6" t="s">
        <v>599</v>
      </c>
      <c r="H249" s="7"/>
      <c r="I249" s="6" t="s">
        <v>4654</v>
      </c>
      <c r="J249" s="6" t="s">
        <v>4655</v>
      </c>
      <c r="K249" s="6" t="s">
        <v>4656</v>
      </c>
      <c r="L249" s="6" t="s">
        <v>4657</v>
      </c>
      <c r="M249" s="6" t="s">
        <v>4549</v>
      </c>
      <c r="N249" s="6" t="s">
        <v>3957</v>
      </c>
      <c r="O249" s="6" t="s">
        <v>4658</v>
      </c>
      <c r="P249" s="6" t="s">
        <v>4659</v>
      </c>
      <c r="Q249" s="6" t="s">
        <v>4660</v>
      </c>
      <c r="R249" s="6" t="s">
        <v>246</v>
      </c>
      <c r="S249" s="6" t="s">
        <v>147</v>
      </c>
      <c r="T249" s="6" t="s">
        <v>250</v>
      </c>
      <c r="U249" s="6" t="s">
        <v>686</v>
      </c>
      <c r="V249" s="6" t="s">
        <v>246</v>
      </c>
      <c r="W249" s="6" t="s">
        <v>158</v>
      </c>
      <c r="X249" s="6" t="s">
        <v>257</v>
      </c>
      <c r="Y249" s="6" t="s">
        <v>162</v>
      </c>
      <c r="Z249" s="6" t="s">
        <v>165</v>
      </c>
      <c r="AA249" s="6" t="s">
        <v>262</v>
      </c>
      <c r="AB249" s="6" t="s">
        <v>171</v>
      </c>
      <c r="AC249" s="6" t="s">
        <v>174</v>
      </c>
      <c r="AD249" s="6" t="s">
        <v>175</v>
      </c>
      <c r="AE249" s="6" t="s">
        <v>271</v>
      </c>
      <c r="AF249" s="6" t="s">
        <v>181</v>
      </c>
      <c r="AG249" s="6" t="s">
        <v>182</v>
      </c>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row>
    <row r="250" ht="22.5" customHeight="1">
      <c r="A250" s="4">
        <v>46229.69815467593</v>
      </c>
      <c r="B250" s="5">
        <v>0.0</v>
      </c>
      <c r="C250" s="6" t="s">
        <v>114</v>
      </c>
      <c r="D250" s="6" t="s">
        <v>609</v>
      </c>
      <c r="E250" s="6" t="s">
        <v>654</v>
      </c>
      <c r="F250" s="6">
        <v>6.9070506465E10</v>
      </c>
      <c r="G250" s="6" t="s">
        <v>599</v>
      </c>
      <c r="H250" s="7"/>
      <c r="I250" s="6" t="s">
        <v>4661</v>
      </c>
      <c r="J250" s="6" t="s">
        <v>4662</v>
      </c>
      <c r="K250" s="6" t="s">
        <v>4663</v>
      </c>
      <c r="L250" s="6" t="s">
        <v>4664</v>
      </c>
      <c r="M250" s="6" t="s">
        <v>4665</v>
      </c>
      <c r="N250" s="7"/>
      <c r="O250" s="6" t="s">
        <v>4666</v>
      </c>
      <c r="P250" s="6" t="s">
        <v>4667</v>
      </c>
      <c r="Q250" s="6" t="s">
        <v>4668</v>
      </c>
      <c r="R250" s="6" t="s">
        <v>246</v>
      </c>
      <c r="S250" s="6" t="s">
        <v>147</v>
      </c>
      <c r="T250" s="6" t="s">
        <v>250</v>
      </c>
      <c r="U250" s="6" t="s">
        <v>686</v>
      </c>
      <c r="V250" s="6" t="s">
        <v>246</v>
      </c>
      <c r="W250" s="6" t="s">
        <v>158</v>
      </c>
      <c r="X250" s="6" t="s">
        <v>257</v>
      </c>
      <c r="Y250" s="6" t="s">
        <v>162</v>
      </c>
      <c r="Z250" s="6" t="s">
        <v>165</v>
      </c>
      <c r="AA250" s="6" t="s">
        <v>262</v>
      </c>
      <c r="AB250" s="6" t="s">
        <v>171</v>
      </c>
      <c r="AC250" s="6" t="s">
        <v>174</v>
      </c>
      <c r="AD250" s="6" t="s">
        <v>175</v>
      </c>
      <c r="AE250" s="6" t="s">
        <v>271</v>
      </c>
      <c r="AF250" s="6" t="s">
        <v>181</v>
      </c>
      <c r="AG250" s="6" t="s">
        <v>182</v>
      </c>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row>
    <row r="251" ht="22.5" customHeight="1">
      <c r="A251" s="4">
        <v>46229.698154756945</v>
      </c>
      <c r="B251" s="5">
        <v>0.0</v>
      </c>
      <c r="C251" s="6" t="s">
        <v>114</v>
      </c>
      <c r="D251" s="6" t="s">
        <v>655</v>
      </c>
      <c r="E251" s="6" t="s">
        <v>656</v>
      </c>
      <c r="F251" s="6">
        <v>6.9070500483E10</v>
      </c>
      <c r="G251" s="6" t="s">
        <v>310</v>
      </c>
      <c r="H251" s="7"/>
      <c r="I251" s="6" t="s">
        <v>4669</v>
      </c>
      <c r="J251" s="6" t="s">
        <v>4670</v>
      </c>
      <c r="K251" s="6" t="s">
        <v>4671</v>
      </c>
      <c r="L251" s="6" t="s">
        <v>4638</v>
      </c>
      <c r="M251" s="6" t="s">
        <v>4672</v>
      </c>
      <c r="N251" s="7"/>
      <c r="O251" s="6" t="s">
        <v>4673</v>
      </c>
      <c r="P251" s="6" t="s">
        <v>4674</v>
      </c>
      <c r="Q251" s="6" t="s">
        <v>4675</v>
      </c>
      <c r="R251" s="6" t="s">
        <v>257</v>
      </c>
      <c r="S251" s="6" t="s">
        <v>147</v>
      </c>
      <c r="T251" s="6" t="s">
        <v>250</v>
      </c>
      <c r="U251" s="6" t="s">
        <v>252</v>
      </c>
      <c r="V251" s="6" t="s">
        <v>246</v>
      </c>
      <c r="W251" s="6" t="s">
        <v>158</v>
      </c>
      <c r="X251" s="6" t="s">
        <v>161</v>
      </c>
      <c r="Y251" s="6" t="s">
        <v>162</v>
      </c>
      <c r="Z251" s="6" t="s">
        <v>804</v>
      </c>
      <c r="AA251" s="6" t="s">
        <v>262</v>
      </c>
      <c r="AB251" s="6" t="s">
        <v>521</v>
      </c>
      <c r="AC251" s="6" t="s">
        <v>174</v>
      </c>
      <c r="AD251" s="6" t="s">
        <v>175</v>
      </c>
      <c r="AE251" s="6" t="s">
        <v>271</v>
      </c>
      <c r="AF251" s="6" t="s">
        <v>181</v>
      </c>
      <c r="AG251" s="6" t="s">
        <v>182</v>
      </c>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row>
    <row r="252" ht="22.5" customHeight="1">
      <c r="A252" s="4">
        <v>46229.69816033565</v>
      </c>
      <c r="B252" s="5">
        <v>0.0</v>
      </c>
      <c r="C252" s="6" t="s">
        <v>114</v>
      </c>
      <c r="D252" s="6" t="s">
        <v>657</v>
      </c>
      <c r="E252" s="6" t="s">
        <v>658</v>
      </c>
      <c r="F252" s="6">
        <v>6.9070509608E10</v>
      </c>
      <c r="G252" s="6" t="s">
        <v>730</v>
      </c>
      <c r="H252" s="7"/>
      <c r="I252" s="6" t="s">
        <v>4676</v>
      </c>
      <c r="J252" s="6" t="s">
        <v>4677</v>
      </c>
      <c r="K252" s="6" t="s">
        <v>4678</v>
      </c>
      <c r="L252" s="6" t="s">
        <v>4679</v>
      </c>
      <c r="M252" s="6" t="s">
        <v>4680</v>
      </c>
      <c r="N252" s="7"/>
      <c r="O252" s="6" t="s">
        <v>4681</v>
      </c>
      <c r="P252" s="6" t="s">
        <v>4682</v>
      </c>
      <c r="Q252" s="6" t="s">
        <v>4683</v>
      </c>
      <c r="R252" s="6" t="s">
        <v>257</v>
      </c>
      <c r="S252" s="6" t="s">
        <v>147</v>
      </c>
      <c r="T252" s="6" t="s">
        <v>250</v>
      </c>
      <c r="U252" s="6" t="s">
        <v>152</v>
      </c>
      <c r="V252" s="6" t="s">
        <v>246</v>
      </c>
      <c r="W252" s="6" t="s">
        <v>158</v>
      </c>
      <c r="X252" s="6" t="s">
        <v>458</v>
      </c>
      <c r="Y252" s="6" t="s">
        <v>162</v>
      </c>
      <c r="Z252" s="6" t="s">
        <v>165</v>
      </c>
      <c r="AA252" s="6" t="s">
        <v>641</v>
      </c>
      <c r="AB252" s="6" t="s">
        <v>521</v>
      </c>
      <c r="AC252" s="6" t="s">
        <v>1669</v>
      </c>
      <c r="AD252" s="6" t="s">
        <v>175</v>
      </c>
      <c r="AE252" s="6" t="s">
        <v>524</v>
      </c>
      <c r="AF252" s="6" t="s">
        <v>633</v>
      </c>
      <c r="AG252" s="6" t="s">
        <v>182</v>
      </c>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row>
    <row r="253" ht="22.5" customHeight="1">
      <c r="A253" s="4">
        <v>46229.69816462963</v>
      </c>
      <c r="B253" s="5">
        <v>0.0</v>
      </c>
      <c r="C253" s="6" t="s">
        <v>3296</v>
      </c>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6" t="s">
        <v>2624</v>
      </c>
      <c r="AI253" s="6" t="s">
        <v>2625</v>
      </c>
      <c r="AJ253" s="6">
        <v>6.9070503486E10</v>
      </c>
      <c r="AK253" s="6" t="s">
        <v>3297</v>
      </c>
      <c r="AL253" s="7"/>
      <c r="AM253" s="6" t="s">
        <v>4684</v>
      </c>
      <c r="AN253" s="6" t="s">
        <v>4685</v>
      </c>
      <c r="AO253" s="6" t="s">
        <v>4686</v>
      </c>
      <c r="AP253" s="6" t="s">
        <v>4687</v>
      </c>
      <c r="AQ253" s="6" t="s">
        <v>4688</v>
      </c>
      <c r="AR253" s="7"/>
      <c r="AS253" s="6" t="s">
        <v>4689</v>
      </c>
      <c r="AT253" s="6" t="s">
        <v>4690</v>
      </c>
      <c r="AU253" s="6" t="s">
        <v>4691</v>
      </c>
      <c r="AV253" s="6" t="s">
        <v>3312</v>
      </c>
      <c r="AW253" s="6" t="s">
        <v>3307</v>
      </c>
      <c r="AX253" s="6" t="s">
        <v>3306</v>
      </c>
      <c r="AY253" s="6" t="s">
        <v>4067</v>
      </c>
      <c r="AZ253" s="6" t="s">
        <v>3306</v>
      </c>
      <c r="BA253" s="6" t="s">
        <v>4692</v>
      </c>
      <c r="BB253" s="6" t="s">
        <v>4693</v>
      </c>
      <c r="BC253" s="6" t="s">
        <v>3313</v>
      </c>
      <c r="BD253" s="6" t="s">
        <v>165</v>
      </c>
      <c r="BE253" s="6" t="s">
        <v>3888</v>
      </c>
      <c r="BF253" s="6" t="s">
        <v>3315</v>
      </c>
      <c r="BG253" s="6" t="s">
        <v>4694</v>
      </c>
      <c r="BH253" s="6" t="s">
        <v>3317</v>
      </c>
      <c r="BI253" s="6" t="s">
        <v>271</v>
      </c>
      <c r="BJ253" s="6" t="s">
        <v>3318</v>
      </c>
      <c r="BK253" s="6" t="s">
        <v>4695</v>
      </c>
    </row>
    <row r="254" ht="22.5" customHeight="1">
      <c r="A254" s="4">
        <v>46229.69816641204</v>
      </c>
      <c r="B254" s="5">
        <v>0.0</v>
      </c>
      <c r="C254" s="6" t="s">
        <v>3296</v>
      </c>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6" t="s">
        <v>2626</v>
      </c>
      <c r="AI254" s="6" t="s">
        <v>2627</v>
      </c>
      <c r="AJ254" s="6">
        <v>6.9070503422E10</v>
      </c>
      <c r="AK254" s="6" t="s">
        <v>3297</v>
      </c>
      <c r="AL254" s="7"/>
      <c r="AM254" s="6" t="s">
        <v>4696</v>
      </c>
      <c r="AN254" s="6" t="s">
        <v>4697</v>
      </c>
      <c r="AO254" s="6" t="s">
        <v>4698</v>
      </c>
      <c r="AP254" s="6" t="s">
        <v>4699</v>
      </c>
      <c r="AQ254" s="6" t="s">
        <v>4700</v>
      </c>
      <c r="AR254" s="7"/>
      <c r="AS254" s="6" t="s">
        <v>4701</v>
      </c>
      <c r="AT254" s="6" t="s">
        <v>4702</v>
      </c>
      <c r="AU254" s="6" t="s">
        <v>4703</v>
      </c>
      <c r="AV254" s="6" t="s">
        <v>3306</v>
      </c>
      <c r="AW254" s="6" t="s">
        <v>3307</v>
      </c>
      <c r="AX254" s="6" t="s">
        <v>3887</v>
      </c>
      <c r="AY254" s="6" t="s">
        <v>4067</v>
      </c>
      <c r="AZ254" s="6" t="s">
        <v>3306</v>
      </c>
      <c r="BA254" s="6" t="s">
        <v>3311</v>
      </c>
      <c r="BB254" s="6" t="s">
        <v>4693</v>
      </c>
      <c r="BC254" s="6" t="s">
        <v>3313</v>
      </c>
      <c r="BD254" s="6" t="s">
        <v>165</v>
      </c>
      <c r="BE254" s="6" t="s">
        <v>3888</v>
      </c>
      <c r="BF254" s="6" t="s">
        <v>3315</v>
      </c>
      <c r="BG254" s="6" t="s">
        <v>4068</v>
      </c>
      <c r="BH254" s="6" t="s">
        <v>3317</v>
      </c>
      <c r="BI254" s="6" t="s">
        <v>271</v>
      </c>
      <c r="BJ254" s="6" t="s">
        <v>3318</v>
      </c>
      <c r="BK254" s="6" t="s">
        <v>3319</v>
      </c>
    </row>
    <row r="255" ht="22.5" customHeight="1">
      <c r="A255" s="4">
        <v>46229.69817971065</v>
      </c>
      <c r="B255" s="5">
        <v>0.0</v>
      </c>
      <c r="C255" s="6" t="s">
        <v>114</v>
      </c>
      <c r="D255" s="6" t="s">
        <v>659</v>
      </c>
      <c r="E255" s="6" t="s">
        <v>660</v>
      </c>
      <c r="F255" s="6">
        <v>6.9070500206E10</v>
      </c>
      <c r="G255" s="6" t="s">
        <v>599</v>
      </c>
      <c r="H255" s="7"/>
      <c r="I255" s="6" t="s">
        <v>4704</v>
      </c>
      <c r="J255" s="6" t="s">
        <v>4705</v>
      </c>
      <c r="K255" s="6" t="s">
        <v>4706</v>
      </c>
      <c r="L255" s="6" t="s">
        <v>4707</v>
      </c>
      <c r="M255" s="6" t="s">
        <v>4708</v>
      </c>
      <c r="N255" s="7"/>
      <c r="O255" s="6" t="s">
        <v>4709</v>
      </c>
      <c r="P255" s="6" t="s">
        <v>4659</v>
      </c>
      <c r="Q255" s="6" t="s">
        <v>4710</v>
      </c>
      <c r="R255" s="6" t="s">
        <v>246</v>
      </c>
      <c r="S255" s="6" t="s">
        <v>147</v>
      </c>
      <c r="T255" s="6" t="s">
        <v>250</v>
      </c>
      <c r="U255" s="6" t="s">
        <v>686</v>
      </c>
      <c r="V255" s="6" t="s">
        <v>246</v>
      </c>
      <c r="W255" s="6" t="s">
        <v>158</v>
      </c>
      <c r="X255" s="6" t="s">
        <v>257</v>
      </c>
      <c r="Y255" s="6" t="s">
        <v>162</v>
      </c>
      <c r="Z255" s="6" t="s">
        <v>165</v>
      </c>
      <c r="AA255" s="6" t="s">
        <v>262</v>
      </c>
      <c r="AB255" s="6" t="s">
        <v>171</v>
      </c>
      <c r="AC255" s="6" t="s">
        <v>174</v>
      </c>
      <c r="AD255" s="6" t="s">
        <v>175</v>
      </c>
      <c r="AE255" s="6" t="s">
        <v>271</v>
      </c>
      <c r="AF255" s="6" t="s">
        <v>181</v>
      </c>
      <c r="AG255" s="6" t="s">
        <v>182</v>
      </c>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row>
    <row r="256" ht="22.5" customHeight="1">
      <c r="A256" s="4">
        <v>46229.698190787036</v>
      </c>
      <c r="B256" s="5">
        <v>0.0</v>
      </c>
      <c r="C256" s="6" t="s">
        <v>114</v>
      </c>
      <c r="D256" s="6" t="s">
        <v>661</v>
      </c>
      <c r="E256" s="6" t="s">
        <v>662</v>
      </c>
      <c r="F256" s="6">
        <v>6.9070506459E10</v>
      </c>
      <c r="G256" s="6" t="s">
        <v>599</v>
      </c>
      <c r="H256" s="7"/>
      <c r="I256" s="6" t="s">
        <v>3709</v>
      </c>
      <c r="J256" s="6" t="s">
        <v>4711</v>
      </c>
      <c r="K256" s="6" t="s">
        <v>4712</v>
      </c>
      <c r="L256" s="6" t="s">
        <v>4713</v>
      </c>
      <c r="M256" s="6" t="s">
        <v>4714</v>
      </c>
      <c r="N256" s="7"/>
      <c r="O256" s="6" t="s">
        <v>4715</v>
      </c>
      <c r="P256" s="6" t="s">
        <v>4716</v>
      </c>
      <c r="Q256" s="6" t="s">
        <v>4717</v>
      </c>
      <c r="R256" s="6" t="s">
        <v>246</v>
      </c>
      <c r="S256" s="6" t="s">
        <v>147</v>
      </c>
      <c r="T256" s="6" t="s">
        <v>250</v>
      </c>
      <c r="U256" s="6" t="s">
        <v>252</v>
      </c>
      <c r="V256" s="6" t="s">
        <v>246</v>
      </c>
      <c r="W256" s="6" t="s">
        <v>158</v>
      </c>
      <c r="X256" s="6" t="s">
        <v>257</v>
      </c>
      <c r="Y256" s="6" t="s">
        <v>162</v>
      </c>
      <c r="Z256" s="6" t="s">
        <v>165</v>
      </c>
      <c r="AA256" s="6" t="s">
        <v>262</v>
      </c>
      <c r="AB256" s="6" t="s">
        <v>4010</v>
      </c>
      <c r="AC256" s="6" t="s">
        <v>174</v>
      </c>
      <c r="AD256" s="6" t="s">
        <v>175</v>
      </c>
      <c r="AE256" s="6" t="s">
        <v>271</v>
      </c>
      <c r="AF256" s="6" t="s">
        <v>181</v>
      </c>
      <c r="AG256" s="6" t="s">
        <v>182</v>
      </c>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row>
    <row r="257" ht="22.5" customHeight="1">
      <c r="A257" s="4">
        <v>46229.698195081015</v>
      </c>
      <c r="B257" s="5">
        <v>0.0</v>
      </c>
      <c r="C257" s="6" t="s">
        <v>114</v>
      </c>
      <c r="D257" s="6" t="s">
        <v>663</v>
      </c>
      <c r="E257" s="6" t="s">
        <v>664</v>
      </c>
      <c r="F257" s="6">
        <v>6.9070500445E10</v>
      </c>
      <c r="G257" s="6" t="s">
        <v>310</v>
      </c>
      <c r="H257" s="7"/>
      <c r="I257" s="6" t="s">
        <v>3200</v>
      </c>
      <c r="J257" s="6" t="s">
        <v>3201</v>
      </c>
      <c r="K257" s="6" t="s">
        <v>4718</v>
      </c>
      <c r="L257" s="6" t="s">
        <v>2604</v>
      </c>
      <c r="M257" s="6" t="s">
        <v>4719</v>
      </c>
      <c r="N257" s="7"/>
      <c r="O257" s="6" t="s">
        <v>4720</v>
      </c>
      <c r="P257" s="6" t="s">
        <v>4721</v>
      </c>
      <c r="Q257" s="6" t="s">
        <v>4722</v>
      </c>
      <c r="R257" s="6" t="s">
        <v>257</v>
      </c>
      <c r="S257" s="6" t="s">
        <v>147</v>
      </c>
      <c r="T257" s="6" t="s">
        <v>250</v>
      </c>
      <c r="U257" s="6" t="s">
        <v>252</v>
      </c>
      <c r="V257" s="6" t="s">
        <v>155</v>
      </c>
      <c r="W257" s="6" t="s">
        <v>158</v>
      </c>
      <c r="X257" s="6" t="s">
        <v>257</v>
      </c>
      <c r="Y257" s="6" t="s">
        <v>162</v>
      </c>
      <c r="Z257" s="6" t="s">
        <v>165</v>
      </c>
      <c r="AA257" s="6" t="s">
        <v>262</v>
      </c>
      <c r="AB257" s="6" t="s">
        <v>521</v>
      </c>
      <c r="AC257" s="6" t="s">
        <v>174</v>
      </c>
      <c r="AD257" s="6" t="s">
        <v>175</v>
      </c>
      <c r="AE257" s="6" t="s">
        <v>271</v>
      </c>
      <c r="AF257" s="6" t="s">
        <v>181</v>
      </c>
      <c r="AG257" s="6" t="s">
        <v>182</v>
      </c>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row>
    <row r="258" ht="22.5" customHeight="1">
      <c r="A258" s="4">
        <v>46229.698204988425</v>
      </c>
      <c r="B258" s="5">
        <v>0.0</v>
      </c>
      <c r="C258" s="6" t="s">
        <v>114</v>
      </c>
      <c r="D258" s="6" t="s">
        <v>665</v>
      </c>
      <c r="E258" s="6" t="s">
        <v>666</v>
      </c>
      <c r="F258" s="6">
        <v>6.9070509802E10</v>
      </c>
      <c r="G258" s="6" t="s">
        <v>496</v>
      </c>
      <c r="H258" s="7"/>
      <c r="I258" s="6" t="s">
        <v>4723</v>
      </c>
      <c r="J258" s="6" t="s">
        <v>4724</v>
      </c>
      <c r="K258" s="6" t="s">
        <v>4725</v>
      </c>
      <c r="L258" s="6" t="s">
        <v>4726</v>
      </c>
      <c r="M258" s="6" t="s">
        <v>4727</v>
      </c>
      <c r="N258" s="6" t="s">
        <v>4728</v>
      </c>
      <c r="O258" s="6" t="s">
        <v>4729</v>
      </c>
      <c r="P258" s="6" t="s">
        <v>4730</v>
      </c>
      <c r="Q258" s="6" t="s">
        <v>4731</v>
      </c>
      <c r="R258" s="6" t="s">
        <v>246</v>
      </c>
      <c r="S258" s="6" t="s">
        <v>147</v>
      </c>
      <c r="T258" s="6" t="s">
        <v>250</v>
      </c>
      <c r="U258" s="6" t="s">
        <v>686</v>
      </c>
      <c r="V258" s="6" t="s">
        <v>246</v>
      </c>
      <c r="W258" s="6" t="s">
        <v>158</v>
      </c>
      <c r="X258" s="6" t="s">
        <v>257</v>
      </c>
      <c r="Y258" s="6" t="s">
        <v>162</v>
      </c>
      <c r="Z258" s="6" t="s">
        <v>165</v>
      </c>
      <c r="AA258" s="6" t="s">
        <v>262</v>
      </c>
      <c r="AB258" s="6" t="s">
        <v>171</v>
      </c>
      <c r="AC258" s="6" t="s">
        <v>174</v>
      </c>
      <c r="AD258" s="6" t="s">
        <v>175</v>
      </c>
      <c r="AE258" s="6" t="s">
        <v>271</v>
      </c>
      <c r="AF258" s="6" t="s">
        <v>181</v>
      </c>
      <c r="AG258" s="6" t="s">
        <v>182</v>
      </c>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row>
    <row r="259" ht="22.5" customHeight="1">
      <c r="A259" s="4">
        <v>46229.69821335648</v>
      </c>
      <c r="B259" s="5">
        <v>0.0</v>
      </c>
      <c r="C259" s="6" t="s">
        <v>114</v>
      </c>
      <c r="D259" s="6" t="s">
        <v>94</v>
      </c>
      <c r="E259" s="6" t="s">
        <v>669</v>
      </c>
      <c r="F259" s="6">
        <v>6.9070502848E10</v>
      </c>
      <c r="G259" s="6" t="s">
        <v>310</v>
      </c>
      <c r="H259" s="7"/>
      <c r="I259" s="6" t="s">
        <v>4732</v>
      </c>
      <c r="J259" s="6" t="s">
        <v>1798</v>
      </c>
      <c r="K259" s="6" t="s">
        <v>4733</v>
      </c>
      <c r="L259" s="6" t="s">
        <v>4734</v>
      </c>
      <c r="M259" s="6" t="s">
        <v>4735</v>
      </c>
      <c r="N259" s="7"/>
      <c r="O259" s="6" t="s">
        <v>4736</v>
      </c>
      <c r="P259" s="6" t="s">
        <v>4737</v>
      </c>
      <c r="Q259" s="6" t="s">
        <v>4738</v>
      </c>
      <c r="R259" s="6" t="s">
        <v>246</v>
      </c>
      <c r="S259" s="6" t="s">
        <v>147</v>
      </c>
      <c r="T259" s="6" t="s">
        <v>246</v>
      </c>
      <c r="U259" s="6" t="s">
        <v>252</v>
      </c>
      <c r="V259" s="6" t="s">
        <v>246</v>
      </c>
      <c r="W259" s="6" t="s">
        <v>158</v>
      </c>
      <c r="X259" s="6" t="s">
        <v>161</v>
      </c>
      <c r="Y259" s="6" t="s">
        <v>162</v>
      </c>
      <c r="Z259" s="6" t="s">
        <v>165</v>
      </c>
      <c r="AA259" s="6" t="s">
        <v>262</v>
      </c>
      <c r="AB259" s="6" t="s">
        <v>521</v>
      </c>
      <c r="AC259" s="6" t="s">
        <v>174</v>
      </c>
      <c r="AD259" s="6" t="s">
        <v>175</v>
      </c>
      <c r="AE259" s="6" t="s">
        <v>178</v>
      </c>
      <c r="AF259" s="6" t="s">
        <v>181</v>
      </c>
      <c r="AG259" s="6" t="s">
        <v>182</v>
      </c>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row>
    <row r="260" ht="22.5" customHeight="1">
      <c r="A260" s="4">
        <v>46229.69822515047</v>
      </c>
      <c r="B260" s="5">
        <v>0.0</v>
      </c>
      <c r="C260" s="6" t="s">
        <v>114</v>
      </c>
      <c r="D260" s="6" t="s">
        <v>672</v>
      </c>
      <c r="E260" s="6" t="s">
        <v>674</v>
      </c>
      <c r="F260" s="6">
        <v>6.9070505222E10</v>
      </c>
      <c r="G260" s="6" t="s">
        <v>1470</v>
      </c>
      <c r="H260" s="7"/>
      <c r="I260" s="6" t="s">
        <v>4739</v>
      </c>
      <c r="J260" s="6" t="s">
        <v>4740</v>
      </c>
      <c r="K260" s="6" t="s">
        <v>4741</v>
      </c>
      <c r="L260" s="6" t="s">
        <v>4742</v>
      </c>
      <c r="M260" s="6" t="s">
        <v>4743</v>
      </c>
      <c r="N260" s="7"/>
      <c r="O260" s="6" t="s">
        <v>4744</v>
      </c>
      <c r="P260" s="6" t="s">
        <v>4745</v>
      </c>
      <c r="Q260" s="6" t="s">
        <v>4746</v>
      </c>
      <c r="R260" s="6" t="s">
        <v>246</v>
      </c>
      <c r="S260" s="6" t="s">
        <v>147</v>
      </c>
      <c r="T260" s="6" t="s">
        <v>246</v>
      </c>
      <c r="U260" s="6" t="s">
        <v>252</v>
      </c>
      <c r="V260" s="6" t="s">
        <v>246</v>
      </c>
      <c r="W260" s="6" t="s">
        <v>158</v>
      </c>
      <c r="X260" s="6" t="s">
        <v>250</v>
      </c>
      <c r="Y260" s="6" t="s">
        <v>162</v>
      </c>
      <c r="Z260" s="6" t="s">
        <v>165</v>
      </c>
      <c r="AA260" s="6" t="s">
        <v>262</v>
      </c>
      <c r="AB260" s="6" t="s">
        <v>521</v>
      </c>
      <c r="AC260" s="6" t="s">
        <v>2718</v>
      </c>
      <c r="AD260" s="6" t="s">
        <v>175</v>
      </c>
      <c r="AE260" s="6" t="s">
        <v>271</v>
      </c>
      <c r="AF260" s="6" t="s">
        <v>181</v>
      </c>
      <c r="AG260" s="6" t="s">
        <v>182</v>
      </c>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row>
    <row r="261" ht="22.5" customHeight="1">
      <c r="A261" s="4">
        <v>46229.69823934028</v>
      </c>
      <c r="B261" s="5">
        <v>0.0</v>
      </c>
      <c r="C261" s="6" t="s">
        <v>114</v>
      </c>
      <c r="D261" s="6" t="s">
        <v>676</v>
      </c>
      <c r="E261" s="6" t="s">
        <v>677</v>
      </c>
      <c r="F261" s="6">
        <v>6.9070500458E10</v>
      </c>
      <c r="G261" s="6" t="s">
        <v>310</v>
      </c>
      <c r="H261" s="7"/>
      <c r="I261" s="6" t="s">
        <v>3666</v>
      </c>
      <c r="J261" s="6" t="s">
        <v>4747</v>
      </c>
      <c r="K261" s="6" t="s">
        <v>4748</v>
      </c>
      <c r="L261" s="6" t="s">
        <v>4749</v>
      </c>
      <c r="M261" s="6" t="s">
        <v>4750</v>
      </c>
      <c r="N261" s="7"/>
      <c r="O261" s="6" t="s">
        <v>4751</v>
      </c>
      <c r="P261" s="6" t="s">
        <v>4752</v>
      </c>
      <c r="Q261" s="6" t="s">
        <v>4753</v>
      </c>
      <c r="R261" s="6" t="s">
        <v>246</v>
      </c>
      <c r="S261" s="6" t="s">
        <v>147</v>
      </c>
      <c r="T261" s="6" t="s">
        <v>250</v>
      </c>
      <c r="U261" s="6" t="s">
        <v>560</v>
      </c>
      <c r="V261" s="6" t="s">
        <v>246</v>
      </c>
      <c r="W261" s="6" t="s">
        <v>158</v>
      </c>
      <c r="X261" s="6" t="s">
        <v>257</v>
      </c>
      <c r="Y261" s="6" t="s">
        <v>162</v>
      </c>
      <c r="Z261" s="6" t="s">
        <v>165</v>
      </c>
      <c r="AA261" s="6" t="s">
        <v>262</v>
      </c>
      <c r="AB261" s="6" t="s">
        <v>171</v>
      </c>
      <c r="AC261" s="6" t="s">
        <v>174</v>
      </c>
      <c r="AD261" s="6" t="s">
        <v>175</v>
      </c>
      <c r="AE261" s="6" t="s">
        <v>271</v>
      </c>
      <c r="AF261" s="6" t="s">
        <v>181</v>
      </c>
      <c r="AG261" s="6" t="s">
        <v>182</v>
      </c>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row>
    <row r="262" ht="22.5" customHeight="1">
      <c r="A262" s="4">
        <v>46229.69825987269</v>
      </c>
      <c r="B262" s="5">
        <v>0.0</v>
      </c>
      <c r="C262" s="6" t="s">
        <v>114</v>
      </c>
      <c r="D262" s="6" t="s">
        <v>680</v>
      </c>
      <c r="E262" s="6" t="s">
        <v>681</v>
      </c>
      <c r="F262" s="6">
        <v>6.9070501222E10</v>
      </c>
      <c r="G262" s="6" t="s">
        <v>228</v>
      </c>
      <c r="H262" s="7"/>
      <c r="I262" s="6" t="s">
        <v>4754</v>
      </c>
      <c r="J262" s="6" t="s">
        <v>4755</v>
      </c>
      <c r="K262" s="6" t="s">
        <v>4756</v>
      </c>
      <c r="L262" s="6" t="s">
        <v>4757</v>
      </c>
      <c r="M262" s="6" t="s">
        <v>4758</v>
      </c>
      <c r="N262" s="7"/>
      <c r="O262" s="6" t="s">
        <v>4759</v>
      </c>
      <c r="P262" s="6" t="s">
        <v>4760</v>
      </c>
      <c r="Q262" s="6" t="s">
        <v>4761</v>
      </c>
      <c r="R262" s="6" t="s">
        <v>257</v>
      </c>
      <c r="S262" s="6" t="s">
        <v>147</v>
      </c>
      <c r="T262" s="6" t="s">
        <v>246</v>
      </c>
      <c r="U262" s="6" t="s">
        <v>252</v>
      </c>
      <c r="V262" s="6" t="s">
        <v>246</v>
      </c>
      <c r="W262" s="6" t="s">
        <v>158</v>
      </c>
      <c r="X262" s="6" t="s">
        <v>257</v>
      </c>
      <c r="Y262" s="6" t="s">
        <v>162</v>
      </c>
      <c r="Z262" s="6" t="s">
        <v>165</v>
      </c>
      <c r="AA262" s="6" t="s">
        <v>262</v>
      </c>
      <c r="AB262" s="6" t="s">
        <v>171</v>
      </c>
      <c r="AC262" s="6" t="s">
        <v>174</v>
      </c>
      <c r="AD262" s="6" t="s">
        <v>175</v>
      </c>
      <c r="AE262" s="6" t="s">
        <v>178</v>
      </c>
      <c r="AF262" s="6" t="s">
        <v>181</v>
      </c>
      <c r="AG262" s="6" t="s">
        <v>182</v>
      </c>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row>
    <row r="263" ht="22.5" customHeight="1">
      <c r="A263" s="4">
        <v>46229.69827984954</v>
      </c>
      <c r="B263" s="5">
        <v>0.0</v>
      </c>
      <c r="C263" s="6" t="s">
        <v>114</v>
      </c>
      <c r="D263" s="6" t="s">
        <v>682</v>
      </c>
      <c r="E263" s="6" t="s">
        <v>683</v>
      </c>
      <c r="F263" s="6">
        <v>6.9070502239E10</v>
      </c>
      <c r="G263" s="6" t="s">
        <v>496</v>
      </c>
      <c r="H263" s="7"/>
      <c r="I263" s="6" t="s">
        <v>4762</v>
      </c>
      <c r="J263" s="6" t="s">
        <v>4763</v>
      </c>
      <c r="K263" s="6" t="s">
        <v>4764</v>
      </c>
      <c r="L263" s="6" t="s">
        <v>4765</v>
      </c>
      <c r="M263" s="6" t="s">
        <v>4766</v>
      </c>
      <c r="N263" s="7"/>
      <c r="O263" s="6" t="s">
        <v>4767</v>
      </c>
      <c r="P263" s="6" t="s">
        <v>4768</v>
      </c>
      <c r="Q263" s="6" t="s">
        <v>4769</v>
      </c>
      <c r="R263" s="6" t="s">
        <v>246</v>
      </c>
      <c r="S263" s="6" t="s">
        <v>147</v>
      </c>
      <c r="T263" s="6" t="s">
        <v>250</v>
      </c>
      <c r="U263" s="6" t="s">
        <v>252</v>
      </c>
      <c r="V263" s="6" t="s">
        <v>246</v>
      </c>
      <c r="W263" s="6" t="s">
        <v>158</v>
      </c>
      <c r="X263" s="6" t="s">
        <v>246</v>
      </c>
      <c r="Y263" s="6" t="s">
        <v>162</v>
      </c>
      <c r="Z263" s="6" t="s">
        <v>165</v>
      </c>
      <c r="AA263" s="6" t="s">
        <v>262</v>
      </c>
      <c r="AB263" s="6" t="s">
        <v>521</v>
      </c>
      <c r="AC263" s="6" t="s">
        <v>174</v>
      </c>
      <c r="AD263" s="6" t="s">
        <v>175</v>
      </c>
      <c r="AE263" s="6" t="s">
        <v>271</v>
      </c>
      <c r="AF263" s="6" t="s">
        <v>181</v>
      </c>
      <c r="AG263" s="6" t="s">
        <v>182</v>
      </c>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row>
    <row r="264" ht="22.5" customHeight="1">
      <c r="A264" s="4">
        <v>46229.69828462963</v>
      </c>
      <c r="B264" s="5">
        <v>0.0</v>
      </c>
      <c r="C264" s="6" t="s">
        <v>114</v>
      </c>
      <c r="D264" s="6" t="s">
        <v>684</v>
      </c>
      <c r="E264" s="6" t="s">
        <v>685</v>
      </c>
      <c r="F264" s="6">
        <v>6.9070500202E10</v>
      </c>
      <c r="G264" s="6" t="s">
        <v>599</v>
      </c>
      <c r="H264" s="7"/>
      <c r="I264" s="6" t="s">
        <v>4770</v>
      </c>
      <c r="J264" s="6" t="s">
        <v>4771</v>
      </c>
      <c r="K264" s="6" t="s">
        <v>4772</v>
      </c>
      <c r="L264" s="6" t="s">
        <v>4773</v>
      </c>
      <c r="M264" s="6" t="s">
        <v>4774</v>
      </c>
      <c r="N264" s="6" t="s">
        <v>4775</v>
      </c>
      <c r="O264" s="6" t="s">
        <v>4776</v>
      </c>
      <c r="P264" s="6" t="s">
        <v>4777</v>
      </c>
      <c r="Q264" s="6" t="s">
        <v>4778</v>
      </c>
      <c r="R264" s="6" t="s">
        <v>246</v>
      </c>
      <c r="S264" s="6" t="s">
        <v>147</v>
      </c>
      <c r="T264" s="6" t="s">
        <v>250</v>
      </c>
      <c r="U264" s="6" t="s">
        <v>252</v>
      </c>
      <c r="V264" s="6" t="s">
        <v>246</v>
      </c>
      <c r="W264" s="6" t="s">
        <v>158</v>
      </c>
      <c r="X264" s="6" t="s">
        <v>257</v>
      </c>
      <c r="Y264" s="6" t="s">
        <v>162</v>
      </c>
      <c r="Z264" s="6" t="s">
        <v>165</v>
      </c>
      <c r="AA264" s="6" t="s">
        <v>262</v>
      </c>
      <c r="AB264" s="6" t="s">
        <v>171</v>
      </c>
      <c r="AC264" s="6" t="s">
        <v>174</v>
      </c>
      <c r="AD264" s="6" t="s">
        <v>175</v>
      </c>
      <c r="AE264" s="6" t="s">
        <v>271</v>
      </c>
      <c r="AF264" s="6" t="s">
        <v>181</v>
      </c>
      <c r="AG264" s="6" t="s">
        <v>182</v>
      </c>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row>
    <row r="265" ht="22.5" customHeight="1">
      <c r="A265" s="4">
        <v>46229.69829134259</v>
      </c>
      <c r="B265" s="5">
        <v>0.0</v>
      </c>
      <c r="C265" s="6" t="s">
        <v>114</v>
      </c>
      <c r="D265" s="6" t="s">
        <v>687</v>
      </c>
      <c r="E265" s="6" t="s">
        <v>688</v>
      </c>
      <c r="F265" s="6">
        <v>6.9070500212E10</v>
      </c>
      <c r="G265" s="6" t="s">
        <v>599</v>
      </c>
      <c r="H265" s="6" t="s">
        <v>4779</v>
      </c>
      <c r="I265" s="6" t="s">
        <v>4780</v>
      </c>
      <c r="J265" s="6" t="s">
        <v>4781</v>
      </c>
      <c r="K265" s="6" t="s">
        <v>4782</v>
      </c>
      <c r="L265" s="6" t="s">
        <v>4783</v>
      </c>
      <c r="M265" s="6" t="s">
        <v>4784</v>
      </c>
      <c r="N265" s="7"/>
      <c r="O265" s="6" t="s">
        <v>4785</v>
      </c>
      <c r="P265" s="6" t="s">
        <v>4786</v>
      </c>
      <c r="Q265" s="6" t="s">
        <v>4787</v>
      </c>
      <c r="R265" s="6" t="s">
        <v>257</v>
      </c>
      <c r="S265" s="6" t="s">
        <v>147</v>
      </c>
      <c r="T265" s="6" t="s">
        <v>250</v>
      </c>
      <c r="U265" s="6" t="s">
        <v>686</v>
      </c>
      <c r="V265" s="6" t="s">
        <v>246</v>
      </c>
      <c r="W265" s="6" t="s">
        <v>158</v>
      </c>
      <c r="X265" s="6" t="s">
        <v>458</v>
      </c>
      <c r="Y265" s="6" t="s">
        <v>162</v>
      </c>
      <c r="Z265" s="6" t="s">
        <v>165</v>
      </c>
      <c r="AA265" s="6" t="s">
        <v>262</v>
      </c>
      <c r="AB265" s="6" t="s">
        <v>1266</v>
      </c>
      <c r="AC265" s="6" t="s">
        <v>2718</v>
      </c>
      <c r="AD265" s="6" t="s">
        <v>175</v>
      </c>
      <c r="AE265" s="6" t="s">
        <v>271</v>
      </c>
      <c r="AF265" s="6" t="s">
        <v>181</v>
      </c>
      <c r="AG265" s="6" t="s">
        <v>182</v>
      </c>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row>
    <row r="266" ht="22.5" customHeight="1">
      <c r="A266" s="4">
        <v>46229.698323159726</v>
      </c>
      <c r="B266" s="5">
        <v>0.0</v>
      </c>
      <c r="C266" s="6" t="s">
        <v>114</v>
      </c>
      <c r="D266" s="6" t="s">
        <v>689</v>
      </c>
      <c r="E266" s="6" t="s">
        <v>690</v>
      </c>
      <c r="F266" s="6">
        <v>6.9070509801E10</v>
      </c>
      <c r="G266" s="6" t="s">
        <v>496</v>
      </c>
      <c r="H266" s="7"/>
      <c r="I266" s="6" t="s">
        <v>1083</v>
      </c>
      <c r="J266" s="6" t="s">
        <v>506</v>
      </c>
      <c r="K266" s="6" t="s">
        <v>499</v>
      </c>
      <c r="L266" s="6" t="s">
        <v>3989</v>
      </c>
      <c r="M266" s="6" t="s">
        <v>503</v>
      </c>
      <c r="N266" s="7"/>
      <c r="O266" s="6" t="s">
        <v>4788</v>
      </c>
      <c r="P266" s="6" t="s">
        <v>4789</v>
      </c>
      <c r="Q266" s="6" t="s">
        <v>4790</v>
      </c>
      <c r="R266" s="6" t="s">
        <v>257</v>
      </c>
      <c r="S266" s="6" t="s">
        <v>147</v>
      </c>
      <c r="T266" s="6" t="s">
        <v>246</v>
      </c>
      <c r="U266" s="6" t="s">
        <v>252</v>
      </c>
      <c r="V266" s="6" t="s">
        <v>246</v>
      </c>
      <c r="W266" s="6" t="s">
        <v>158</v>
      </c>
      <c r="X266" s="6" t="s">
        <v>257</v>
      </c>
      <c r="Y266" s="6" t="s">
        <v>162</v>
      </c>
      <c r="Z266" s="6" t="s">
        <v>165</v>
      </c>
      <c r="AA266" s="6" t="s">
        <v>262</v>
      </c>
      <c r="AB266" s="6" t="s">
        <v>171</v>
      </c>
      <c r="AC266" s="6" t="s">
        <v>174</v>
      </c>
      <c r="AD266" s="6" t="s">
        <v>1723</v>
      </c>
      <c r="AE266" s="6" t="s">
        <v>271</v>
      </c>
      <c r="AF266" s="6" t="s">
        <v>181</v>
      </c>
      <c r="AG266" s="6" t="s">
        <v>182</v>
      </c>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row>
    <row r="267" ht="22.5" customHeight="1">
      <c r="A267" s="4">
        <v>46229.69832622685</v>
      </c>
      <c r="B267" s="5">
        <v>0.0</v>
      </c>
      <c r="C267" s="6" t="s">
        <v>114</v>
      </c>
      <c r="D267" s="6" t="s">
        <v>691</v>
      </c>
      <c r="E267" s="6" t="s">
        <v>692</v>
      </c>
      <c r="F267" s="6">
        <v>6.9070508215E10</v>
      </c>
      <c r="G267" s="6" t="s">
        <v>730</v>
      </c>
      <c r="H267" s="6" t="s">
        <v>2633</v>
      </c>
      <c r="I267" s="6" t="s">
        <v>4791</v>
      </c>
      <c r="J267" s="6" t="s">
        <v>4792</v>
      </c>
      <c r="K267" s="6" t="s">
        <v>4793</v>
      </c>
      <c r="L267" s="6" t="s">
        <v>4794</v>
      </c>
      <c r="M267" s="6" t="s">
        <v>4795</v>
      </c>
      <c r="N267" s="7"/>
      <c r="O267" s="6" t="s">
        <v>4796</v>
      </c>
      <c r="P267" s="6" t="s">
        <v>4797</v>
      </c>
      <c r="Q267" s="6" t="s">
        <v>4798</v>
      </c>
      <c r="R267" s="6" t="s">
        <v>257</v>
      </c>
      <c r="S267" s="6" t="s">
        <v>147</v>
      </c>
      <c r="T267" s="6" t="s">
        <v>516</v>
      </c>
      <c r="U267" s="6" t="s">
        <v>2254</v>
      </c>
      <c r="V267" s="6" t="s">
        <v>246</v>
      </c>
      <c r="W267" s="6" t="s">
        <v>158</v>
      </c>
      <c r="X267" s="6" t="s">
        <v>250</v>
      </c>
      <c r="Y267" s="6" t="s">
        <v>162</v>
      </c>
      <c r="Z267" s="6" t="s">
        <v>629</v>
      </c>
      <c r="AA267" s="6" t="s">
        <v>262</v>
      </c>
      <c r="AB267" s="6" t="s">
        <v>171</v>
      </c>
      <c r="AC267" s="6" t="s">
        <v>1669</v>
      </c>
      <c r="AD267" s="6" t="s">
        <v>175</v>
      </c>
      <c r="AE267" s="6" t="s">
        <v>524</v>
      </c>
      <c r="AF267" s="6" t="s">
        <v>181</v>
      </c>
      <c r="AG267" s="6" t="s">
        <v>182</v>
      </c>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row>
    <row r="268" ht="22.5" customHeight="1">
      <c r="A268" s="4">
        <v>46229.69833177084</v>
      </c>
      <c r="B268" s="5">
        <v>0.0</v>
      </c>
      <c r="C268" s="6" t="s">
        <v>114</v>
      </c>
      <c r="D268" s="6" t="s">
        <v>693</v>
      </c>
      <c r="E268" s="6" t="s">
        <v>694</v>
      </c>
      <c r="F268" s="6">
        <v>6.9070501215E10</v>
      </c>
      <c r="G268" s="6" t="s">
        <v>228</v>
      </c>
      <c r="H268" s="6" t="s">
        <v>4799</v>
      </c>
      <c r="I268" s="6" t="s">
        <v>4800</v>
      </c>
      <c r="J268" s="6" t="s">
        <v>551</v>
      </c>
      <c r="K268" s="6" t="s">
        <v>1138</v>
      </c>
      <c r="L268" s="6" t="s">
        <v>1138</v>
      </c>
      <c r="M268" s="6" t="s">
        <v>1138</v>
      </c>
      <c r="N268" s="6" t="s">
        <v>1138</v>
      </c>
      <c r="O268" s="6" t="s">
        <v>4801</v>
      </c>
      <c r="P268" s="6" t="s">
        <v>4802</v>
      </c>
      <c r="Q268" s="6" t="s">
        <v>4803</v>
      </c>
      <c r="R268" s="6" t="s">
        <v>246</v>
      </c>
      <c r="S268" s="6" t="s">
        <v>147</v>
      </c>
      <c r="T268" s="6" t="s">
        <v>149</v>
      </c>
      <c r="U268" s="6" t="s">
        <v>252</v>
      </c>
      <c r="V268" s="6" t="s">
        <v>246</v>
      </c>
      <c r="W268" s="6" t="s">
        <v>158</v>
      </c>
      <c r="X268" s="6" t="s">
        <v>458</v>
      </c>
      <c r="Y268" s="6" t="s">
        <v>162</v>
      </c>
      <c r="Z268" s="6" t="s">
        <v>4804</v>
      </c>
      <c r="AA268" s="6" t="s">
        <v>262</v>
      </c>
      <c r="AB268" s="6" t="s">
        <v>171</v>
      </c>
      <c r="AC268" s="6" t="s">
        <v>1210</v>
      </c>
      <c r="AD268" s="6" t="s">
        <v>175</v>
      </c>
      <c r="AE268" s="6" t="s">
        <v>271</v>
      </c>
      <c r="AF268" s="6" t="s">
        <v>181</v>
      </c>
      <c r="AG268" s="6" t="s">
        <v>182</v>
      </c>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row>
    <row r="269" ht="22.5" customHeight="1">
      <c r="A269" s="4">
        <v>46229.69833327546</v>
      </c>
      <c r="B269" s="5">
        <v>0.0</v>
      </c>
      <c r="C269" s="6" t="s">
        <v>114</v>
      </c>
      <c r="D269" s="6" t="s">
        <v>695</v>
      </c>
      <c r="E269" s="6" t="s">
        <v>696</v>
      </c>
      <c r="F269" s="6">
        <v>6.9070502213E10</v>
      </c>
      <c r="G269" s="6" t="s">
        <v>496</v>
      </c>
      <c r="H269" s="7"/>
      <c r="I269" s="6" t="s">
        <v>4004</v>
      </c>
      <c r="J269" s="6" t="s">
        <v>4805</v>
      </c>
      <c r="K269" s="6" t="s">
        <v>4806</v>
      </c>
      <c r="L269" s="6" t="s">
        <v>4807</v>
      </c>
      <c r="M269" s="6" t="s">
        <v>4808</v>
      </c>
      <c r="N269" s="7"/>
      <c r="O269" s="6" t="s">
        <v>4809</v>
      </c>
      <c r="P269" s="6" t="s">
        <v>4810</v>
      </c>
      <c r="Q269" s="6" t="s">
        <v>4811</v>
      </c>
      <c r="R269" s="6" t="s">
        <v>246</v>
      </c>
      <c r="S269" s="6" t="s">
        <v>147</v>
      </c>
      <c r="T269" s="6" t="s">
        <v>250</v>
      </c>
      <c r="U269" s="6" t="s">
        <v>252</v>
      </c>
      <c r="V269" s="6" t="s">
        <v>246</v>
      </c>
      <c r="W269" s="6" t="s">
        <v>158</v>
      </c>
      <c r="X269" s="6" t="s">
        <v>257</v>
      </c>
      <c r="Y269" s="6" t="s">
        <v>162</v>
      </c>
      <c r="Z269" s="6" t="s">
        <v>165</v>
      </c>
      <c r="AA269" s="6" t="s">
        <v>262</v>
      </c>
      <c r="AB269" s="6" t="s">
        <v>521</v>
      </c>
      <c r="AC269" s="6" t="s">
        <v>174</v>
      </c>
      <c r="AD269" s="6" t="s">
        <v>175</v>
      </c>
      <c r="AE269" s="6" t="s">
        <v>271</v>
      </c>
      <c r="AF269" s="6" t="s">
        <v>181</v>
      </c>
      <c r="AG269" s="6" t="s">
        <v>182</v>
      </c>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row>
    <row r="270" ht="22.5" customHeight="1">
      <c r="A270" s="4">
        <v>46229.698335277775</v>
      </c>
      <c r="B270" s="5">
        <v>0.0</v>
      </c>
      <c r="C270" s="6" t="s">
        <v>3296</v>
      </c>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6" t="s">
        <v>2628</v>
      </c>
      <c r="AI270" s="6" t="s">
        <v>2629</v>
      </c>
      <c r="AJ270" s="6">
        <v>6.9070503408E10</v>
      </c>
      <c r="AK270" s="6" t="s">
        <v>3297</v>
      </c>
      <c r="AL270" s="7"/>
      <c r="AM270" s="6" t="s">
        <v>4812</v>
      </c>
      <c r="AN270" s="6" t="s">
        <v>4813</v>
      </c>
      <c r="AO270" s="6" t="s">
        <v>4814</v>
      </c>
      <c r="AP270" s="6" t="s">
        <v>4815</v>
      </c>
      <c r="AQ270" s="6" t="s">
        <v>4816</v>
      </c>
      <c r="AR270" s="7"/>
      <c r="AS270" s="6" t="s">
        <v>4817</v>
      </c>
      <c r="AT270" s="6" t="s">
        <v>4818</v>
      </c>
      <c r="AU270" s="6" t="s">
        <v>4819</v>
      </c>
      <c r="AV270" s="6" t="s">
        <v>3306</v>
      </c>
      <c r="AW270" s="6" t="s">
        <v>3307</v>
      </c>
      <c r="AX270" s="6" t="s">
        <v>3887</v>
      </c>
      <c r="AY270" s="6" t="s">
        <v>4067</v>
      </c>
      <c r="AZ270" s="6" t="s">
        <v>3306</v>
      </c>
      <c r="BA270" s="6" t="s">
        <v>3311</v>
      </c>
      <c r="BB270" s="6" t="s">
        <v>4693</v>
      </c>
      <c r="BC270" s="6" t="s">
        <v>3313</v>
      </c>
      <c r="BD270" s="6" t="s">
        <v>165</v>
      </c>
      <c r="BE270" s="6" t="s">
        <v>3888</v>
      </c>
      <c r="BF270" s="6" t="s">
        <v>3315</v>
      </c>
      <c r="BG270" s="6" t="s">
        <v>4068</v>
      </c>
      <c r="BH270" s="6" t="s">
        <v>3317</v>
      </c>
      <c r="BI270" s="6" t="s">
        <v>271</v>
      </c>
      <c r="BJ270" s="6" t="s">
        <v>4068</v>
      </c>
      <c r="BK270" s="6" t="s">
        <v>3319</v>
      </c>
    </row>
    <row r="271" ht="22.5" customHeight="1">
      <c r="A271" s="4">
        <v>46229.698341006944</v>
      </c>
      <c r="B271" s="5">
        <v>0.0</v>
      </c>
      <c r="C271" s="6" t="s">
        <v>114</v>
      </c>
      <c r="D271" s="6" t="s">
        <v>697</v>
      </c>
      <c r="E271" s="6" t="s">
        <v>698</v>
      </c>
      <c r="F271" s="6">
        <v>6.9070502217E10</v>
      </c>
      <c r="G271" s="6" t="s">
        <v>496</v>
      </c>
      <c r="H271" s="6" t="s">
        <v>4820</v>
      </c>
      <c r="I271" s="6" t="s">
        <v>3393</v>
      </c>
      <c r="J271" s="6" t="s">
        <v>4821</v>
      </c>
      <c r="K271" s="6" t="s">
        <v>4822</v>
      </c>
      <c r="L271" s="6" t="s">
        <v>4823</v>
      </c>
      <c r="M271" s="6" t="s">
        <v>4824</v>
      </c>
      <c r="N271" s="6" t="s">
        <v>4825</v>
      </c>
      <c r="O271" s="6" t="s">
        <v>4826</v>
      </c>
      <c r="P271" s="6" t="s">
        <v>4827</v>
      </c>
      <c r="Q271" s="6" t="s">
        <v>4828</v>
      </c>
      <c r="R271" s="6" t="s">
        <v>246</v>
      </c>
      <c r="S271" s="6" t="s">
        <v>147</v>
      </c>
      <c r="T271" s="6" t="s">
        <v>149</v>
      </c>
      <c r="U271" s="6" t="s">
        <v>560</v>
      </c>
      <c r="V271" s="6" t="s">
        <v>155</v>
      </c>
      <c r="W271" s="6" t="s">
        <v>158</v>
      </c>
      <c r="X271" s="6" t="s">
        <v>250</v>
      </c>
      <c r="Y271" s="6" t="s">
        <v>162</v>
      </c>
      <c r="Z271" s="6" t="s">
        <v>165</v>
      </c>
      <c r="AA271" s="6" t="s">
        <v>641</v>
      </c>
      <c r="AB271" s="6" t="s">
        <v>1266</v>
      </c>
      <c r="AC271" s="6" t="s">
        <v>174</v>
      </c>
      <c r="AD271" s="6" t="s">
        <v>175</v>
      </c>
      <c r="AE271" s="6" t="s">
        <v>271</v>
      </c>
      <c r="AF271" s="6" t="s">
        <v>181</v>
      </c>
      <c r="AG271" s="6" t="s">
        <v>182</v>
      </c>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row>
    <row r="272" ht="22.5" customHeight="1">
      <c r="A272" s="4">
        <v>46229.69834275463</v>
      </c>
      <c r="B272" s="5">
        <v>0.0</v>
      </c>
      <c r="C272" s="6" t="s">
        <v>114</v>
      </c>
      <c r="D272" s="6" t="s">
        <v>699</v>
      </c>
      <c r="E272" s="6" t="s">
        <v>700</v>
      </c>
      <c r="F272" s="6">
        <v>6.9070501806E10</v>
      </c>
      <c r="G272" s="6" t="s">
        <v>730</v>
      </c>
      <c r="H272" s="6" t="s">
        <v>4829</v>
      </c>
      <c r="I272" s="6" t="s">
        <v>4830</v>
      </c>
      <c r="J272" s="6" t="s">
        <v>4831</v>
      </c>
      <c r="K272" s="6" t="s">
        <v>4832</v>
      </c>
      <c r="L272" s="6" t="s">
        <v>4833</v>
      </c>
      <c r="M272" s="6" t="s">
        <v>4834</v>
      </c>
      <c r="N272" s="6" t="s">
        <v>3042</v>
      </c>
      <c r="O272" s="6" t="s">
        <v>4835</v>
      </c>
      <c r="P272" s="6" t="s">
        <v>4836</v>
      </c>
      <c r="Q272" s="6" t="s">
        <v>4837</v>
      </c>
      <c r="R272" s="6" t="s">
        <v>246</v>
      </c>
      <c r="S272" s="6" t="s">
        <v>147</v>
      </c>
      <c r="T272" s="6" t="s">
        <v>246</v>
      </c>
      <c r="U272" s="6" t="s">
        <v>252</v>
      </c>
      <c r="V272" s="6" t="s">
        <v>2302</v>
      </c>
      <c r="W272" s="6" t="s">
        <v>158</v>
      </c>
      <c r="X272" s="6" t="s">
        <v>257</v>
      </c>
      <c r="Y272" s="6" t="s">
        <v>162</v>
      </c>
      <c r="Z272" s="6" t="s">
        <v>165</v>
      </c>
      <c r="AA272" s="6" t="s">
        <v>262</v>
      </c>
      <c r="AB272" s="6" t="s">
        <v>1266</v>
      </c>
      <c r="AC272" s="6" t="s">
        <v>174</v>
      </c>
      <c r="AD272" s="6" t="s">
        <v>175</v>
      </c>
      <c r="AE272" s="6" t="s">
        <v>271</v>
      </c>
      <c r="AF272" s="6" t="s">
        <v>181</v>
      </c>
      <c r="AG272" s="6" t="s">
        <v>182</v>
      </c>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row>
    <row r="273" ht="22.5" customHeight="1">
      <c r="A273" s="4">
        <v>46229.69835508102</v>
      </c>
      <c r="B273" s="5">
        <v>0.0</v>
      </c>
      <c r="C273" s="6" t="s">
        <v>114</v>
      </c>
      <c r="D273" s="6" t="s">
        <v>701</v>
      </c>
      <c r="E273" s="6" t="s">
        <v>702</v>
      </c>
      <c r="F273" s="6">
        <v>6.9070502838E10</v>
      </c>
      <c r="G273" s="6" t="s">
        <v>310</v>
      </c>
      <c r="H273" s="7"/>
      <c r="I273" s="6" t="s">
        <v>4838</v>
      </c>
      <c r="J273" s="6" t="s">
        <v>4839</v>
      </c>
      <c r="K273" s="6" t="s">
        <v>4840</v>
      </c>
      <c r="L273" s="6" t="s">
        <v>4841</v>
      </c>
      <c r="M273" s="6" t="s">
        <v>4842</v>
      </c>
      <c r="N273" s="6" t="s">
        <v>4412</v>
      </c>
      <c r="O273" s="6" t="s">
        <v>4843</v>
      </c>
      <c r="P273" s="6" t="s">
        <v>4844</v>
      </c>
      <c r="Q273" s="6" t="s">
        <v>4845</v>
      </c>
      <c r="R273" s="6" t="s">
        <v>246</v>
      </c>
      <c r="S273" s="6" t="s">
        <v>147</v>
      </c>
      <c r="T273" s="6" t="s">
        <v>250</v>
      </c>
      <c r="U273" s="6" t="s">
        <v>252</v>
      </c>
      <c r="V273" s="6" t="s">
        <v>246</v>
      </c>
      <c r="W273" s="6" t="s">
        <v>158</v>
      </c>
      <c r="X273" s="6" t="s">
        <v>257</v>
      </c>
      <c r="Y273" s="6" t="s">
        <v>162</v>
      </c>
      <c r="Z273" s="6" t="s">
        <v>165</v>
      </c>
      <c r="AA273" s="6" t="s">
        <v>262</v>
      </c>
      <c r="AB273" s="6" t="s">
        <v>521</v>
      </c>
      <c r="AC273" s="6" t="s">
        <v>174</v>
      </c>
      <c r="AD273" s="6" t="s">
        <v>175</v>
      </c>
      <c r="AE273" s="6" t="s">
        <v>271</v>
      </c>
      <c r="AF273" s="6" t="s">
        <v>181</v>
      </c>
      <c r="AG273" s="6" t="s">
        <v>182</v>
      </c>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row>
    <row r="274" ht="22.5" customHeight="1">
      <c r="A274" s="4">
        <v>46229.69836613426</v>
      </c>
      <c r="B274" s="5">
        <v>0.0</v>
      </c>
      <c r="C274" s="6" t="s">
        <v>114</v>
      </c>
      <c r="D274" s="6" t="s">
        <v>703</v>
      </c>
      <c r="E274" s="6" t="s">
        <v>704</v>
      </c>
      <c r="F274" s="6">
        <v>6.9070502806E10</v>
      </c>
      <c r="G274" s="6" t="s">
        <v>310</v>
      </c>
      <c r="H274" s="7"/>
      <c r="I274" s="6" t="s">
        <v>4846</v>
      </c>
      <c r="J274" s="6" t="s">
        <v>4847</v>
      </c>
      <c r="K274" s="6" t="s">
        <v>4848</v>
      </c>
      <c r="L274" s="6" t="s">
        <v>4849</v>
      </c>
      <c r="M274" s="6" t="s">
        <v>4849</v>
      </c>
      <c r="N274" s="6" t="s">
        <v>4850</v>
      </c>
      <c r="O274" s="6" t="s">
        <v>4851</v>
      </c>
      <c r="P274" s="6" t="s">
        <v>4852</v>
      </c>
      <c r="Q274" s="6" t="s">
        <v>4853</v>
      </c>
      <c r="R274" s="6" t="s">
        <v>246</v>
      </c>
      <c r="S274" s="6" t="s">
        <v>147</v>
      </c>
      <c r="T274" s="6" t="s">
        <v>250</v>
      </c>
      <c r="U274" s="6" t="s">
        <v>252</v>
      </c>
      <c r="V274" s="6" t="s">
        <v>246</v>
      </c>
      <c r="W274" s="6" t="s">
        <v>158</v>
      </c>
      <c r="X274" s="6" t="s">
        <v>257</v>
      </c>
      <c r="Y274" s="6" t="s">
        <v>162</v>
      </c>
      <c r="Z274" s="6" t="s">
        <v>165</v>
      </c>
      <c r="AA274" s="6" t="s">
        <v>262</v>
      </c>
      <c r="AB274" s="6" t="s">
        <v>521</v>
      </c>
      <c r="AC274" s="6" t="s">
        <v>174</v>
      </c>
      <c r="AD274" s="6" t="s">
        <v>175</v>
      </c>
      <c r="AE274" s="6" t="s">
        <v>271</v>
      </c>
      <c r="AF274" s="6" t="s">
        <v>181</v>
      </c>
      <c r="AG274" s="6" t="s">
        <v>182</v>
      </c>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row>
    <row r="275" ht="22.5" customHeight="1">
      <c r="A275" s="4">
        <v>46229.69837859954</v>
      </c>
      <c r="B275" s="5">
        <v>0.0</v>
      </c>
      <c r="C275" s="6" t="s">
        <v>3296</v>
      </c>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6" t="s">
        <v>2630</v>
      </c>
      <c r="AI275" s="6" t="s">
        <v>2631</v>
      </c>
      <c r="AJ275" s="6">
        <v>6.9070503426E10</v>
      </c>
      <c r="AK275" s="6" t="s">
        <v>3297</v>
      </c>
      <c r="AL275" s="7"/>
      <c r="AM275" s="6" t="s">
        <v>4854</v>
      </c>
      <c r="AN275" s="6" t="s">
        <v>4855</v>
      </c>
      <c r="AO275" s="6" t="s">
        <v>4856</v>
      </c>
      <c r="AP275" s="6" t="s">
        <v>4857</v>
      </c>
      <c r="AQ275" s="6" t="s">
        <v>4215</v>
      </c>
      <c r="AR275" s="7"/>
      <c r="AS275" s="6" t="s">
        <v>4858</v>
      </c>
      <c r="AT275" s="6" t="s">
        <v>4859</v>
      </c>
      <c r="AU275" s="6" t="s">
        <v>4860</v>
      </c>
      <c r="AV275" s="6" t="s">
        <v>4861</v>
      </c>
      <c r="AW275" s="6" t="s">
        <v>3307</v>
      </c>
      <c r="AX275" s="6" t="s">
        <v>3308</v>
      </c>
      <c r="AY275" s="6" t="s">
        <v>4067</v>
      </c>
      <c r="AZ275" s="6" t="s">
        <v>3306</v>
      </c>
      <c r="BA275" s="6" t="s">
        <v>3311</v>
      </c>
      <c r="BB275" s="6" t="s">
        <v>3312</v>
      </c>
      <c r="BC275" s="6" t="s">
        <v>3313</v>
      </c>
      <c r="BD275" s="6" t="s">
        <v>165</v>
      </c>
      <c r="BE275" s="6" t="s">
        <v>3888</v>
      </c>
      <c r="BF275" s="6" t="s">
        <v>4862</v>
      </c>
      <c r="BG275" s="6" t="s">
        <v>4068</v>
      </c>
      <c r="BH275" s="6" t="s">
        <v>3317</v>
      </c>
      <c r="BI275" s="6" t="s">
        <v>271</v>
      </c>
      <c r="BJ275" s="6" t="s">
        <v>3318</v>
      </c>
      <c r="BK275" s="6" t="s">
        <v>3319</v>
      </c>
    </row>
    <row r="276" ht="22.5" customHeight="1">
      <c r="A276" s="4">
        <v>46229.698380636575</v>
      </c>
      <c r="B276" s="5">
        <v>0.0</v>
      </c>
      <c r="C276" s="6" t="s">
        <v>114</v>
      </c>
      <c r="D276" s="6" t="s">
        <v>705</v>
      </c>
      <c r="E276" s="6" t="s">
        <v>706</v>
      </c>
      <c r="F276" s="6">
        <v>6.9070500493E10</v>
      </c>
      <c r="G276" s="6" t="s">
        <v>310</v>
      </c>
      <c r="H276" s="6" t="s">
        <v>4863</v>
      </c>
      <c r="I276" s="6" t="s">
        <v>4863</v>
      </c>
      <c r="J276" s="6" t="s">
        <v>4864</v>
      </c>
      <c r="K276" s="6" t="s">
        <v>4865</v>
      </c>
      <c r="L276" s="6" t="s">
        <v>4866</v>
      </c>
      <c r="M276" s="6" t="s">
        <v>4732</v>
      </c>
      <c r="N276" s="7"/>
      <c r="O276" s="6" t="s">
        <v>4867</v>
      </c>
      <c r="P276" s="6" t="s">
        <v>4868</v>
      </c>
      <c r="Q276" s="6" t="s">
        <v>4869</v>
      </c>
      <c r="R276" s="6" t="s">
        <v>246</v>
      </c>
      <c r="S276" s="6" t="s">
        <v>147</v>
      </c>
      <c r="T276" s="6" t="s">
        <v>246</v>
      </c>
      <c r="U276" s="6" t="s">
        <v>560</v>
      </c>
      <c r="V276" s="6" t="s">
        <v>246</v>
      </c>
      <c r="W276" s="6" t="s">
        <v>158</v>
      </c>
      <c r="X276" s="6" t="s">
        <v>458</v>
      </c>
      <c r="Y276" s="6" t="s">
        <v>162</v>
      </c>
      <c r="Z276" s="6" t="s">
        <v>165</v>
      </c>
      <c r="AA276" s="6" t="s">
        <v>262</v>
      </c>
      <c r="AB276" s="6" t="s">
        <v>171</v>
      </c>
      <c r="AC276" s="6" t="s">
        <v>174</v>
      </c>
      <c r="AD276" s="6" t="s">
        <v>175</v>
      </c>
      <c r="AE276" s="6" t="s">
        <v>1211</v>
      </c>
      <c r="AF276" s="6" t="s">
        <v>181</v>
      </c>
      <c r="AG276" s="6" t="s">
        <v>182</v>
      </c>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row>
    <row r="277" ht="22.5" customHeight="1">
      <c r="A277" s="4">
        <v>46229.698387349534</v>
      </c>
      <c r="B277" s="5">
        <v>0.0</v>
      </c>
      <c r="C277" s="6" t="s">
        <v>114</v>
      </c>
      <c r="D277" s="6" t="s">
        <v>707</v>
      </c>
      <c r="E277" s="6" t="s">
        <v>708</v>
      </c>
      <c r="F277" s="6">
        <v>6.9070502809E10</v>
      </c>
      <c r="G277" s="6" t="s">
        <v>310</v>
      </c>
      <c r="H277" s="6" t="s">
        <v>2633</v>
      </c>
      <c r="I277" s="6" t="s">
        <v>4870</v>
      </c>
      <c r="J277" s="6" t="s">
        <v>4871</v>
      </c>
      <c r="K277" s="6" t="s">
        <v>4872</v>
      </c>
      <c r="L277" s="6" t="s">
        <v>4873</v>
      </c>
      <c r="M277" s="6" t="s">
        <v>3555</v>
      </c>
      <c r="N277" s="6" t="s">
        <v>4874</v>
      </c>
      <c r="O277" s="6" t="s">
        <v>4875</v>
      </c>
      <c r="P277" s="6" t="s">
        <v>4876</v>
      </c>
      <c r="Q277" s="6" t="s">
        <v>4877</v>
      </c>
      <c r="R277" s="6" t="s">
        <v>246</v>
      </c>
      <c r="S277" s="6" t="s">
        <v>147</v>
      </c>
      <c r="T277" s="6" t="s">
        <v>250</v>
      </c>
      <c r="U277" s="6" t="s">
        <v>252</v>
      </c>
      <c r="V277" s="6" t="s">
        <v>246</v>
      </c>
      <c r="W277" s="6" t="s">
        <v>158</v>
      </c>
      <c r="X277" s="6" t="s">
        <v>257</v>
      </c>
      <c r="Y277" s="6" t="s">
        <v>162</v>
      </c>
      <c r="Z277" s="6" t="s">
        <v>165</v>
      </c>
      <c r="AA277" s="6" t="s">
        <v>262</v>
      </c>
      <c r="AB277" s="6" t="s">
        <v>521</v>
      </c>
      <c r="AC277" s="6" t="s">
        <v>174</v>
      </c>
      <c r="AD277" s="6" t="s">
        <v>175</v>
      </c>
      <c r="AE277" s="6" t="s">
        <v>271</v>
      </c>
      <c r="AF277" s="6" t="s">
        <v>181</v>
      </c>
      <c r="AG277" s="6" t="s">
        <v>182</v>
      </c>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row>
    <row r="278" ht="22.5" customHeight="1">
      <c r="A278" s="4">
        <v>46229.69840597222</v>
      </c>
      <c r="B278" s="5">
        <v>0.0</v>
      </c>
      <c r="C278" s="6" t="s">
        <v>3296</v>
      </c>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6" t="s">
        <v>2632</v>
      </c>
      <c r="AI278" s="6" t="s">
        <v>2633</v>
      </c>
      <c r="AJ278" s="6">
        <v>6.9070503495E10</v>
      </c>
      <c r="AK278" s="6" t="s">
        <v>3297</v>
      </c>
      <c r="AL278" s="6" t="s">
        <v>4878</v>
      </c>
      <c r="AM278" s="6" t="s">
        <v>4879</v>
      </c>
      <c r="AN278" s="6" t="s">
        <v>4880</v>
      </c>
      <c r="AO278" s="6" t="s">
        <v>4881</v>
      </c>
      <c r="AP278" s="6" t="s">
        <v>4882</v>
      </c>
      <c r="AQ278" s="6" t="s">
        <v>4883</v>
      </c>
      <c r="AR278" s="6" t="s">
        <v>2633</v>
      </c>
      <c r="AS278" s="6" t="s">
        <v>4884</v>
      </c>
      <c r="AT278" s="6" t="s">
        <v>4885</v>
      </c>
      <c r="AU278" s="6" t="s">
        <v>4886</v>
      </c>
      <c r="AV278" s="6" t="s">
        <v>3306</v>
      </c>
      <c r="AW278" s="6" t="s">
        <v>3307</v>
      </c>
      <c r="AX278" s="6" t="s">
        <v>4887</v>
      </c>
      <c r="AY278" s="6" t="s">
        <v>3309</v>
      </c>
      <c r="AZ278" s="6" t="s">
        <v>3306</v>
      </c>
      <c r="BA278" s="6" t="s">
        <v>3311</v>
      </c>
      <c r="BB278" s="6" t="s">
        <v>4693</v>
      </c>
      <c r="BC278" s="6" t="s">
        <v>3313</v>
      </c>
      <c r="BD278" s="6" t="s">
        <v>165</v>
      </c>
      <c r="BE278" s="6" t="s">
        <v>4341</v>
      </c>
      <c r="BF278" s="6" t="s">
        <v>3315</v>
      </c>
      <c r="BG278" s="6" t="s">
        <v>4068</v>
      </c>
      <c r="BH278" s="6" t="s">
        <v>3317</v>
      </c>
      <c r="BI278" s="6" t="s">
        <v>524</v>
      </c>
      <c r="BJ278" s="6" t="s">
        <v>3318</v>
      </c>
      <c r="BK278" s="6" t="s">
        <v>3319</v>
      </c>
    </row>
    <row r="279" ht="22.5" customHeight="1">
      <c r="A279" s="4">
        <v>46229.698406469906</v>
      </c>
      <c r="B279" s="5">
        <v>0.0</v>
      </c>
      <c r="C279" s="6" t="s">
        <v>114</v>
      </c>
      <c r="D279" s="6" t="s">
        <v>709</v>
      </c>
      <c r="E279" s="6" t="s">
        <v>710</v>
      </c>
      <c r="F279" s="6">
        <v>6.9070502459E10</v>
      </c>
      <c r="G279" s="6" t="s">
        <v>122</v>
      </c>
      <c r="H279" s="7"/>
      <c r="I279" s="6" t="s">
        <v>4888</v>
      </c>
      <c r="J279" s="6" t="s">
        <v>4889</v>
      </c>
      <c r="K279" s="6" t="s">
        <v>4890</v>
      </c>
      <c r="L279" s="6" t="s">
        <v>4891</v>
      </c>
      <c r="M279" s="6" t="s">
        <v>4892</v>
      </c>
      <c r="N279" s="6" t="s">
        <v>4893</v>
      </c>
      <c r="O279" s="6" t="s">
        <v>4894</v>
      </c>
      <c r="P279" s="6" t="s">
        <v>4895</v>
      </c>
      <c r="Q279" s="6" t="s">
        <v>4896</v>
      </c>
      <c r="R279" s="6" t="s">
        <v>246</v>
      </c>
      <c r="S279" s="6" t="s">
        <v>147</v>
      </c>
      <c r="T279" s="6" t="s">
        <v>250</v>
      </c>
      <c r="U279" s="6" t="s">
        <v>252</v>
      </c>
      <c r="V279" s="6" t="s">
        <v>246</v>
      </c>
      <c r="W279" s="6" t="s">
        <v>158</v>
      </c>
      <c r="X279" s="6" t="s">
        <v>257</v>
      </c>
      <c r="Y279" s="6" t="s">
        <v>162</v>
      </c>
      <c r="Z279" s="6" t="s">
        <v>165</v>
      </c>
      <c r="AA279" s="6" t="s">
        <v>262</v>
      </c>
      <c r="AB279" s="6" t="s">
        <v>171</v>
      </c>
      <c r="AC279" s="6" t="s">
        <v>174</v>
      </c>
      <c r="AD279" s="6" t="s">
        <v>175</v>
      </c>
      <c r="AE279" s="6" t="s">
        <v>271</v>
      </c>
      <c r="AF279" s="6" t="s">
        <v>181</v>
      </c>
      <c r="AG279" s="6" t="s">
        <v>182</v>
      </c>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row>
    <row r="280" ht="22.5" customHeight="1">
      <c r="A280" s="4">
        <v>46229.69840847222</v>
      </c>
      <c r="B280" s="5">
        <v>0.0</v>
      </c>
      <c r="C280" s="6" t="s">
        <v>114</v>
      </c>
      <c r="D280" s="6" t="s">
        <v>711</v>
      </c>
      <c r="E280" s="6" t="s">
        <v>712</v>
      </c>
      <c r="F280" s="6">
        <v>6.9070506414E10</v>
      </c>
      <c r="G280" s="6" t="s">
        <v>599</v>
      </c>
      <c r="H280" s="7"/>
      <c r="I280" s="6" t="s">
        <v>3161</v>
      </c>
      <c r="J280" s="6" t="s">
        <v>3658</v>
      </c>
      <c r="K280" s="6" t="s">
        <v>4897</v>
      </c>
      <c r="L280" s="6" t="s">
        <v>4898</v>
      </c>
      <c r="M280" s="6" t="s">
        <v>4899</v>
      </c>
      <c r="N280" s="6" t="s">
        <v>4900</v>
      </c>
      <c r="O280" s="6" t="s">
        <v>4901</v>
      </c>
      <c r="P280" s="6" t="s">
        <v>4902</v>
      </c>
      <c r="Q280" s="6" t="s">
        <v>4903</v>
      </c>
      <c r="R280" s="6" t="s">
        <v>246</v>
      </c>
      <c r="S280" s="6" t="s">
        <v>147</v>
      </c>
      <c r="T280" s="6" t="s">
        <v>250</v>
      </c>
      <c r="U280" s="6" t="s">
        <v>686</v>
      </c>
      <c r="V280" s="6" t="s">
        <v>246</v>
      </c>
      <c r="W280" s="6" t="s">
        <v>158</v>
      </c>
      <c r="X280" s="6" t="s">
        <v>257</v>
      </c>
      <c r="Y280" s="6" t="s">
        <v>162</v>
      </c>
      <c r="Z280" s="6" t="s">
        <v>165</v>
      </c>
      <c r="AA280" s="6" t="s">
        <v>262</v>
      </c>
      <c r="AB280" s="6" t="s">
        <v>521</v>
      </c>
      <c r="AC280" s="6" t="s">
        <v>174</v>
      </c>
      <c r="AD280" s="6" t="s">
        <v>175</v>
      </c>
      <c r="AE280" s="6" t="s">
        <v>271</v>
      </c>
      <c r="AF280" s="6" t="s">
        <v>181</v>
      </c>
      <c r="AG280" s="6" t="s">
        <v>182</v>
      </c>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row>
    <row r="281" ht="22.5" customHeight="1">
      <c r="A281" s="4">
        <v>46229.698412997684</v>
      </c>
      <c r="B281" s="5">
        <v>0.0</v>
      </c>
      <c r="C281" s="6" t="s">
        <v>114</v>
      </c>
      <c r="D281" s="6" t="s">
        <v>713</v>
      </c>
      <c r="E281" s="6" t="s">
        <v>714</v>
      </c>
      <c r="F281" s="6">
        <v>6.9070500888E10</v>
      </c>
      <c r="G281" s="6" t="s">
        <v>496</v>
      </c>
      <c r="H281" s="6" t="s">
        <v>4904</v>
      </c>
      <c r="I281" s="6" t="s">
        <v>4905</v>
      </c>
      <c r="J281" s="6" t="s">
        <v>4906</v>
      </c>
      <c r="K281" s="6" t="s">
        <v>4907</v>
      </c>
      <c r="L281" s="6" t="s">
        <v>4908</v>
      </c>
      <c r="M281" s="6" t="s">
        <v>4909</v>
      </c>
      <c r="N281" s="7"/>
      <c r="O281" s="6" t="s">
        <v>4910</v>
      </c>
      <c r="P281" s="6" t="s">
        <v>4911</v>
      </c>
      <c r="Q281" s="6" t="s">
        <v>4912</v>
      </c>
      <c r="R281" s="6" t="s">
        <v>246</v>
      </c>
      <c r="S281" s="6" t="s">
        <v>147</v>
      </c>
      <c r="T281" s="6" t="s">
        <v>250</v>
      </c>
      <c r="U281" s="6" t="s">
        <v>252</v>
      </c>
      <c r="V281" s="6" t="s">
        <v>246</v>
      </c>
      <c r="W281" s="6" t="s">
        <v>158</v>
      </c>
      <c r="X281" s="6" t="s">
        <v>257</v>
      </c>
      <c r="Y281" s="6" t="s">
        <v>162</v>
      </c>
      <c r="Z281" s="6" t="s">
        <v>165</v>
      </c>
      <c r="AA281" s="6" t="s">
        <v>262</v>
      </c>
      <c r="AB281" s="6" t="s">
        <v>521</v>
      </c>
      <c r="AC281" s="6" t="s">
        <v>174</v>
      </c>
      <c r="AD281" s="6" t="s">
        <v>1723</v>
      </c>
      <c r="AE281" s="6" t="s">
        <v>3105</v>
      </c>
      <c r="AF281" s="6" t="s">
        <v>181</v>
      </c>
      <c r="AG281" s="6" t="s">
        <v>182</v>
      </c>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row>
    <row r="282" ht="22.5" customHeight="1">
      <c r="A282" s="4">
        <v>46229.69841305555</v>
      </c>
      <c r="B282" s="5">
        <v>0.0</v>
      </c>
      <c r="C282" s="6" t="s">
        <v>114</v>
      </c>
      <c r="D282" s="6" t="s">
        <v>715</v>
      </c>
      <c r="E282" s="6" t="s">
        <v>716</v>
      </c>
      <c r="F282" s="6">
        <v>6.9070501844E10</v>
      </c>
      <c r="G282" s="6" t="s">
        <v>730</v>
      </c>
      <c r="H282" s="7"/>
      <c r="I282" s="6" t="s">
        <v>4913</v>
      </c>
      <c r="J282" s="6" t="s">
        <v>4914</v>
      </c>
      <c r="K282" s="6" t="s">
        <v>4915</v>
      </c>
      <c r="L282" s="6" t="s">
        <v>4916</v>
      </c>
      <c r="M282" s="6" t="s">
        <v>4917</v>
      </c>
      <c r="N282" s="7"/>
      <c r="O282" s="6" t="s">
        <v>4918</v>
      </c>
      <c r="P282" s="6" t="s">
        <v>4919</v>
      </c>
      <c r="Q282" s="6" t="s">
        <v>4920</v>
      </c>
      <c r="R282" s="6" t="s">
        <v>246</v>
      </c>
      <c r="S282" s="6" t="s">
        <v>147</v>
      </c>
      <c r="T282" s="6" t="s">
        <v>250</v>
      </c>
      <c r="U282" s="6" t="s">
        <v>252</v>
      </c>
      <c r="V282" s="6" t="s">
        <v>246</v>
      </c>
      <c r="W282" s="6" t="s">
        <v>158</v>
      </c>
      <c r="X282" s="6" t="s">
        <v>257</v>
      </c>
      <c r="Y282" s="6" t="s">
        <v>162</v>
      </c>
      <c r="Z282" s="6" t="s">
        <v>165</v>
      </c>
      <c r="AA282" s="6" t="s">
        <v>262</v>
      </c>
      <c r="AB282" s="6" t="s">
        <v>521</v>
      </c>
      <c r="AC282" s="6" t="s">
        <v>1669</v>
      </c>
      <c r="AD282" s="6" t="s">
        <v>175</v>
      </c>
      <c r="AE282" s="6" t="s">
        <v>271</v>
      </c>
      <c r="AF282" s="6" t="s">
        <v>181</v>
      </c>
      <c r="AG282" s="6" t="s">
        <v>182</v>
      </c>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row>
    <row r="283" ht="22.5" customHeight="1">
      <c r="A283" s="4">
        <v>46229.698414224535</v>
      </c>
      <c r="B283" s="5">
        <v>0.0</v>
      </c>
      <c r="C283" s="6" t="s">
        <v>114</v>
      </c>
      <c r="D283" s="6" t="s">
        <v>482</v>
      </c>
      <c r="E283" s="6" t="s">
        <v>717</v>
      </c>
      <c r="F283" s="6">
        <v>6.9070500834E10</v>
      </c>
      <c r="G283" s="6" t="s">
        <v>496</v>
      </c>
      <c r="H283" s="7"/>
      <c r="I283" s="6" t="s">
        <v>4921</v>
      </c>
      <c r="J283" s="6" t="s">
        <v>4922</v>
      </c>
      <c r="K283" s="6" t="s">
        <v>4923</v>
      </c>
      <c r="L283" s="6" t="s">
        <v>4924</v>
      </c>
      <c r="M283" s="6" t="s">
        <v>4925</v>
      </c>
      <c r="N283" s="6" t="s">
        <v>4926</v>
      </c>
      <c r="O283" s="6" t="s">
        <v>4927</v>
      </c>
      <c r="P283" s="6" t="s">
        <v>4928</v>
      </c>
      <c r="Q283" s="6" t="s">
        <v>4929</v>
      </c>
      <c r="R283" s="6" t="s">
        <v>246</v>
      </c>
      <c r="S283" s="6" t="s">
        <v>147</v>
      </c>
      <c r="T283" s="6" t="s">
        <v>246</v>
      </c>
      <c r="U283" s="6" t="s">
        <v>686</v>
      </c>
      <c r="V283" s="6" t="s">
        <v>246</v>
      </c>
      <c r="W283" s="6" t="s">
        <v>158</v>
      </c>
      <c r="X283" s="6" t="s">
        <v>458</v>
      </c>
      <c r="Y283" s="6" t="s">
        <v>162</v>
      </c>
      <c r="Z283" s="6" t="s">
        <v>165</v>
      </c>
      <c r="AA283" s="6" t="s">
        <v>262</v>
      </c>
      <c r="AB283" s="6" t="s">
        <v>171</v>
      </c>
      <c r="AC283" s="6" t="s">
        <v>1669</v>
      </c>
      <c r="AD283" s="6" t="s">
        <v>175</v>
      </c>
      <c r="AE283" s="6" t="s">
        <v>271</v>
      </c>
      <c r="AF283" s="6" t="s">
        <v>181</v>
      </c>
      <c r="AG283" s="6" t="s">
        <v>182</v>
      </c>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row>
    <row r="284" ht="22.5" customHeight="1">
      <c r="A284" s="4">
        <v>46229.69841704861</v>
      </c>
      <c r="B284" s="5">
        <v>0.0</v>
      </c>
      <c r="C284" s="6" t="s">
        <v>114</v>
      </c>
      <c r="D284" s="6" t="s">
        <v>718</v>
      </c>
      <c r="E284" s="6" t="s">
        <v>719</v>
      </c>
      <c r="F284" s="6">
        <v>6.9070505212E10</v>
      </c>
      <c r="G284" s="6" t="s">
        <v>1470</v>
      </c>
      <c r="H284" s="7"/>
      <c r="I284" s="6" t="s">
        <v>4930</v>
      </c>
      <c r="J284" s="6" t="s">
        <v>4931</v>
      </c>
      <c r="K284" s="6" t="s">
        <v>4932</v>
      </c>
      <c r="L284" s="6" t="s">
        <v>4933</v>
      </c>
      <c r="M284" s="6" t="s">
        <v>4934</v>
      </c>
      <c r="N284" s="6" t="s">
        <v>3635</v>
      </c>
      <c r="O284" s="6" t="s">
        <v>4935</v>
      </c>
      <c r="P284" s="6" t="s">
        <v>4936</v>
      </c>
      <c r="Q284" s="6" t="s">
        <v>4937</v>
      </c>
      <c r="R284" s="6" t="s">
        <v>257</v>
      </c>
      <c r="S284" s="6" t="s">
        <v>147</v>
      </c>
      <c r="T284" s="6" t="s">
        <v>516</v>
      </c>
      <c r="U284" s="6" t="s">
        <v>252</v>
      </c>
      <c r="V284" s="6" t="s">
        <v>155</v>
      </c>
      <c r="W284" s="6" t="s">
        <v>158</v>
      </c>
      <c r="X284" s="6" t="s">
        <v>458</v>
      </c>
      <c r="Y284" s="6" t="s">
        <v>162</v>
      </c>
      <c r="Z284" s="6" t="s">
        <v>165</v>
      </c>
      <c r="AA284" s="6" t="s">
        <v>262</v>
      </c>
      <c r="AB284" s="6" t="s">
        <v>171</v>
      </c>
      <c r="AC284" s="6" t="s">
        <v>1669</v>
      </c>
      <c r="AD284" s="6" t="s">
        <v>175</v>
      </c>
      <c r="AE284" s="6" t="s">
        <v>271</v>
      </c>
      <c r="AF284" s="6" t="s">
        <v>181</v>
      </c>
      <c r="AG284" s="6" t="s">
        <v>182</v>
      </c>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row>
    <row r="285" ht="22.5" customHeight="1">
      <c r="A285" s="4">
        <v>46229.69842122685</v>
      </c>
      <c r="B285" s="5">
        <v>0.0</v>
      </c>
      <c r="C285" s="6" t="s">
        <v>114</v>
      </c>
      <c r="D285" s="6" t="s">
        <v>720</v>
      </c>
      <c r="E285" s="6" t="s">
        <v>721</v>
      </c>
      <c r="F285" s="6">
        <v>6.9070502218E10</v>
      </c>
      <c r="G285" s="6" t="s">
        <v>496</v>
      </c>
      <c r="H285" s="6">
        <v>1.6</v>
      </c>
      <c r="I285" s="6" t="s">
        <v>4938</v>
      </c>
      <c r="J285" s="6" t="s">
        <v>4939</v>
      </c>
      <c r="K285" s="6" t="s">
        <v>4940</v>
      </c>
      <c r="L285" s="6" t="s">
        <v>4941</v>
      </c>
      <c r="M285" s="6" t="s">
        <v>4942</v>
      </c>
      <c r="N285" s="6" t="s">
        <v>4943</v>
      </c>
      <c r="O285" s="6" t="s">
        <v>4944</v>
      </c>
      <c r="P285" s="6" t="s">
        <v>4945</v>
      </c>
      <c r="Q285" s="6" t="s">
        <v>4946</v>
      </c>
      <c r="R285" s="6" t="s">
        <v>246</v>
      </c>
      <c r="S285" s="6" t="s">
        <v>147</v>
      </c>
      <c r="T285" s="6" t="s">
        <v>250</v>
      </c>
      <c r="U285" s="6" t="s">
        <v>560</v>
      </c>
      <c r="V285" s="6" t="s">
        <v>155</v>
      </c>
      <c r="W285" s="6" t="s">
        <v>158</v>
      </c>
      <c r="X285" s="6" t="s">
        <v>257</v>
      </c>
      <c r="Y285" s="6" t="s">
        <v>162</v>
      </c>
      <c r="Z285" s="6" t="s">
        <v>165</v>
      </c>
      <c r="AA285" s="6" t="s">
        <v>262</v>
      </c>
      <c r="AB285" s="6" t="s">
        <v>521</v>
      </c>
      <c r="AC285" s="6" t="s">
        <v>174</v>
      </c>
      <c r="AD285" s="6" t="s">
        <v>175</v>
      </c>
      <c r="AE285" s="6" t="s">
        <v>271</v>
      </c>
      <c r="AF285" s="6" t="s">
        <v>181</v>
      </c>
      <c r="AG285" s="6" t="s">
        <v>182</v>
      </c>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row>
    <row r="286" ht="22.5" customHeight="1">
      <c r="A286" s="4">
        <v>46229.69842216435</v>
      </c>
      <c r="B286" s="5">
        <v>0.0</v>
      </c>
      <c r="C286" s="6" t="s">
        <v>114</v>
      </c>
      <c r="D286" s="6" t="s">
        <v>722</v>
      </c>
      <c r="E286" s="6" t="s">
        <v>723</v>
      </c>
      <c r="F286" s="6">
        <v>6.9070500802E10</v>
      </c>
      <c r="G286" s="6" t="s">
        <v>496</v>
      </c>
      <c r="H286" s="7"/>
      <c r="I286" s="6" t="s">
        <v>4947</v>
      </c>
      <c r="J286" s="6" t="s">
        <v>4925</v>
      </c>
      <c r="K286" s="6" t="s">
        <v>4948</v>
      </c>
      <c r="L286" s="6" t="s">
        <v>4949</v>
      </c>
      <c r="M286" s="6" t="s">
        <v>4950</v>
      </c>
      <c r="N286" s="7"/>
      <c r="O286" s="6" t="s">
        <v>4951</v>
      </c>
      <c r="P286" s="6" t="s">
        <v>4952</v>
      </c>
      <c r="Q286" s="6" t="s">
        <v>4953</v>
      </c>
      <c r="R286" s="6" t="s">
        <v>246</v>
      </c>
      <c r="S286" s="6" t="s">
        <v>147</v>
      </c>
      <c r="T286" s="6" t="s">
        <v>250</v>
      </c>
      <c r="U286" s="6" t="s">
        <v>252</v>
      </c>
      <c r="V286" s="6" t="s">
        <v>246</v>
      </c>
      <c r="W286" s="6" t="s">
        <v>158</v>
      </c>
      <c r="X286" s="6" t="s">
        <v>246</v>
      </c>
      <c r="Y286" s="6" t="s">
        <v>162</v>
      </c>
      <c r="Z286" s="6" t="s">
        <v>165</v>
      </c>
      <c r="AA286" s="6" t="s">
        <v>262</v>
      </c>
      <c r="AB286" s="6" t="s">
        <v>171</v>
      </c>
      <c r="AC286" s="6" t="s">
        <v>1669</v>
      </c>
      <c r="AD286" s="6" t="s">
        <v>175</v>
      </c>
      <c r="AE286" s="6" t="s">
        <v>271</v>
      </c>
      <c r="AF286" s="6" t="s">
        <v>181</v>
      </c>
      <c r="AG286" s="6" t="s">
        <v>182</v>
      </c>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row>
    <row r="287" ht="22.5" customHeight="1">
      <c r="A287" s="4">
        <v>46229.698423078706</v>
      </c>
      <c r="B287" s="5">
        <v>0.0</v>
      </c>
      <c r="C287" s="6" t="s">
        <v>114</v>
      </c>
      <c r="D287" s="6" t="s">
        <v>724</v>
      </c>
      <c r="E287" s="6" t="s">
        <v>725</v>
      </c>
      <c r="F287" s="6">
        <v>6.9070502817E10</v>
      </c>
      <c r="G287" s="6" t="s">
        <v>310</v>
      </c>
      <c r="H287" s="7"/>
      <c r="I287" s="6" t="s">
        <v>4872</v>
      </c>
      <c r="J287" s="6" t="s">
        <v>4954</v>
      </c>
      <c r="K287" s="6" t="s">
        <v>4870</v>
      </c>
      <c r="L287" s="6" t="s">
        <v>4955</v>
      </c>
      <c r="M287" s="6" t="s">
        <v>4956</v>
      </c>
      <c r="N287" s="7"/>
      <c r="O287" s="6" t="s">
        <v>4957</v>
      </c>
      <c r="P287" s="6" t="s">
        <v>4958</v>
      </c>
      <c r="Q287" s="6" t="s">
        <v>4959</v>
      </c>
      <c r="R287" s="6" t="s">
        <v>246</v>
      </c>
      <c r="S287" s="6" t="s">
        <v>147</v>
      </c>
      <c r="T287" s="6" t="s">
        <v>250</v>
      </c>
      <c r="U287" s="6" t="s">
        <v>560</v>
      </c>
      <c r="V287" s="6" t="s">
        <v>246</v>
      </c>
      <c r="W287" s="6" t="s">
        <v>158</v>
      </c>
      <c r="X287" s="6" t="s">
        <v>246</v>
      </c>
      <c r="Y287" s="6" t="s">
        <v>162</v>
      </c>
      <c r="Z287" s="6" t="s">
        <v>165</v>
      </c>
      <c r="AA287" s="6" t="s">
        <v>262</v>
      </c>
      <c r="AB287" s="6" t="s">
        <v>171</v>
      </c>
      <c r="AC287" s="6" t="s">
        <v>174</v>
      </c>
      <c r="AD287" s="6" t="s">
        <v>175</v>
      </c>
      <c r="AE287" s="6" t="s">
        <v>271</v>
      </c>
      <c r="AF287" s="6" t="s">
        <v>181</v>
      </c>
      <c r="AG287" s="6" t="s">
        <v>182</v>
      </c>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row>
    <row r="288" ht="22.5" customHeight="1">
      <c r="A288" s="4">
        <v>46229.69842444445</v>
      </c>
      <c r="B288" s="5">
        <v>0.0</v>
      </c>
      <c r="C288" s="6" t="s">
        <v>114</v>
      </c>
      <c r="D288" s="6" t="s">
        <v>726</v>
      </c>
      <c r="E288" s="6" t="s">
        <v>727</v>
      </c>
      <c r="F288" s="6">
        <v>6.9070500271E10</v>
      </c>
      <c r="G288" s="6" t="s">
        <v>599</v>
      </c>
      <c r="H288" s="7"/>
      <c r="I288" s="6" t="s">
        <v>4960</v>
      </c>
      <c r="J288" s="6" t="s">
        <v>4961</v>
      </c>
      <c r="K288" s="6" t="s">
        <v>4962</v>
      </c>
      <c r="L288" s="6" t="s">
        <v>4963</v>
      </c>
      <c r="M288" s="6" t="s">
        <v>4964</v>
      </c>
      <c r="N288" s="7"/>
      <c r="O288" s="6" t="s">
        <v>4965</v>
      </c>
      <c r="P288" s="6" t="s">
        <v>4966</v>
      </c>
      <c r="Q288" s="6" t="s">
        <v>4967</v>
      </c>
      <c r="R288" s="6" t="s">
        <v>246</v>
      </c>
      <c r="S288" s="6" t="s">
        <v>147</v>
      </c>
      <c r="T288" s="6" t="s">
        <v>250</v>
      </c>
      <c r="U288" s="6" t="s">
        <v>686</v>
      </c>
      <c r="V288" s="6" t="s">
        <v>246</v>
      </c>
      <c r="W288" s="6" t="s">
        <v>158</v>
      </c>
      <c r="X288" s="6" t="s">
        <v>257</v>
      </c>
      <c r="Y288" s="6" t="s">
        <v>162</v>
      </c>
      <c r="Z288" s="6" t="s">
        <v>165</v>
      </c>
      <c r="AA288" s="6" t="s">
        <v>262</v>
      </c>
      <c r="AB288" s="6" t="s">
        <v>521</v>
      </c>
      <c r="AC288" s="6" t="s">
        <v>174</v>
      </c>
      <c r="AD288" s="6" t="s">
        <v>175</v>
      </c>
      <c r="AE288" s="6" t="s">
        <v>271</v>
      </c>
      <c r="AF288" s="6" t="s">
        <v>181</v>
      </c>
      <c r="AG288" s="6" t="s">
        <v>182</v>
      </c>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row>
    <row r="289" ht="22.5" customHeight="1">
      <c r="A289" s="4">
        <v>46229.69842579861</v>
      </c>
      <c r="B289" s="5">
        <v>0.0</v>
      </c>
      <c r="C289" s="6" t="s">
        <v>114</v>
      </c>
      <c r="D289" s="6" t="s">
        <v>728</v>
      </c>
      <c r="E289" s="6" t="s">
        <v>729</v>
      </c>
      <c r="F289" s="6">
        <v>6.9070502232E10</v>
      </c>
      <c r="G289" s="6" t="s">
        <v>496</v>
      </c>
      <c r="H289" s="7"/>
      <c r="I289" s="6" t="s">
        <v>4968</v>
      </c>
      <c r="J289" s="6" t="s">
        <v>4969</v>
      </c>
      <c r="K289" s="6" t="s">
        <v>4970</v>
      </c>
      <c r="L289" s="6" t="s">
        <v>4971</v>
      </c>
      <c r="M289" s="6" t="s">
        <v>4972</v>
      </c>
      <c r="N289" s="6" t="s">
        <v>4973</v>
      </c>
      <c r="O289" s="6" t="s">
        <v>4974</v>
      </c>
      <c r="P289" s="6" t="s">
        <v>4975</v>
      </c>
      <c r="Q289" s="6" t="s">
        <v>4976</v>
      </c>
      <c r="R289" s="6" t="s">
        <v>246</v>
      </c>
      <c r="S289" s="6" t="s">
        <v>147</v>
      </c>
      <c r="T289" s="6" t="s">
        <v>250</v>
      </c>
      <c r="U289" s="6" t="s">
        <v>560</v>
      </c>
      <c r="V289" s="6" t="s">
        <v>246</v>
      </c>
      <c r="W289" s="6" t="s">
        <v>158</v>
      </c>
      <c r="X289" s="6" t="s">
        <v>257</v>
      </c>
      <c r="Y289" s="6" t="s">
        <v>162</v>
      </c>
      <c r="Z289" s="6" t="s">
        <v>165</v>
      </c>
      <c r="AA289" s="6" t="s">
        <v>262</v>
      </c>
      <c r="AB289" s="6" t="s">
        <v>1266</v>
      </c>
      <c r="AC289" s="6" t="s">
        <v>174</v>
      </c>
      <c r="AD289" s="6" t="s">
        <v>175</v>
      </c>
      <c r="AE289" s="6" t="s">
        <v>271</v>
      </c>
      <c r="AF289" s="6" t="s">
        <v>181</v>
      </c>
      <c r="AG289" s="6" t="s">
        <v>182</v>
      </c>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row>
    <row r="290" ht="22.5" customHeight="1">
      <c r="A290" s="4">
        <v>46229.69842943287</v>
      </c>
      <c r="B290" s="5">
        <v>0.0</v>
      </c>
      <c r="C290" s="6" t="s">
        <v>114</v>
      </c>
      <c r="D290" s="6" t="s">
        <v>731</v>
      </c>
      <c r="E290" s="6" t="s">
        <v>732</v>
      </c>
      <c r="F290" s="6">
        <v>6.9070502834E10</v>
      </c>
      <c r="G290" s="6" t="s">
        <v>310</v>
      </c>
      <c r="H290" s="7"/>
      <c r="I290" s="6" t="s">
        <v>3475</v>
      </c>
      <c r="J290" s="6" t="s">
        <v>4977</v>
      </c>
      <c r="K290" s="6" t="s">
        <v>3555</v>
      </c>
      <c r="L290" s="6" t="s">
        <v>4871</v>
      </c>
      <c r="M290" s="6" t="s">
        <v>3562</v>
      </c>
      <c r="N290" s="6" t="s">
        <v>4978</v>
      </c>
      <c r="O290" s="6" t="s">
        <v>4979</v>
      </c>
      <c r="P290" s="6" t="s">
        <v>4980</v>
      </c>
      <c r="Q290" s="6" t="s">
        <v>4981</v>
      </c>
      <c r="R290" s="6" t="s">
        <v>246</v>
      </c>
      <c r="S290" s="6" t="s">
        <v>147</v>
      </c>
      <c r="T290" s="6" t="s">
        <v>250</v>
      </c>
      <c r="U290" s="6" t="s">
        <v>252</v>
      </c>
      <c r="V290" s="6" t="s">
        <v>246</v>
      </c>
      <c r="W290" s="6" t="s">
        <v>158</v>
      </c>
      <c r="X290" s="6" t="s">
        <v>257</v>
      </c>
      <c r="Y290" s="6" t="s">
        <v>162</v>
      </c>
      <c r="Z290" s="6" t="s">
        <v>165</v>
      </c>
      <c r="AA290" s="6" t="s">
        <v>262</v>
      </c>
      <c r="AB290" s="6" t="s">
        <v>521</v>
      </c>
      <c r="AC290" s="6" t="s">
        <v>174</v>
      </c>
      <c r="AD290" s="6" t="s">
        <v>175</v>
      </c>
      <c r="AE290" s="6" t="s">
        <v>271</v>
      </c>
      <c r="AF290" s="6" t="s">
        <v>181</v>
      </c>
      <c r="AG290" s="6" t="s">
        <v>182</v>
      </c>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row>
    <row r="291" ht="22.5" customHeight="1">
      <c r="A291" s="4">
        <v>46229.69843359954</v>
      </c>
      <c r="B291" s="5">
        <v>0.0</v>
      </c>
      <c r="C291" s="6" t="s">
        <v>114</v>
      </c>
      <c r="D291" s="6" t="s">
        <v>209</v>
      </c>
      <c r="E291" s="6" t="s">
        <v>736</v>
      </c>
      <c r="F291" s="6">
        <v>6.9070509617E10</v>
      </c>
      <c r="G291" s="6" t="s">
        <v>730</v>
      </c>
      <c r="H291" s="6" t="s">
        <v>2633</v>
      </c>
      <c r="I291" s="6" t="s">
        <v>4982</v>
      </c>
      <c r="J291" s="6" t="s">
        <v>4983</v>
      </c>
      <c r="K291" s="6" t="s">
        <v>4984</v>
      </c>
      <c r="L291" s="6" t="s">
        <v>4985</v>
      </c>
      <c r="M291" s="6" t="s">
        <v>4986</v>
      </c>
      <c r="N291" s="6" t="s">
        <v>4987</v>
      </c>
      <c r="O291" s="6" t="s">
        <v>4988</v>
      </c>
      <c r="P291" s="6" t="s">
        <v>4989</v>
      </c>
      <c r="Q291" s="6" t="s">
        <v>4990</v>
      </c>
      <c r="R291" s="6" t="s">
        <v>246</v>
      </c>
      <c r="S291" s="6" t="s">
        <v>147</v>
      </c>
      <c r="T291" s="6" t="s">
        <v>250</v>
      </c>
      <c r="U291" s="6" t="s">
        <v>686</v>
      </c>
      <c r="V291" s="6" t="s">
        <v>155</v>
      </c>
      <c r="W291" s="6" t="s">
        <v>158</v>
      </c>
      <c r="X291" s="6" t="s">
        <v>257</v>
      </c>
      <c r="Y291" s="6" t="s">
        <v>162</v>
      </c>
      <c r="Z291" s="6" t="s">
        <v>165</v>
      </c>
      <c r="AA291" s="6" t="s">
        <v>262</v>
      </c>
      <c r="AB291" s="6" t="s">
        <v>171</v>
      </c>
      <c r="AC291" s="6" t="s">
        <v>174</v>
      </c>
      <c r="AD291" s="6" t="s">
        <v>175</v>
      </c>
      <c r="AE291" s="6" t="s">
        <v>271</v>
      </c>
      <c r="AF291" s="6" t="s">
        <v>181</v>
      </c>
      <c r="AG291" s="6" t="s">
        <v>182</v>
      </c>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row>
    <row r="292" ht="22.5" customHeight="1">
      <c r="A292" s="4">
        <v>46229.69844765046</v>
      </c>
      <c r="B292" s="5">
        <v>0.0</v>
      </c>
      <c r="C292" s="6" t="s">
        <v>114</v>
      </c>
      <c r="D292" s="6" t="s">
        <v>739</v>
      </c>
      <c r="E292" s="6" t="s">
        <v>740</v>
      </c>
      <c r="F292" s="6">
        <v>6.907050041E10</v>
      </c>
      <c r="G292" s="6" t="s">
        <v>310</v>
      </c>
      <c r="H292" s="7"/>
      <c r="I292" s="6" t="s">
        <v>3497</v>
      </c>
      <c r="J292" s="6" t="s">
        <v>4316</v>
      </c>
      <c r="K292" s="6" t="s">
        <v>4991</v>
      </c>
      <c r="L292" s="6" t="s">
        <v>4992</v>
      </c>
      <c r="M292" s="6" t="s">
        <v>3502</v>
      </c>
      <c r="N292" s="7"/>
      <c r="O292" s="6" t="s">
        <v>4993</v>
      </c>
      <c r="P292" s="6" t="s">
        <v>4994</v>
      </c>
      <c r="Q292" s="6" t="s">
        <v>4995</v>
      </c>
      <c r="R292" s="6" t="s">
        <v>246</v>
      </c>
      <c r="S292" s="6" t="s">
        <v>147</v>
      </c>
      <c r="T292" s="6" t="s">
        <v>250</v>
      </c>
      <c r="U292" s="6" t="s">
        <v>686</v>
      </c>
      <c r="V292" s="6" t="s">
        <v>246</v>
      </c>
      <c r="W292" s="6" t="s">
        <v>158</v>
      </c>
      <c r="X292" s="6" t="s">
        <v>161</v>
      </c>
      <c r="Y292" s="6" t="s">
        <v>162</v>
      </c>
      <c r="Z292" s="6" t="s">
        <v>804</v>
      </c>
      <c r="AA292" s="6" t="s">
        <v>262</v>
      </c>
      <c r="AB292" s="6" t="s">
        <v>521</v>
      </c>
      <c r="AC292" s="6" t="s">
        <v>174</v>
      </c>
      <c r="AD292" s="6" t="s">
        <v>175</v>
      </c>
      <c r="AE292" s="6" t="s">
        <v>1211</v>
      </c>
      <c r="AF292" s="6" t="s">
        <v>181</v>
      </c>
      <c r="AG292" s="6" t="s">
        <v>182</v>
      </c>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row>
    <row r="293" ht="22.5" customHeight="1">
      <c r="A293" s="4">
        <v>46229.69845357639</v>
      </c>
      <c r="B293" s="5">
        <v>0.0</v>
      </c>
      <c r="C293" s="6" t="s">
        <v>114</v>
      </c>
      <c r="D293" s="6" t="s">
        <v>743</v>
      </c>
      <c r="E293" s="6" t="s">
        <v>744</v>
      </c>
      <c r="F293" s="6">
        <v>6.9070502219E10</v>
      </c>
      <c r="G293" s="6" t="s">
        <v>496</v>
      </c>
      <c r="H293" s="7"/>
      <c r="I293" s="6" t="s">
        <v>4996</v>
      </c>
      <c r="J293" s="6" t="s">
        <v>4997</v>
      </c>
      <c r="K293" s="6" t="s">
        <v>4998</v>
      </c>
      <c r="L293" s="6" t="s">
        <v>4999</v>
      </c>
      <c r="M293" s="6" t="s">
        <v>5000</v>
      </c>
      <c r="N293" s="7"/>
      <c r="O293" s="6" t="s">
        <v>5001</v>
      </c>
      <c r="P293" s="6" t="s">
        <v>5002</v>
      </c>
      <c r="Q293" s="6" t="s">
        <v>5003</v>
      </c>
      <c r="R293" s="6" t="s">
        <v>246</v>
      </c>
      <c r="S293" s="6" t="s">
        <v>147</v>
      </c>
      <c r="T293" s="6" t="s">
        <v>250</v>
      </c>
      <c r="U293" s="6" t="s">
        <v>560</v>
      </c>
      <c r="V293" s="6" t="s">
        <v>246</v>
      </c>
      <c r="W293" s="6" t="s">
        <v>158</v>
      </c>
      <c r="X293" s="6" t="s">
        <v>257</v>
      </c>
      <c r="Y293" s="6" t="s">
        <v>162</v>
      </c>
      <c r="Z293" s="6" t="s">
        <v>165</v>
      </c>
      <c r="AA293" s="6" t="s">
        <v>262</v>
      </c>
      <c r="AB293" s="6" t="s">
        <v>521</v>
      </c>
      <c r="AC293" s="6" t="s">
        <v>174</v>
      </c>
      <c r="AD293" s="6" t="s">
        <v>175</v>
      </c>
      <c r="AE293" s="6" t="s">
        <v>271</v>
      </c>
      <c r="AF293" s="6" t="s">
        <v>181</v>
      </c>
      <c r="AG293" s="6" t="s">
        <v>182</v>
      </c>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row>
    <row r="294" ht="22.5" customHeight="1">
      <c r="A294" s="4">
        <v>46229.69845498842</v>
      </c>
      <c r="B294" s="5">
        <v>0.0</v>
      </c>
      <c r="C294" s="6" t="s">
        <v>114</v>
      </c>
      <c r="D294" s="6" t="s">
        <v>746</v>
      </c>
      <c r="E294" s="6" t="s">
        <v>747</v>
      </c>
      <c r="F294" s="6">
        <v>6.9070500442E10</v>
      </c>
      <c r="G294" s="6" t="s">
        <v>310</v>
      </c>
      <c r="H294" s="7"/>
      <c r="I294" s="6" t="s">
        <v>5004</v>
      </c>
      <c r="J294" s="6" t="s">
        <v>5005</v>
      </c>
      <c r="K294" s="6" t="s">
        <v>5006</v>
      </c>
      <c r="L294" s="6" t="s">
        <v>5007</v>
      </c>
      <c r="M294" s="6" t="s">
        <v>5008</v>
      </c>
      <c r="N294" s="7"/>
      <c r="O294" s="6" t="s">
        <v>5009</v>
      </c>
      <c r="P294" s="6" t="s">
        <v>5010</v>
      </c>
      <c r="Q294" s="6" t="s">
        <v>5011</v>
      </c>
      <c r="R294" s="6" t="s">
        <v>246</v>
      </c>
      <c r="S294" s="6" t="s">
        <v>147</v>
      </c>
      <c r="T294" s="6" t="s">
        <v>250</v>
      </c>
      <c r="U294" s="6" t="s">
        <v>560</v>
      </c>
      <c r="V294" s="6" t="s">
        <v>246</v>
      </c>
      <c r="W294" s="6" t="s">
        <v>158</v>
      </c>
      <c r="X294" s="6" t="s">
        <v>257</v>
      </c>
      <c r="Y294" s="6" t="s">
        <v>162</v>
      </c>
      <c r="Z294" s="6" t="s">
        <v>165</v>
      </c>
      <c r="AA294" s="6" t="s">
        <v>262</v>
      </c>
      <c r="AB294" s="6" t="s">
        <v>171</v>
      </c>
      <c r="AC294" s="6" t="s">
        <v>174</v>
      </c>
      <c r="AD294" s="6" t="s">
        <v>175</v>
      </c>
      <c r="AE294" s="6" t="s">
        <v>271</v>
      </c>
      <c r="AF294" s="6" t="s">
        <v>181</v>
      </c>
      <c r="AG294" s="6" t="s">
        <v>182</v>
      </c>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row>
    <row r="295" ht="22.5" customHeight="1">
      <c r="A295" s="4">
        <v>46229.69846526621</v>
      </c>
      <c r="B295" s="5">
        <v>0.0</v>
      </c>
      <c r="C295" s="6" t="s">
        <v>114</v>
      </c>
      <c r="D295" s="6" t="s">
        <v>748</v>
      </c>
      <c r="E295" s="6" t="s">
        <v>749</v>
      </c>
      <c r="F295" s="6">
        <v>6.9070506427E10</v>
      </c>
      <c r="G295" s="6" t="s">
        <v>599</v>
      </c>
      <c r="H295" s="6" t="s">
        <v>5012</v>
      </c>
      <c r="I295" s="6" t="s">
        <v>5013</v>
      </c>
      <c r="J295" s="6" t="s">
        <v>5014</v>
      </c>
      <c r="K295" s="6" t="s">
        <v>5015</v>
      </c>
      <c r="L295" s="6" t="s">
        <v>5016</v>
      </c>
      <c r="M295" s="6" t="s">
        <v>5017</v>
      </c>
      <c r="N295" s="6" t="s">
        <v>5018</v>
      </c>
      <c r="O295" s="6" t="s">
        <v>5019</v>
      </c>
      <c r="P295" s="6" t="s">
        <v>5020</v>
      </c>
      <c r="Q295" s="6" t="s">
        <v>5021</v>
      </c>
      <c r="R295" s="6" t="s">
        <v>145</v>
      </c>
      <c r="S295" s="6" t="s">
        <v>147</v>
      </c>
      <c r="T295" s="6" t="s">
        <v>250</v>
      </c>
      <c r="U295" s="6" t="s">
        <v>252</v>
      </c>
      <c r="V295" s="6" t="s">
        <v>246</v>
      </c>
      <c r="W295" s="6" t="s">
        <v>158</v>
      </c>
      <c r="X295" s="6" t="s">
        <v>458</v>
      </c>
      <c r="Y295" s="6" t="s">
        <v>162</v>
      </c>
      <c r="Z295" s="6" t="s">
        <v>165</v>
      </c>
      <c r="AA295" s="6" t="s">
        <v>262</v>
      </c>
      <c r="AB295" s="6" t="s">
        <v>521</v>
      </c>
      <c r="AC295" s="6" t="s">
        <v>174</v>
      </c>
      <c r="AD295" s="6" t="s">
        <v>175</v>
      </c>
      <c r="AE295" s="6" t="s">
        <v>271</v>
      </c>
      <c r="AF295" s="6" t="s">
        <v>181</v>
      </c>
      <c r="AG295" s="6" t="s">
        <v>182</v>
      </c>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row>
    <row r="296" ht="22.5" customHeight="1">
      <c r="A296" s="4">
        <v>46229.698481597225</v>
      </c>
      <c r="B296" s="5">
        <v>0.0</v>
      </c>
      <c r="C296" s="6" t="s">
        <v>114</v>
      </c>
      <c r="D296" s="6" t="s">
        <v>750</v>
      </c>
      <c r="E296" s="6" t="s">
        <v>751</v>
      </c>
      <c r="F296" s="6">
        <v>6.9070501045E10</v>
      </c>
      <c r="G296" s="6" t="s">
        <v>1470</v>
      </c>
      <c r="H296" s="6">
        <v>5.0</v>
      </c>
      <c r="I296" s="6" t="s">
        <v>3207</v>
      </c>
      <c r="J296" s="6" t="s">
        <v>5022</v>
      </c>
      <c r="K296" s="6" t="s">
        <v>5023</v>
      </c>
      <c r="L296" s="6" t="s">
        <v>5024</v>
      </c>
      <c r="M296" s="6" t="s">
        <v>5025</v>
      </c>
      <c r="N296" s="7"/>
      <c r="O296" s="6" t="s">
        <v>5026</v>
      </c>
      <c r="P296" s="6" t="s">
        <v>5027</v>
      </c>
      <c r="Q296" s="6" t="s">
        <v>5028</v>
      </c>
      <c r="R296" s="6" t="s">
        <v>257</v>
      </c>
      <c r="S296" s="6" t="s">
        <v>147</v>
      </c>
      <c r="T296" s="6" t="s">
        <v>250</v>
      </c>
      <c r="U296" s="6" t="s">
        <v>252</v>
      </c>
      <c r="V296" s="6" t="s">
        <v>155</v>
      </c>
      <c r="W296" s="6" t="s">
        <v>158</v>
      </c>
      <c r="X296" s="6" t="s">
        <v>257</v>
      </c>
      <c r="Y296" s="6" t="s">
        <v>162</v>
      </c>
      <c r="Z296" s="6" t="s">
        <v>165</v>
      </c>
      <c r="AA296" s="6" t="s">
        <v>262</v>
      </c>
      <c r="AB296" s="6" t="s">
        <v>171</v>
      </c>
      <c r="AC296" s="6" t="s">
        <v>174</v>
      </c>
      <c r="AD296" s="6" t="s">
        <v>175</v>
      </c>
      <c r="AE296" s="6" t="s">
        <v>271</v>
      </c>
      <c r="AF296" s="6" t="s">
        <v>181</v>
      </c>
      <c r="AG296" s="6" t="s">
        <v>182</v>
      </c>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row>
    <row r="297" ht="22.5" customHeight="1">
      <c r="A297" s="4">
        <v>46229.6984891551</v>
      </c>
      <c r="B297" s="5">
        <v>0.0</v>
      </c>
      <c r="C297" s="6" t="s">
        <v>114</v>
      </c>
      <c r="D297" s="6" t="s">
        <v>752</v>
      </c>
      <c r="E297" s="6" t="s">
        <v>753</v>
      </c>
      <c r="F297" s="6">
        <v>6.9070501202E10</v>
      </c>
      <c r="G297" s="6" t="s">
        <v>228</v>
      </c>
      <c r="H297" s="7"/>
      <c r="I297" s="6" t="s">
        <v>5029</v>
      </c>
      <c r="J297" s="6" t="s">
        <v>5030</v>
      </c>
      <c r="K297" s="6" t="s">
        <v>5031</v>
      </c>
      <c r="L297" s="6" t="s">
        <v>5032</v>
      </c>
      <c r="M297" s="6" t="s">
        <v>5033</v>
      </c>
      <c r="N297" s="7"/>
      <c r="O297" s="6" t="s">
        <v>5034</v>
      </c>
      <c r="P297" s="6" t="s">
        <v>5035</v>
      </c>
      <c r="Q297" s="6" t="s">
        <v>5036</v>
      </c>
      <c r="R297" s="6" t="s">
        <v>246</v>
      </c>
      <c r="S297" s="6" t="s">
        <v>147</v>
      </c>
      <c r="T297" s="6" t="s">
        <v>250</v>
      </c>
      <c r="U297" s="6" t="s">
        <v>152</v>
      </c>
      <c r="V297" s="6" t="s">
        <v>246</v>
      </c>
      <c r="W297" s="6" t="s">
        <v>625</v>
      </c>
      <c r="X297" s="6" t="s">
        <v>458</v>
      </c>
      <c r="Y297" s="6" t="s">
        <v>162</v>
      </c>
      <c r="Z297" s="6" t="s">
        <v>165</v>
      </c>
      <c r="AA297" s="6" t="s">
        <v>262</v>
      </c>
      <c r="AB297" s="6" t="s">
        <v>171</v>
      </c>
      <c r="AC297" s="6" t="s">
        <v>174</v>
      </c>
      <c r="AD297" s="6" t="s">
        <v>175</v>
      </c>
      <c r="AE297" s="6" t="s">
        <v>271</v>
      </c>
      <c r="AF297" s="6" t="s">
        <v>181</v>
      </c>
      <c r="AG297" s="6" t="s">
        <v>182</v>
      </c>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row>
    <row r="298" ht="22.5" customHeight="1">
      <c r="A298" s="4">
        <v>46229.69848947917</v>
      </c>
      <c r="B298" s="5">
        <v>0.0</v>
      </c>
      <c r="C298" s="6" t="s">
        <v>114</v>
      </c>
      <c r="D298" s="6" t="s">
        <v>754</v>
      </c>
      <c r="E298" s="6" t="s">
        <v>755</v>
      </c>
      <c r="F298" s="6">
        <v>6.9070506432E10</v>
      </c>
      <c r="G298" s="6" t="s">
        <v>599</v>
      </c>
      <c r="H298" s="7"/>
      <c r="I298" s="6" t="s">
        <v>5037</v>
      </c>
      <c r="J298" s="6" t="s">
        <v>4368</v>
      </c>
      <c r="K298" s="6" t="s">
        <v>5038</v>
      </c>
      <c r="L298" s="6" t="s">
        <v>4370</v>
      </c>
      <c r="M298" s="6" t="s">
        <v>4371</v>
      </c>
      <c r="N298" s="6" t="s">
        <v>3522</v>
      </c>
      <c r="O298" s="6" t="s">
        <v>5039</v>
      </c>
      <c r="P298" s="6" t="s">
        <v>5040</v>
      </c>
      <c r="Q298" s="6" t="s">
        <v>5041</v>
      </c>
      <c r="R298" s="6" t="s">
        <v>246</v>
      </c>
      <c r="S298" s="6" t="s">
        <v>147</v>
      </c>
      <c r="T298" s="6" t="s">
        <v>250</v>
      </c>
      <c r="U298" s="6" t="s">
        <v>686</v>
      </c>
      <c r="V298" s="6" t="s">
        <v>246</v>
      </c>
      <c r="W298" s="6" t="s">
        <v>158</v>
      </c>
      <c r="X298" s="6" t="s">
        <v>257</v>
      </c>
      <c r="Y298" s="6" t="s">
        <v>162</v>
      </c>
      <c r="Z298" s="6" t="s">
        <v>165</v>
      </c>
      <c r="AA298" s="6" t="s">
        <v>262</v>
      </c>
      <c r="AB298" s="6" t="s">
        <v>171</v>
      </c>
      <c r="AC298" s="6" t="s">
        <v>174</v>
      </c>
      <c r="AD298" s="6" t="s">
        <v>175</v>
      </c>
      <c r="AE298" s="6" t="s">
        <v>271</v>
      </c>
      <c r="AF298" s="6" t="s">
        <v>181</v>
      </c>
      <c r="AG298" s="6" t="s">
        <v>182</v>
      </c>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row>
    <row r="299" ht="22.5" customHeight="1">
      <c r="A299" s="4">
        <v>46229.69849575232</v>
      </c>
      <c r="B299" s="5">
        <v>0.0</v>
      </c>
      <c r="C299" s="6" t="s">
        <v>3296</v>
      </c>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6" t="s">
        <v>2634</v>
      </c>
      <c r="AI299" s="6" t="s">
        <v>2635</v>
      </c>
      <c r="AJ299" s="6">
        <v>6.907050901E10</v>
      </c>
      <c r="AK299" s="6" t="s">
        <v>5042</v>
      </c>
      <c r="AL299" s="7"/>
      <c r="AM299" s="6" t="s">
        <v>5043</v>
      </c>
      <c r="AN299" s="6" t="s">
        <v>5044</v>
      </c>
      <c r="AO299" s="6" t="s">
        <v>5045</v>
      </c>
      <c r="AP299" s="6" t="s">
        <v>5046</v>
      </c>
      <c r="AQ299" s="6" t="s">
        <v>5047</v>
      </c>
      <c r="AR299" s="6" t="s">
        <v>5048</v>
      </c>
      <c r="AS299" s="6" t="s">
        <v>5049</v>
      </c>
      <c r="AT299" s="6" t="s">
        <v>5050</v>
      </c>
      <c r="AU299" s="6" t="s">
        <v>5051</v>
      </c>
      <c r="AV299" s="6" t="s">
        <v>3306</v>
      </c>
      <c r="AW299" s="6" t="s">
        <v>3307</v>
      </c>
      <c r="AX299" s="6" t="s">
        <v>3887</v>
      </c>
      <c r="AY299" s="6" t="s">
        <v>152</v>
      </c>
      <c r="AZ299" s="6" t="s">
        <v>3306</v>
      </c>
      <c r="BA299" s="6" t="s">
        <v>3311</v>
      </c>
      <c r="BB299" s="6" t="s">
        <v>4693</v>
      </c>
      <c r="BC299" s="6" t="s">
        <v>3313</v>
      </c>
      <c r="BD299" s="6" t="s">
        <v>165</v>
      </c>
      <c r="BE299" s="6" t="s">
        <v>3888</v>
      </c>
      <c r="BF299" s="6" t="s">
        <v>5052</v>
      </c>
      <c r="BG299" s="6" t="s">
        <v>4068</v>
      </c>
      <c r="BH299" s="6" t="s">
        <v>3317</v>
      </c>
      <c r="BI299" s="6" t="s">
        <v>271</v>
      </c>
      <c r="BJ299" s="6" t="s">
        <v>3318</v>
      </c>
      <c r="BK299" s="6" t="s">
        <v>3319</v>
      </c>
    </row>
    <row r="300" ht="22.5" customHeight="1">
      <c r="A300" s="4">
        <v>46229.698496122684</v>
      </c>
      <c r="B300" s="5">
        <v>0.0</v>
      </c>
      <c r="C300" s="6" t="s">
        <v>114</v>
      </c>
      <c r="D300" s="6" t="s">
        <v>756</v>
      </c>
      <c r="E300" s="6" t="s">
        <v>757</v>
      </c>
      <c r="F300" s="6">
        <v>6.9070509612E10</v>
      </c>
      <c r="G300" s="6" t="s">
        <v>730</v>
      </c>
      <c r="H300" s="6" t="s">
        <v>5053</v>
      </c>
      <c r="I300" s="6" t="s">
        <v>5054</v>
      </c>
      <c r="J300" s="6" t="s">
        <v>5055</v>
      </c>
      <c r="K300" s="6" t="s">
        <v>5056</v>
      </c>
      <c r="L300" s="6" t="s">
        <v>5057</v>
      </c>
      <c r="M300" s="6" t="s">
        <v>5058</v>
      </c>
      <c r="N300" s="6" t="s">
        <v>2633</v>
      </c>
      <c r="O300" s="6" t="s">
        <v>5059</v>
      </c>
      <c r="P300" s="6" t="s">
        <v>5060</v>
      </c>
      <c r="Q300" s="6" t="s">
        <v>5061</v>
      </c>
      <c r="R300" s="6" t="s">
        <v>257</v>
      </c>
      <c r="S300" s="6" t="s">
        <v>147</v>
      </c>
      <c r="T300" s="6" t="s">
        <v>250</v>
      </c>
      <c r="U300" s="6" t="s">
        <v>252</v>
      </c>
      <c r="V300" s="6" t="s">
        <v>155</v>
      </c>
      <c r="W300" s="6" t="s">
        <v>158</v>
      </c>
      <c r="X300" s="6" t="s">
        <v>257</v>
      </c>
      <c r="Y300" s="6" t="s">
        <v>162</v>
      </c>
      <c r="Z300" s="6" t="s">
        <v>165</v>
      </c>
      <c r="AA300" s="6" t="s">
        <v>262</v>
      </c>
      <c r="AB300" s="6" t="s">
        <v>171</v>
      </c>
      <c r="AC300" s="6" t="s">
        <v>174</v>
      </c>
      <c r="AD300" s="6" t="s">
        <v>175</v>
      </c>
      <c r="AE300" s="6" t="s">
        <v>271</v>
      </c>
      <c r="AF300" s="6" t="s">
        <v>181</v>
      </c>
      <c r="AG300" s="6" t="s">
        <v>182</v>
      </c>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row>
    <row r="301" ht="22.5" customHeight="1">
      <c r="A301" s="4">
        <v>46229.69849928241</v>
      </c>
      <c r="B301" s="5">
        <v>0.0</v>
      </c>
      <c r="C301" s="6" t="s">
        <v>114</v>
      </c>
      <c r="D301" s="6" t="s">
        <v>758</v>
      </c>
      <c r="E301" s="6" t="s">
        <v>759</v>
      </c>
      <c r="F301" s="6">
        <v>6.9070500852E10</v>
      </c>
      <c r="G301" s="6" t="s">
        <v>496</v>
      </c>
      <c r="H301" s="7"/>
      <c r="I301" s="6" t="s">
        <v>5062</v>
      </c>
      <c r="J301" s="6" t="s">
        <v>5063</v>
      </c>
      <c r="K301" s="6" t="s">
        <v>5064</v>
      </c>
      <c r="L301" s="6" t="s">
        <v>1029</v>
      </c>
      <c r="M301" s="6" t="s">
        <v>5065</v>
      </c>
      <c r="N301" s="7"/>
      <c r="O301" s="6" t="s">
        <v>5066</v>
      </c>
      <c r="P301" s="6" t="s">
        <v>5067</v>
      </c>
      <c r="Q301" s="6" t="s">
        <v>5068</v>
      </c>
      <c r="R301" s="6" t="s">
        <v>246</v>
      </c>
      <c r="S301" s="6" t="s">
        <v>147</v>
      </c>
      <c r="T301" s="6" t="s">
        <v>250</v>
      </c>
      <c r="U301" s="6" t="s">
        <v>686</v>
      </c>
      <c r="V301" s="6" t="s">
        <v>246</v>
      </c>
      <c r="W301" s="6" t="s">
        <v>158</v>
      </c>
      <c r="X301" s="6" t="s">
        <v>257</v>
      </c>
      <c r="Y301" s="6" t="s">
        <v>162</v>
      </c>
      <c r="Z301" s="6" t="s">
        <v>165</v>
      </c>
      <c r="AA301" s="6" t="s">
        <v>168</v>
      </c>
      <c r="AB301" s="6" t="s">
        <v>521</v>
      </c>
      <c r="AC301" s="6" t="s">
        <v>174</v>
      </c>
      <c r="AD301" s="6" t="s">
        <v>175</v>
      </c>
      <c r="AE301" s="6" t="s">
        <v>271</v>
      </c>
      <c r="AF301" s="6" t="s">
        <v>181</v>
      </c>
      <c r="AG301" s="6" t="s">
        <v>182</v>
      </c>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row>
    <row r="302" ht="22.5" customHeight="1">
      <c r="A302" s="4">
        <v>46229.6985065162</v>
      </c>
      <c r="B302" s="5">
        <v>0.0</v>
      </c>
      <c r="C302" s="6" t="s">
        <v>114</v>
      </c>
      <c r="D302" s="6" t="s">
        <v>760</v>
      </c>
      <c r="E302" s="6" t="s">
        <v>761</v>
      </c>
      <c r="F302" s="6">
        <v>6.9070500252E10</v>
      </c>
      <c r="G302" s="6" t="s">
        <v>599</v>
      </c>
      <c r="H302" s="7"/>
      <c r="I302" s="6" t="s">
        <v>5069</v>
      </c>
      <c r="J302" s="6" t="s">
        <v>5070</v>
      </c>
      <c r="K302" s="6" t="s">
        <v>5071</v>
      </c>
      <c r="L302" s="6" t="s">
        <v>5072</v>
      </c>
      <c r="M302" s="6" t="s">
        <v>5073</v>
      </c>
      <c r="N302" s="6" t="s">
        <v>5074</v>
      </c>
      <c r="O302" s="6" t="s">
        <v>5075</v>
      </c>
      <c r="P302" s="6" t="s">
        <v>5076</v>
      </c>
      <c r="Q302" s="6" t="s">
        <v>5077</v>
      </c>
      <c r="R302" s="6" t="s">
        <v>246</v>
      </c>
      <c r="S302" s="6" t="s">
        <v>147</v>
      </c>
      <c r="T302" s="6" t="s">
        <v>250</v>
      </c>
      <c r="U302" s="6" t="s">
        <v>560</v>
      </c>
      <c r="V302" s="6" t="s">
        <v>246</v>
      </c>
      <c r="W302" s="6" t="s">
        <v>158</v>
      </c>
      <c r="X302" s="6" t="s">
        <v>257</v>
      </c>
      <c r="Y302" s="6" t="s">
        <v>162</v>
      </c>
      <c r="Z302" s="6" t="s">
        <v>165</v>
      </c>
      <c r="AA302" s="6" t="s">
        <v>262</v>
      </c>
      <c r="AB302" s="6" t="s">
        <v>171</v>
      </c>
      <c r="AC302" s="6" t="s">
        <v>174</v>
      </c>
      <c r="AD302" s="6" t="s">
        <v>175</v>
      </c>
      <c r="AE302" s="6" t="s">
        <v>271</v>
      </c>
      <c r="AF302" s="6" t="s">
        <v>181</v>
      </c>
      <c r="AG302" s="6" t="s">
        <v>182</v>
      </c>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row>
    <row r="303" ht="22.5" customHeight="1">
      <c r="A303" s="4">
        <v>46229.69851101852</v>
      </c>
      <c r="B303" s="5">
        <v>0.0</v>
      </c>
      <c r="C303" s="6" t="s">
        <v>114</v>
      </c>
      <c r="D303" s="6" t="s">
        <v>762</v>
      </c>
      <c r="E303" s="6" t="s">
        <v>763</v>
      </c>
      <c r="F303" s="6">
        <v>6.9070500467E10</v>
      </c>
      <c r="G303" s="6" t="s">
        <v>310</v>
      </c>
      <c r="H303" s="7"/>
      <c r="I303" s="6" t="s">
        <v>5078</v>
      </c>
      <c r="J303" s="6" t="s">
        <v>5079</v>
      </c>
      <c r="K303" s="6" t="s">
        <v>5080</v>
      </c>
      <c r="L303" s="6" t="s">
        <v>5081</v>
      </c>
      <c r="M303" s="6" t="s">
        <v>5082</v>
      </c>
      <c r="N303" s="7"/>
      <c r="O303" s="6" t="s">
        <v>5083</v>
      </c>
      <c r="P303" s="6" t="s">
        <v>5084</v>
      </c>
      <c r="Q303" s="6" t="s">
        <v>5085</v>
      </c>
      <c r="R303" s="6" t="s">
        <v>257</v>
      </c>
      <c r="S303" s="6" t="s">
        <v>147</v>
      </c>
      <c r="T303" s="6" t="s">
        <v>250</v>
      </c>
      <c r="U303" s="6" t="s">
        <v>252</v>
      </c>
      <c r="V303" s="6" t="s">
        <v>246</v>
      </c>
      <c r="W303" s="6" t="s">
        <v>158</v>
      </c>
      <c r="X303" s="6" t="s">
        <v>257</v>
      </c>
      <c r="Y303" s="6" t="s">
        <v>162</v>
      </c>
      <c r="Z303" s="6" t="s">
        <v>165</v>
      </c>
      <c r="AA303" s="6" t="s">
        <v>262</v>
      </c>
      <c r="AB303" s="6" t="s">
        <v>171</v>
      </c>
      <c r="AC303" s="6" t="s">
        <v>174</v>
      </c>
      <c r="AD303" s="6" t="s">
        <v>175</v>
      </c>
      <c r="AE303" s="6" t="s">
        <v>271</v>
      </c>
      <c r="AF303" s="6" t="s">
        <v>181</v>
      </c>
      <c r="AG303" s="6" t="s">
        <v>182</v>
      </c>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row>
    <row r="304" ht="22.5" customHeight="1">
      <c r="A304" s="4">
        <v>46229.69851188657</v>
      </c>
      <c r="B304" s="5">
        <v>0.0</v>
      </c>
      <c r="C304" s="6" t="s">
        <v>114</v>
      </c>
      <c r="D304" s="6" t="s">
        <v>764</v>
      </c>
      <c r="E304" s="6" t="s">
        <v>765</v>
      </c>
      <c r="F304" s="6">
        <v>6.9070500466E10</v>
      </c>
      <c r="G304" s="6" t="s">
        <v>310</v>
      </c>
      <c r="H304" s="7"/>
      <c r="I304" s="6" t="s">
        <v>5086</v>
      </c>
      <c r="J304" s="6" t="s">
        <v>5087</v>
      </c>
      <c r="K304" s="6" t="s">
        <v>5088</v>
      </c>
      <c r="L304" s="6" t="s">
        <v>5089</v>
      </c>
      <c r="M304" s="6" t="s">
        <v>5090</v>
      </c>
      <c r="N304" s="7"/>
      <c r="O304" s="6" t="s">
        <v>5091</v>
      </c>
      <c r="P304" s="6" t="s">
        <v>5092</v>
      </c>
      <c r="Q304" s="6" t="s">
        <v>5093</v>
      </c>
      <c r="R304" s="6" t="s">
        <v>257</v>
      </c>
      <c r="S304" s="6" t="s">
        <v>147</v>
      </c>
      <c r="T304" s="6" t="s">
        <v>250</v>
      </c>
      <c r="U304" s="6" t="s">
        <v>252</v>
      </c>
      <c r="V304" s="6" t="s">
        <v>246</v>
      </c>
      <c r="W304" s="6" t="s">
        <v>158</v>
      </c>
      <c r="X304" s="6" t="s">
        <v>257</v>
      </c>
      <c r="Y304" s="6" t="s">
        <v>162</v>
      </c>
      <c r="Z304" s="6" t="s">
        <v>165</v>
      </c>
      <c r="AA304" s="6" t="s">
        <v>262</v>
      </c>
      <c r="AB304" s="6" t="s">
        <v>171</v>
      </c>
      <c r="AC304" s="6" t="s">
        <v>174</v>
      </c>
      <c r="AD304" s="6" t="s">
        <v>175</v>
      </c>
      <c r="AE304" s="6" t="s">
        <v>271</v>
      </c>
      <c r="AF304" s="6" t="s">
        <v>181</v>
      </c>
      <c r="AG304" s="6" t="s">
        <v>182</v>
      </c>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row>
    <row r="305" ht="22.5" customHeight="1">
      <c r="A305" s="4">
        <v>46229.698513564814</v>
      </c>
      <c r="B305" s="5">
        <v>0.0</v>
      </c>
      <c r="C305" s="6" t="s">
        <v>114</v>
      </c>
      <c r="D305" s="6" t="s">
        <v>766</v>
      </c>
      <c r="E305" s="6" t="s">
        <v>767</v>
      </c>
      <c r="F305" s="6">
        <v>6.9070501232E10</v>
      </c>
      <c r="G305" s="6" t="s">
        <v>228</v>
      </c>
      <c r="H305" s="6" t="s">
        <v>2633</v>
      </c>
      <c r="I305" s="6" t="s">
        <v>5094</v>
      </c>
      <c r="J305" s="6" t="s">
        <v>4640</v>
      </c>
      <c r="K305" s="6" t="s">
        <v>5095</v>
      </c>
      <c r="L305" s="6" t="s">
        <v>5096</v>
      </c>
      <c r="M305" s="6" t="s">
        <v>5097</v>
      </c>
      <c r="N305" s="6" t="s">
        <v>5098</v>
      </c>
      <c r="O305" s="6" t="s">
        <v>5099</v>
      </c>
      <c r="P305" s="6" t="s">
        <v>5100</v>
      </c>
      <c r="Q305" s="6" t="s">
        <v>5101</v>
      </c>
      <c r="R305" s="6" t="s">
        <v>246</v>
      </c>
      <c r="S305" s="6" t="s">
        <v>147</v>
      </c>
      <c r="T305" s="6" t="s">
        <v>257</v>
      </c>
      <c r="U305" s="6" t="s">
        <v>152</v>
      </c>
      <c r="V305" s="6" t="s">
        <v>246</v>
      </c>
      <c r="W305" s="6" t="s">
        <v>625</v>
      </c>
      <c r="X305" s="6" t="s">
        <v>257</v>
      </c>
      <c r="Y305" s="6" t="s">
        <v>162</v>
      </c>
      <c r="Z305" s="6" t="s">
        <v>165</v>
      </c>
      <c r="AA305" s="6" t="s">
        <v>262</v>
      </c>
      <c r="AB305" s="6" t="s">
        <v>171</v>
      </c>
      <c r="AC305" s="6" t="s">
        <v>174</v>
      </c>
      <c r="AD305" s="6" t="s">
        <v>175</v>
      </c>
      <c r="AE305" s="6" t="s">
        <v>271</v>
      </c>
      <c r="AF305" s="6" t="s">
        <v>181</v>
      </c>
      <c r="AG305" s="6" t="s">
        <v>182</v>
      </c>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row>
    <row r="306" ht="22.5" customHeight="1">
      <c r="A306" s="4">
        <v>46229.69851827546</v>
      </c>
      <c r="B306" s="5">
        <v>0.0</v>
      </c>
      <c r="C306" s="6" t="s">
        <v>114</v>
      </c>
      <c r="D306" s="6" t="s">
        <v>746</v>
      </c>
      <c r="E306" s="6" t="s">
        <v>768</v>
      </c>
      <c r="F306" s="6">
        <v>6.9070500833E10</v>
      </c>
      <c r="G306" s="6" t="s">
        <v>496</v>
      </c>
      <c r="H306" s="7"/>
      <c r="I306" s="6" t="s">
        <v>5102</v>
      </c>
      <c r="J306" s="6" t="s">
        <v>5103</v>
      </c>
      <c r="K306" s="6" t="s">
        <v>5104</v>
      </c>
      <c r="L306" s="6" t="s">
        <v>3639</v>
      </c>
      <c r="M306" s="6" t="s">
        <v>3636</v>
      </c>
      <c r="N306" s="7"/>
      <c r="O306" s="6" t="s">
        <v>5105</v>
      </c>
      <c r="P306" s="6" t="s">
        <v>5106</v>
      </c>
      <c r="Q306" s="6" t="s">
        <v>5107</v>
      </c>
      <c r="R306" s="6" t="s">
        <v>246</v>
      </c>
      <c r="S306" s="6" t="s">
        <v>147</v>
      </c>
      <c r="T306" s="6" t="s">
        <v>250</v>
      </c>
      <c r="U306" s="6" t="s">
        <v>686</v>
      </c>
      <c r="V306" s="6" t="s">
        <v>246</v>
      </c>
      <c r="W306" s="6" t="s">
        <v>158</v>
      </c>
      <c r="X306" s="6" t="s">
        <v>257</v>
      </c>
      <c r="Y306" s="6" t="s">
        <v>162</v>
      </c>
      <c r="Z306" s="6" t="s">
        <v>165</v>
      </c>
      <c r="AA306" s="6" t="s">
        <v>168</v>
      </c>
      <c r="AB306" s="6" t="s">
        <v>521</v>
      </c>
      <c r="AC306" s="6" t="s">
        <v>174</v>
      </c>
      <c r="AD306" s="6" t="s">
        <v>175</v>
      </c>
      <c r="AE306" s="6" t="s">
        <v>271</v>
      </c>
      <c r="AF306" s="6" t="s">
        <v>181</v>
      </c>
      <c r="AG306" s="6" t="s">
        <v>182</v>
      </c>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row>
    <row r="307" ht="22.5" customHeight="1">
      <c r="A307" s="4">
        <v>46229.69852177083</v>
      </c>
      <c r="B307" s="5">
        <v>0.0</v>
      </c>
      <c r="C307" s="6" t="s">
        <v>114</v>
      </c>
      <c r="D307" s="6" t="s">
        <v>769</v>
      </c>
      <c r="E307" s="6" t="s">
        <v>770</v>
      </c>
      <c r="F307" s="6">
        <v>6.9070500288E10</v>
      </c>
      <c r="G307" s="6" t="s">
        <v>599</v>
      </c>
      <c r="H307" s="7"/>
      <c r="I307" s="6" t="s">
        <v>5108</v>
      </c>
      <c r="J307" s="6" t="s">
        <v>5109</v>
      </c>
      <c r="K307" s="6" t="s">
        <v>1756</v>
      </c>
      <c r="L307" s="6" t="s">
        <v>5110</v>
      </c>
      <c r="M307" s="6" t="s">
        <v>5111</v>
      </c>
      <c r="N307" s="6" t="s">
        <v>3657</v>
      </c>
      <c r="O307" s="6" t="s">
        <v>5112</v>
      </c>
      <c r="P307" s="6" t="s">
        <v>5113</v>
      </c>
      <c r="Q307" s="6" t="s">
        <v>5114</v>
      </c>
      <c r="R307" s="6" t="s">
        <v>257</v>
      </c>
      <c r="S307" s="6" t="s">
        <v>147</v>
      </c>
      <c r="T307" s="6" t="s">
        <v>250</v>
      </c>
      <c r="U307" s="6" t="s">
        <v>560</v>
      </c>
      <c r="V307" s="6" t="s">
        <v>246</v>
      </c>
      <c r="W307" s="6" t="s">
        <v>158</v>
      </c>
      <c r="X307" s="6" t="s">
        <v>458</v>
      </c>
      <c r="Y307" s="6" t="s">
        <v>162</v>
      </c>
      <c r="Z307" s="6" t="s">
        <v>165</v>
      </c>
      <c r="AA307" s="6" t="s">
        <v>262</v>
      </c>
      <c r="AB307" s="6" t="s">
        <v>521</v>
      </c>
      <c r="AC307" s="6" t="s">
        <v>1669</v>
      </c>
      <c r="AD307" s="6" t="s">
        <v>175</v>
      </c>
      <c r="AE307" s="6" t="s">
        <v>271</v>
      </c>
      <c r="AF307" s="6" t="s">
        <v>181</v>
      </c>
      <c r="AG307" s="6" t="s">
        <v>182</v>
      </c>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row>
    <row r="308" ht="22.5" customHeight="1">
      <c r="A308" s="4">
        <v>46229.698522465274</v>
      </c>
      <c r="B308" s="5">
        <v>0.0</v>
      </c>
      <c r="C308" s="6" t="s">
        <v>114</v>
      </c>
      <c r="D308" s="6" t="s">
        <v>771</v>
      </c>
      <c r="E308" s="6" t="s">
        <v>772</v>
      </c>
      <c r="F308" s="6">
        <v>6.9070500849E10</v>
      </c>
      <c r="G308" s="6" t="s">
        <v>496</v>
      </c>
      <c r="H308" s="7"/>
      <c r="I308" s="6" t="s">
        <v>5115</v>
      </c>
      <c r="J308" s="6" t="s">
        <v>5116</v>
      </c>
      <c r="K308" s="6" t="s">
        <v>5117</v>
      </c>
      <c r="L308" s="6" t="s">
        <v>5118</v>
      </c>
      <c r="M308" s="6" t="s">
        <v>5119</v>
      </c>
      <c r="N308" s="7"/>
      <c r="O308" s="6" t="s">
        <v>5120</v>
      </c>
      <c r="P308" s="6" t="s">
        <v>5121</v>
      </c>
      <c r="Q308" s="6" t="s">
        <v>5122</v>
      </c>
      <c r="R308" s="6" t="s">
        <v>246</v>
      </c>
      <c r="S308" s="6" t="s">
        <v>147</v>
      </c>
      <c r="T308" s="6" t="s">
        <v>250</v>
      </c>
      <c r="U308" s="6" t="s">
        <v>686</v>
      </c>
      <c r="V308" s="6" t="s">
        <v>246</v>
      </c>
      <c r="W308" s="6" t="s">
        <v>158</v>
      </c>
      <c r="X308" s="6" t="s">
        <v>161</v>
      </c>
      <c r="Y308" s="6" t="s">
        <v>162</v>
      </c>
      <c r="Z308" s="6" t="s">
        <v>165</v>
      </c>
      <c r="AA308" s="6" t="s">
        <v>262</v>
      </c>
      <c r="AB308" s="6" t="s">
        <v>171</v>
      </c>
      <c r="AC308" s="6" t="s">
        <v>174</v>
      </c>
      <c r="AD308" s="6" t="s">
        <v>175</v>
      </c>
      <c r="AE308" s="6" t="s">
        <v>271</v>
      </c>
      <c r="AF308" s="6" t="s">
        <v>181</v>
      </c>
      <c r="AG308" s="6" t="s">
        <v>182</v>
      </c>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row>
    <row r="309" ht="22.5" customHeight="1">
      <c r="A309" s="4">
        <v>46229.69852280093</v>
      </c>
      <c r="B309" s="5">
        <v>0.0</v>
      </c>
      <c r="C309" s="6" t="s">
        <v>114</v>
      </c>
      <c r="D309" s="6" t="s">
        <v>225</v>
      </c>
      <c r="E309" s="6" t="s">
        <v>773</v>
      </c>
      <c r="F309" s="6">
        <v>6.907050185E10</v>
      </c>
      <c r="G309" s="6" t="s">
        <v>730</v>
      </c>
      <c r="H309" s="7"/>
      <c r="I309" s="6" t="s">
        <v>5123</v>
      </c>
      <c r="J309" s="6" t="s">
        <v>5124</v>
      </c>
      <c r="K309" s="6" t="s">
        <v>5125</v>
      </c>
      <c r="L309" s="6" t="s">
        <v>5126</v>
      </c>
      <c r="M309" s="6" t="s">
        <v>3736</v>
      </c>
      <c r="N309" s="6" t="s">
        <v>5127</v>
      </c>
      <c r="O309" s="6" t="s">
        <v>5128</v>
      </c>
      <c r="P309" s="6" t="s">
        <v>5129</v>
      </c>
      <c r="Q309" s="6" t="s">
        <v>5130</v>
      </c>
      <c r="R309" s="6" t="s">
        <v>257</v>
      </c>
      <c r="S309" s="6" t="s">
        <v>147</v>
      </c>
      <c r="T309" s="6" t="s">
        <v>257</v>
      </c>
      <c r="U309" s="6" t="s">
        <v>252</v>
      </c>
      <c r="V309" s="6" t="s">
        <v>246</v>
      </c>
      <c r="W309" s="6" t="s">
        <v>158</v>
      </c>
      <c r="X309" s="6" t="s">
        <v>246</v>
      </c>
      <c r="Y309" s="6" t="s">
        <v>162</v>
      </c>
      <c r="Z309" s="6" t="s">
        <v>165</v>
      </c>
      <c r="AA309" s="6" t="s">
        <v>2307</v>
      </c>
      <c r="AB309" s="6" t="s">
        <v>521</v>
      </c>
      <c r="AC309" s="6" t="s">
        <v>174</v>
      </c>
      <c r="AD309" s="6" t="s">
        <v>175</v>
      </c>
      <c r="AE309" s="6" t="s">
        <v>271</v>
      </c>
      <c r="AF309" s="6" t="s">
        <v>181</v>
      </c>
      <c r="AG309" s="6" t="s">
        <v>182</v>
      </c>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row>
    <row r="310" ht="22.5" customHeight="1">
      <c r="A310" s="4">
        <v>46229.69852363426</v>
      </c>
      <c r="B310" s="5">
        <v>0.0</v>
      </c>
      <c r="C310" s="6" t="s">
        <v>114</v>
      </c>
      <c r="D310" s="6" t="s">
        <v>774</v>
      </c>
      <c r="E310" s="6" t="s">
        <v>775</v>
      </c>
      <c r="F310" s="6">
        <v>6.9070501843E10</v>
      </c>
      <c r="G310" s="6" t="s">
        <v>730</v>
      </c>
      <c r="H310" s="7"/>
      <c r="I310" s="6" t="s">
        <v>5131</v>
      </c>
      <c r="J310" s="6" t="s">
        <v>5132</v>
      </c>
      <c r="K310" s="6" t="s">
        <v>5133</v>
      </c>
      <c r="L310" s="6" t="s">
        <v>5134</v>
      </c>
      <c r="M310" s="6" t="s">
        <v>5125</v>
      </c>
      <c r="N310" s="7"/>
      <c r="O310" s="6" t="s">
        <v>5135</v>
      </c>
      <c r="P310" s="6" t="s">
        <v>5136</v>
      </c>
      <c r="Q310" s="6" t="s">
        <v>5137</v>
      </c>
      <c r="R310" s="6" t="s">
        <v>246</v>
      </c>
      <c r="S310" s="6" t="s">
        <v>147</v>
      </c>
      <c r="T310" s="6" t="s">
        <v>257</v>
      </c>
      <c r="U310" s="6" t="s">
        <v>252</v>
      </c>
      <c r="V310" s="6" t="s">
        <v>246</v>
      </c>
      <c r="W310" s="6" t="s">
        <v>158</v>
      </c>
      <c r="X310" s="6" t="s">
        <v>246</v>
      </c>
      <c r="Y310" s="6" t="s">
        <v>162</v>
      </c>
      <c r="Z310" s="6" t="s">
        <v>165</v>
      </c>
      <c r="AA310" s="6" t="s">
        <v>2307</v>
      </c>
      <c r="AB310" s="6" t="s">
        <v>521</v>
      </c>
      <c r="AC310" s="6" t="s">
        <v>174</v>
      </c>
      <c r="AD310" s="6" t="s">
        <v>175</v>
      </c>
      <c r="AE310" s="6" t="s">
        <v>271</v>
      </c>
      <c r="AF310" s="6" t="s">
        <v>181</v>
      </c>
      <c r="AG310" s="6" t="s">
        <v>182</v>
      </c>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row>
    <row r="311" ht="22.5" customHeight="1">
      <c r="A311" s="4">
        <v>46229.69853184027</v>
      </c>
      <c r="B311" s="5">
        <v>0.0</v>
      </c>
      <c r="C311" s="6" t="s">
        <v>114</v>
      </c>
      <c r="D311" s="6" t="s">
        <v>776</v>
      </c>
      <c r="E311" s="6" t="s">
        <v>777</v>
      </c>
      <c r="F311" s="6">
        <v>6.9070500851E10</v>
      </c>
      <c r="G311" s="6" t="s">
        <v>496</v>
      </c>
      <c r="H311" s="7"/>
      <c r="I311" s="6" t="s">
        <v>5102</v>
      </c>
      <c r="J311" s="6" t="s">
        <v>5138</v>
      </c>
      <c r="K311" s="6" t="s">
        <v>5104</v>
      </c>
      <c r="L311" s="6" t="s">
        <v>5139</v>
      </c>
      <c r="M311" s="6" t="s">
        <v>3872</v>
      </c>
      <c r="N311" s="6" t="s">
        <v>5140</v>
      </c>
      <c r="O311" s="6" t="s">
        <v>5141</v>
      </c>
      <c r="P311" s="6" t="s">
        <v>5142</v>
      </c>
      <c r="Q311" s="6" t="s">
        <v>5143</v>
      </c>
      <c r="R311" s="6" t="s">
        <v>246</v>
      </c>
      <c r="S311" s="6" t="s">
        <v>147</v>
      </c>
      <c r="T311" s="6" t="s">
        <v>250</v>
      </c>
      <c r="U311" s="6" t="s">
        <v>686</v>
      </c>
      <c r="V311" s="6" t="s">
        <v>246</v>
      </c>
      <c r="W311" s="6" t="s">
        <v>158</v>
      </c>
      <c r="X311" s="6" t="s">
        <v>257</v>
      </c>
      <c r="Y311" s="6" t="s">
        <v>162</v>
      </c>
      <c r="Z311" s="6" t="s">
        <v>165</v>
      </c>
      <c r="AA311" s="6" t="s">
        <v>168</v>
      </c>
      <c r="AB311" s="6" t="s">
        <v>521</v>
      </c>
      <c r="AC311" s="6" t="s">
        <v>174</v>
      </c>
      <c r="AD311" s="6" t="s">
        <v>175</v>
      </c>
      <c r="AE311" s="6" t="s">
        <v>271</v>
      </c>
      <c r="AF311" s="6" t="s">
        <v>181</v>
      </c>
      <c r="AG311" s="6" t="s">
        <v>182</v>
      </c>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row>
    <row r="312" ht="22.5" customHeight="1">
      <c r="A312" s="4">
        <v>46229.6985430787</v>
      </c>
      <c r="B312" s="5">
        <v>0.0</v>
      </c>
      <c r="C312" s="6" t="s">
        <v>114</v>
      </c>
      <c r="D312" s="6" t="s">
        <v>778</v>
      </c>
      <c r="E312" s="6" t="s">
        <v>779</v>
      </c>
      <c r="F312" s="6">
        <v>6.9070506422E10</v>
      </c>
      <c r="G312" s="6" t="s">
        <v>599</v>
      </c>
      <c r="H312" s="7"/>
      <c r="I312" s="6" t="s">
        <v>5144</v>
      </c>
      <c r="J312" s="6" t="s">
        <v>5145</v>
      </c>
      <c r="K312" s="6" t="s">
        <v>5146</v>
      </c>
      <c r="L312" s="6" t="s">
        <v>5147</v>
      </c>
      <c r="M312" s="6" t="s">
        <v>5148</v>
      </c>
      <c r="N312" s="7"/>
      <c r="O312" s="6" t="s">
        <v>5149</v>
      </c>
      <c r="P312" s="6" t="s">
        <v>5150</v>
      </c>
      <c r="Q312" s="6" t="s">
        <v>5151</v>
      </c>
      <c r="R312" s="6" t="s">
        <v>861</v>
      </c>
      <c r="S312" s="6" t="s">
        <v>147</v>
      </c>
      <c r="T312" s="6" t="s">
        <v>149</v>
      </c>
      <c r="U312" s="6" t="s">
        <v>560</v>
      </c>
      <c r="V312" s="6" t="s">
        <v>2302</v>
      </c>
      <c r="W312" s="6" t="s">
        <v>158</v>
      </c>
      <c r="X312" s="6" t="s">
        <v>257</v>
      </c>
      <c r="Y312" s="6" t="s">
        <v>162</v>
      </c>
      <c r="Z312" s="6" t="s">
        <v>165</v>
      </c>
      <c r="AA312" s="6" t="s">
        <v>262</v>
      </c>
      <c r="AB312" s="6" t="s">
        <v>171</v>
      </c>
      <c r="AC312" s="6" t="s">
        <v>174</v>
      </c>
      <c r="AD312" s="6" t="s">
        <v>175</v>
      </c>
      <c r="AE312" s="6" t="s">
        <v>271</v>
      </c>
      <c r="AF312" s="6" t="s">
        <v>181</v>
      </c>
      <c r="AG312" s="6" t="s">
        <v>182</v>
      </c>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row>
    <row r="313" ht="22.5" customHeight="1">
      <c r="A313" s="4">
        <v>46229.69854376157</v>
      </c>
      <c r="B313" s="5">
        <v>0.0</v>
      </c>
      <c r="C313" s="6" t="s">
        <v>114</v>
      </c>
      <c r="D313" s="6" t="s">
        <v>780</v>
      </c>
      <c r="E313" s="6" t="s">
        <v>781</v>
      </c>
      <c r="F313" s="6">
        <v>6.9070508228E10</v>
      </c>
      <c r="G313" s="6" t="s">
        <v>730</v>
      </c>
      <c r="H313" s="6" t="s">
        <v>5152</v>
      </c>
      <c r="I313" s="6" t="s">
        <v>3202</v>
      </c>
      <c r="J313" s="6" t="s">
        <v>5153</v>
      </c>
      <c r="K313" s="6" t="s">
        <v>5154</v>
      </c>
      <c r="L313" s="6" t="s">
        <v>5155</v>
      </c>
      <c r="M313" s="6" t="s">
        <v>5156</v>
      </c>
      <c r="N313" s="6" t="s">
        <v>5157</v>
      </c>
      <c r="O313" s="6" t="s">
        <v>5158</v>
      </c>
      <c r="P313" s="6" t="s">
        <v>5159</v>
      </c>
      <c r="Q313" s="6" t="s">
        <v>5160</v>
      </c>
      <c r="R313" s="6" t="s">
        <v>246</v>
      </c>
      <c r="S313" s="6" t="s">
        <v>147</v>
      </c>
      <c r="T313" s="6" t="s">
        <v>149</v>
      </c>
      <c r="U313" s="6" t="s">
        <v>152</v>
      </c>
      <c r="V313" s="6" t="s">
        <v>246</v>
      </c>
      <c r="W313" s="6" t="s">
        <v>158</v>
      </c>
      <c r="X313" s="6" t="s">
        <v>257</v>
      </c>
      <c r="Y313" s="6" t="s">
        <v>162</v>
      </c>
      <c r="Z313" s="6" t="s">
        <v>165</v>
      </c>
      <c r="AA313" s="6" t="s">
        <v>262</v>
      </c>
      <c r="AB313" s="6" t="s">
        <v>521</v>
      </c>
      <c r="AC313" s="6" t="s">
        <v>174</v>
      </c>
      <c r="AD313" s="6" t="s">
        <v>175</v>
      </c>
      <c r="AE313" s="6" t="s">
        <v>271</v>
      </c>
      <c r="AF313" s="6" t="s">
        <v>181</v>
      </c>
      <c r="AG313" s="6" t="s">
        <v>182</v>
      </c>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row>
    <row r="314" ht="22.5" customHeight="1">
      <c r="A314" s="4">
        <v>46229.69855032407</v>
      </c>
      <c r="B314" s="5">
        <v>0.0</v>
      </c>
      <c r="C314" s="6" t="s">
        <v>114</v>
      </c>
      <c r="D314" s="6" t="s">
        <v>784</v>
      </c>
      <c r="E314" s="6" t="s">
        <v>786</v>
      </c>
      <c r="F314" s="6">
        <v>6.9070500433E10</v>
      </c>
      <c r="G314" s="6" t="s">
        <v>310</v>
      </c>
      <c r="H314" s="6" t="s">
        <v>5161</v>
      </c>
      <c r="I314" s="6" t="s">
        <v>5162</v>
      </c>
      <c r="J314" s="6" t="s">
        <v>5163</v>
      </c>
      <c r="K314" s="6" t="s">
        <v>5164</v>
      </c>
      <c r="L314" s="6" t="s">
        <v>5165</v>
      </c>
      <c r="M314" s="6" t="s">
        <v>5166</v>
      </c>
      <c r="N314" s="6" t="s">
        <v>5167</v>
      </c>
      <c r="O314" s="6" t="s">
        <v>5168</v>
      </c>
      <c r="P314" s="6" t="s">
        <v>5169</v>
      </c>
      <c r="Q314" s="6" t="s">
        <v>5170</v>
      </c>
      <c r="R314" s="6" t="s">
        <v>257</v>
      </c>
      <c r="S314" s="6" t="s">
        <v>147</v>
      </c>
      <c r="T314" s="6" t="s">
        <v>257</v>
      </c>
      <c r="U314" s="6" t="s">
        <v>686</v>
      </c>
      <c r="V314" s="6" t="s">
        <v>246</v>
      </c>
      <c r="W314" s="6" t="s">
        <v>158</v>
      </c>
      <c r="X314" s="6" t="s">
        <v>246</v>
      </c>
      <c r="Y314" s="6" t="s">
        <v>162</v>
      </c>
      <c r="Z314" s="6" t="s">
        <v>165</v>
      </c>
      <c r="AA314" s="6" t="s">
        <v>262</v>
      </c>
      <c r="AB314" s="6" t="s">
        <v>171</v>
      </c>
      <c r="AC314" s="6" t="s">
        <v>633</v>
      </c>
      <c r="AD314" s="6" t="s">
        <v>1723</v>
      </c>
      <c r="AE314" s="6" t="s">
        <v>178</v>
      </c>
      <c r="AF314" s="6" t="s">
        <v>181</v>
      </c>
      <c r="AG314" s="6" t="s">
        <v>182</v>
      </c>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row>
    <row r="315" ht="22.5" customHeight="1">
      <c r="A315" s="4">
        <v>46229.6985565162</v>
      </c>
      <c r="B315" s="5">
        <v>0.0</v>
      </c>
      <c r="C315" s="6" t="s">
        <v>114</v>
      </c>
      <c r="D315" s="6" t="s">
        <v>789</v>
      </c>
      <c r="E315" s="6" t="s">
        <v>790</v>
      </c>
      <c r="F315" s="6">
        <v>6.9070502831E10</v>
      </c>
      <c r="G315" s="6" t="s">
        <v>310</v>
      </c>
      <c r="H315" s="7"/>
      <c r="I315" s="6" t="s">
        <v>5171</v>
      </c>
      <c r="J315" s="6" t="s">
        <v>5172</v>
      </c>
      <c r="K315" s="6" t="s">
        <v>5173</v>
      </c>
      <c r="L315" s="6" t="s">
        <v>5174</v>
      </c>
      <c r="M315" s="6" t="s">
        <v>5175</v>
      </c>
      <c r="N315" s="7"/>
      <c r="O315" s="6" t="s">
        <v>5176</v>
      </c>
      <c r="P315" s="6" t="s">
        <v>5177</v>
      </c>
      <c r="Q315" s="6" t="s">
        <v>5178</v>
      </c>
      <c r="R315" s="6" t="s">
        <v>246</v>
      </c>
      <c r="S315" s="6" t="s">
        <v>147</v>
      </c>
      <c r="T315" s="6" t="s">
        <v>250</v>
      </c>
      <c r="U315" s="6" t="s">
        <v>252</v>
      </c>
      <c r="V315" s="6" t="s">
        <v>246</v>
      </c>
      <c r="W315" s="6" t="s">
        <v>158</v>
      </c>
      <c r="X315" s="6" t="s">
        <v>246</v>
      </c>
      <c r="Y315" s="6" t="s">
        <v>162</v>
      </c>
      <c r="Z315" s="6" t="s">
        <v>165</v>
      </c>
      <c r="AA315" s="6" t="s">
        <v>168</v>
      </c>
      <c r="AB315" s="6" t="s">
        <v>171</v>
      </c>
      <c r="AC315" s="6" t="s">
        <v>174</v>
      </c>
      <c r="AD315" s="6" t="s">
        <v>175</v>
      </c>
      <c r="AE315" s="6" t="s">
        <v>1211</v>
      </c>
      <c r="AF315" s="6" t="s">
        <v>181</v>
      </c>
      <c r="AG315" s="6" t="s">
        <v>812</v>
      </c>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row>
    <row r="316" ht="22.5" customHeight="1">
      <c r="A316" s="4">
        <v>46229.69855724537</v>
      </c>
      <c r="B316" s="5">
        <v>0.0</v>
      </c>
      <c r="C316" s="6" t="s">
        <v>114</v>
      </c>
      <c r="D316" s="6" t="s">
        <v>792</v>
      </c>
      <c r="E316" s="6" t="s">
        <v>794</v>
      </c>
      <c r="F316" s="6">
        <v>6.9070508211E10</v>
      </c>
      <c r="G316" s="6" t="s">
        <v>730</v>
      </c>
      <c r="H316" s="7"/>
      <c r="I316" s="6" t="s">
        <v>5179</v>
      </c>
      <c r="J316" s="6" t="s">
        <v>5180</v>
      </c>
      <c r="K316" s="6" t="s">
        <v>5181</v>
      </c>
      <c r="L316" s="6" t="s">
        <v>4453</v>
      </c>
      <c r="M316" s="6" t="s">
        <v>5182</v>
      </c>
      <c r="N316" s="7"/>
      <c r="O316" s="6" t="s">
        <v>5183</v>
      </c>
      <c r="P316" s="6" t="s">
        <v>5184</v>
      </c>
      <c r="Q316" s="6" t="s">
        <v>5185</v>
      </c>
      <c r="R316" s="6" t="s">
        <v>246</v>
      </c>
      <c r="S316" s="6" t="s">
        <v>147</v>
      </c>
      <c r="T316" s="6" t="s">
        <v>246</v>
      </c>
      <c r="U316" s="6" t="s">
        <v>152</v>
      </c>
      <c r="V316" s="6" t="s">
        <v>246</v>
      </c>
      <c r="W316" s="6" t="s">
        <v>158</v>
      </c>
      <c r="X316" s="6" t="s">
        <v>257</v>
      </c>
      <c r="Y316" s="6" t="s">
        <v>162</v>
      </c>
      <c r="Z316" s="6" t="s">
        <v>165</v>
      </c>
      <c r="AA316" s="6" t="s">
        <v>262</v>
      </c>
      <c r="AB316" s="6" t="s">
        <v>171</v>
      </c>
      <c r="AC316" s="6" t="s">
        <v>174</v>
      </c>
      <c r="AD316" s="6" t="s">
        <v>175</v>
      </c>
      <c r="AE316" s="6" t="s">
        <v>271</v>
      </c>
      <c r="AF316" s="6" t="s">
        <v>181</v>
      </c>
      <c r="AG316" s="6" t="s">
        <v>182</v>
      </c>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row>
    <row r="317" ht="22.5" customHeight="1">
      <c r="A317" s="4">
        <v>46229.69856390046</v>
      </c>
      <c r="B317" s="5">
        <v>0.0</v>
      </c>
      <c r="C317" s="6" t="s">
        <v>114</v>
      </c>
      <c r="D317" s="6" t="s">
        <v>797</v>
      </c>
      <c r="E317" s="6" t="s">
        <v>798</v>
      </c>
      <c r="F317" s="6">
        <v>6.9070501049E10</v>
      </c>
      <c r="G317" s="6" t="s">
        <v>1470</v>
      </c>
      <c r="H317" s="7"/>
      <c r="I317" s="6" t="s">
        <v>5186</v>
      </c>
      <c r="J317" s="6" t="s">
        <v>5187</v>
      </c>
      <c r="K317" s="6" t="s">
        <v>5188</v>
      </c>
      <c r="L317" s="6" t="s">
        <v>4153</v>
      </c>
      <c r="M317" s="6" t="s">
        <v>5189</v>
      </c>
      <c r="N317" s="7"/>
      <c r="O317" s="6" t="s">
        <v>5190</v>
      </c>
      <c r="P317" s="6" t="s">
        <v>5191</v>
      </c>
      <c r="Q317" s="6" t="s">
        <v>5192</v>
      </c>
      <c r="R317" s="6" t="s">
        <v>246</v>
      </c>
      <c r="S317" s="6" t="s">
        <v>147</v>
      </c>
      <c r="T317" s="6" t="s">
        <v>250</v>
      </c>
      <c r="U317" s="6" t="s">
        <v>560</v>
      </c>
      <c r="V317" s="6" t="s">
        <v>246</v>
      </c>
      <c r="W317" s="6" t="s">
        <v>158</v>
      </c>
      <c r="X317" s="6" t="s">
        <v>257</v>
      </c>
      <c r="Y317" s="6" t="s">
        <v>162</v>
      </c>
      <c r="Z317" s="6" t="s">
        <v>165</v>
      </c>
      <c r="AA317" s="6" t="s">
        <v>262</v>
      </c>
      <c r="AB317" s="6" t="s">
        <v>171</v>
      </c>
      <c r="AC317" s="6" t="s">
        <v>174</v>
      </c>
      <c r="AD317" s="6" t="s">
        <v>175</v>
      </c>
      <c r="AE317" s="6" t="s">
        <v>271</v>
      </c>
      <c r="AF317" s="6" t="s">
        <v>181</v>
      </c>
      <c r="AG317" s="6" t="s">
        <v>182</v>
      </c>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row>
    <row r="318" ht="22.5" customHeight="1">
      <c r="A318" s="4">
        <v>46229.698584375</v>
      </c>
      <c r="B318" s="5">
        <v>0.0</v>
      </c>
      <c r="C318" s="6" t="s">
        <v>114</v>
      </c>
      <c r="D318" s="6" t="s">
        <v>107</v>
      </c>
      <c r="E318" s="6" t="s">
        <v>799</v>
      </c>
      <c r="F318" s="6">
        <v>6.9070506448E10</v>
      </c>
      <c r="G318" s="6" t="s">
        <v>599</v>
      </c>
      <c r="H318" s="7"/>
      <c r="I318" s="6" t="s">
        <v>1536</v>
      </c>
      <c r="J318" s="6" t="s">
        <v>4318</v>
      </c>
      <c r="K318" s="6" t="s">
        <v>5193</v>
      </c>
      <c r="L318" s="6" t="s">
        <v>5194</v>
      </c>
      <c r="M318" s="6" t="s">
        <v>5195</v>
      </c>
      <c r="N318" s="7"/>
      <c r="O318" s="6" t="s">
        <v>5196</v>
      </c>
      <c r="P318" s="6" t="s">
        <v>5197</v>
      </c>
      <c r="Q318" s="6" t="s">
        <v>5198</v>
      </c>
      <c r="R318" s="6" t="s">
        <v>246</v>
      </c>
      <c r="S318" s="6" t="s">
        <v>147</v>
      </c>
      <c r="T318" s="6" t="s">
        <v>250</v>
      </c>
      <c r="U318" s="6" t="s">
        <v>252</v>
      </c>
      <c r="V318" s="6" t="s">
        <v>246</v>
      </c>
      <c r="W318" s="6" t="s">
        <v>158</v>
      </c>
      <c r="X318" s="6" t="s">
        <v>257</v>
      </c>
      <c r="Y318" s="6" t="s">
        <v>162</v>
      </c>
      <c r="Z318" s="6" t="s">
        <v>165</v>
      </c>
      <c r="AA318" s="6" t="s">
        <v>262</v>
      </c>
      <c r="AB318" s="6" t="s">
        <v>521</v>
      </c>
      <c r="AC318" s="6" t="s">
        <v>174</v>
      </c>
      <c r="AD318" s="6" t="s">
        <v>175</v>
      </c>
      <c r="AE318" s="6" t="s">
        <v>271</v>
      </c>
      <c r="AF318" s="6" t="s">
        <v>181</v>
      </c>
      <c r="AG318" s="6" t="s">
        <v>182</v>
      </c>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row>
    <row r="319" ht="22.5" customHeight="1">
      <c r="A319" s="4">
        <v>46229.69858524305</v>
      </c>
      <c r="B319" s="5">
        <v>0.0</v>
      </c>
      <c r="C319" s="6" t="s">
        <v>114</v>
      </c>
      <c r="D319" s="6" t="s">
        <v>800</v>
      </c>
      <c r="E319" s="6" t="s">
        <v>801</v>
      </c>
      <c r="F319" s="6">
        <v>6.9070500421E10</v>
      </c>
      <c r="G319" s="6" t="s">
        <v>310</v>
      </c>
      <c r="H319" s="7"/>
      <c r="I319" s="6" t="s">
        <v>5199</v>
      </c>
      <c r="J319" s="6" t="s">
        <v>5200</v>
      </c>
      <c r="K319" s="6" t="s">
        <v>4355</v>
      </c>
      <c r="L319" s="6" t="s">
        <v>5201</v>
      </c>
      <c r="M319" s="6" t="s">
        <v>5202</v>
      </c>
      <c r="N319" s="7"/>
      <c r="O319" s="6" t="s">
        <v>5203</v>
      </c>
      <c r="P319" s="6" t="s">
        <v>5204</v>
      </c>
      <c r="Q319" s="6" t="s">
        <v>5205</v>
      </c>
      <c r="R319" s="6" t="s">
        <v>246</v>
      </c>
      <c r="S319" s="6" t="s">
        <v>147</v>
      </c>
      <c r="T319" s="6" t="s">
        <v>250</v>
      </c>
      <c r="U319" s="6" t="s">
        <v>560</v>
      </c>
      <c r="V319" s="6" t="s">
        <v>155</v>
      </c>
      <c r="W319" s="6" t="s">
        <v>158</v>
      </c>
      <c r="X319" s="6" t="s">
        <v>458</v>
      </c>
      <c r="Y319" s="6" t="s">
        <v>162</v>
      </c>
      <c r="Z319" s="6" t="s">
        <v>165</v>
      </c>
      <c r="AA319" s="6" t="s">
        <v>262</v>
      </c>
      <c r="AB319" s="6" t="s">
        <v>521</v>
      </c>
      <c r="AC319" s="6" t="s">
        <v>174</v>
      </c>
      <c r="AD319" s="6" t="s">
        <v>175</v>
      </c>
      <c r="AE319" s="6" t="s">
        <v>271</v>
      </c>
      <c r="AF319" s="6" t="s">
        <v>181</v>
      </c>
      <c r="AG319" s="6" t="s">
        <v>182</v>
      </c>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row>
    <row r="320" ht="22.5" customHeight="1">
      <c r="A320" s="4">
        <v>46229.69858832176</v>
      </c>
      <c r="B320" s="5">
        <v>0.0</v>
      </c>
      <c r="C320" s="6" t="s">
        <v>114</v>
      </c>
      <c r="D320" s="6" t="s">
        <v>802</v>
      </c>
      <c r="E320" s="6" t="s">
        <v>803</v>
      </c>
      <c r="F320" s="6">
        <v>6.9070502448E10</v>
      </c>
      <c r="G320" s="6" t="s">
        <v>122</v>
      </c>
      <c r="H320" s="7"/>
      <c r="I320" s="6" t="s">
        <v>5206</v>
      </c>
      <c r="J320" s="6" t="s">
        <v>5207</v>
      </c>
      <c r="K320" s="6" t="s">
        <v>5208</v>
      </c>
      <c r="L320" s="6" t="s">
        <v>5209</v>
      </c>
      <c r="M320" s="6" t="s">
        <v>5210</v>
      </c>
      <c r="N320" s="7"/>
      <c r="O320" s="6" t="s">
        <v>5211</v>
      </c>
      <c r="P320" s="6" t="s">
        <v>5212</v>
      </c>
      <c r="Q320" s="6" t="s">
        <v>5213</v>
      </c>
      <c r="R320" s="6" t="s">
        <v>246</v>
      </c>
      <c r="S320" s="6" t="s">
        <v>147</v>
      </c>
      <c r="T320" s="6" t="s">
        <v>250</v>
      </c>
      <c r="U320" s="6" t="s">
        <v>560</v>
      </c>
      <c r="V320" s="6" t="s">
        <v>246</v>
      </c>
      <c r="W320" s="6" t="s">
        <v>158</v>
      </c>
      <c r="X320" s="6" t="s">
        <v>246</v>
      </c>
      <c r="Y320" s="6" t="s">
        <v>162</v>
      </c>
      <c r="Z320" s="6" t="s">
        <v>165</v>
      </c>
      <c r="AA320" s="6" t="s">
        <v>262</v>
      </c>
      <c r="AB320" s="6" t="s">
        <v>171</v>
      </c>
      <c r="AC320" s="6" t="s">
        <v>174</v>
      </c>
      <c r="AD320" s="6" t="s">
        <v>175</v>
      </c>
      <c r="AE320" s="6" t="s">
        <v>178</v>
      </c>
      <c r="AF320" s="6" t="s">
        <v>181</v>
      </c>
      <c r="AG320" s="6" t="s">
        <v>182</v>
      </c>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row>
    <row r="321" ht="22.5" customHeight="1">
      <c r="A321" s="4">
        <v>46229.6985912963</v>
      </c>
      <c r="B321" s="5">
        <v>0.0</v>
      </c>
      <c r="C321" s="6" t="s">
        <v>3296</v>
      </c>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6" t="s">
        <v>2636</v>
      </c>
      <c r="AI321" s="6" t="s">
        <v>2637</v>
      </c>
      <c r="AJ321" s="6">
        <v>6.9070503413E10</v>
      </c>
      <c r="AK321" s="6" t="s">
        <v>3297</v>
      </c>
      <c r="AL321" s="7"/>
      <c r="AM321" s="6" t="s">
        <v>5214</v>
      </c>
      <c r="AN321" s="6" t="s">
        <v>5215</v>
      </c>
      <c r="AO321" s="6" t="s">
        <v>5216</v>
      </c>
      <c r="AP321" s="6" t="s">
        <v>5217</v>
      </c>
      <c r="AQ321" s="6" t="s">
        <v>5218</v>
      </c>
      <c r="AR321" s="7"/>
      <c r="AS321" s="6" t="s">
        <v>5219</v>
      </c>
      <c r="AT321" s="6" t="s">
        <v>5220</v>
      </c>
      <c r="AU321" s="6" t="s">
        <v>5221</v>
      </c>
      <c r="AV321" s="6" t="s">
        <v>3306</v>
      </c>
      <c r="AW321" s="6" t="s">
        <v>3307</v>
      </c>
      <c r="AX321" s="6" t="s">
        <v>3887</v>
      </c>
      <c r="AY321" s="6" t="s">
        <v>4067</v>
      </c>
      <c r="AZ321" s="6" t="s">
        <v>3306</v>
      </c>
      <c r="BA321" s="6" t="s">
        <v>3311</v>
      </c>
      <c r="BB321" s="6" t="s">
        <v>4693</v>
      </c>
      <c r="BC321" s="6" t="s">
        <v>3313</v>
      </c>
      <c r="BD321" s="6" t="s">
        <v>165</v>
      </c>
      <c r="BE321" s="6" t="s">
        <v>3888</v>
      </c>
      <c r="BF321" s="6" t="s">
        <v>4862</v>
      </c>
      <c r="BG321" s="6" t="s">
        <v>4068</v>
      </c>
      <c r="BH321" s="6" t="s">
        <v>3317</v>
      </c>
      <c r="BI321" s="6" t="s">
        <v>1211</v>
      </c>
      <c r="BJ321" s="6" t="s">
        <v>3318</v>
      </c>
      <c r="BK321" s="6" t="s">
        <v>3319</v>
      </c>
    </row>
    <row r="322" ht="22.5" customHeight="1">
      <c r="A322" s="4">
        <v>46229.69860127315</v>
      </c>
      <c r="B322" s="5">
        <v>0.0</v>
      </c>
      <c r="C322" s="6" t="s">
        <v>114</v>
      </c>
      <c r="D322" s="6" t="s">
        <v>805</v>
      </c>
      <c r="E322" s="6" t="s">
        <v>806</v>
      </c>
      <c r="F322" s="6">
        <v>6.9070501038E10</v>
      </c>
      <c r="G322" s="6" t="s">
        <v>1470</v>
      </c>
      <c r="H322" s="7"/>
      <c r="I322" s="6" t="s">
        <v>5222</v>
      </c>
      <c r="J322" s="6" t="s">
        <v>5223</v>
      </c>
      <c r="K322" s="6" t="s">
        <v>5224</v>
      </c>
      <c r="L322" s="6" t="s">
        <v>5225</v>
      </c>
      <c r="M322" s="6" t="s">
        <v>5226</v>
      </c>
      <c r="N322" s="7"/>
      <c r="O322" s="6" t="s">
        <v>5227</v>
      </c>
      <c r="P322" s="6" t="s">
        <v>5228</v>
      </c>
      <c r="Q322" s="6" t="s">
        <v>5229</v>
      </c>
      <c r="R322" s="6" t="s">
        <v>246</v>
      </c>
      <c r="S322" s="6" t="s">
        <v>147</v>
      </c>
      <c r="T322" s="6" t="s">
        <v>250</v>
      </c>
      <c r="U322" s="6" t="s">
        <v>252</v>
      </c>
      <c r="V322" s="6" t="s">
        <v>246</v>
      </c>
      <c r="W322" s="6" t="s">
        <v>158</v>
      </c>
      <c r="X322" s="6" t="s">
        <v>257</v>
      </c>
      <c r="Y322" s="6" t="s">
        <v>162</v>
      </c>
      <c r="Z322" s="6" t="s">
        <v>165</v>
      </c>
      <c r="AA322" s="6" t="s">
        <v>262</v>
      </c>
      <c r="AB322" s="6" t="s">
        <v>171</v>
      </c>
      <c r="AC322" s="6" t="s">
        <v>174</v>
      </c>
      <c r="AD322" s="6" t="s">
        <v>175</v>
      </c>
      <c r="AE322" s="6" t="s">
        <v>271</v>
      </c>
      <c r="AF322" s="6" t="s">
        <v>181</v>
      </c>
      <c r="AG322" s="6" t="s">
        <v>182</v>
      </c>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row>
    <row r="323" ht="22.5" customHeight="1">
      <c r="A323" s="4">
        <v>46229.69860703703</v>
      </c>
      <c r="B323" s="5">
        <v>0.0</v>
      </c>
      <c r="C323" s="6" t="s">
        <v>114</v>
      </c>
      <c r="D323" s="6" t="s">
        <v>807</v>
      </c>
      <c r="E323" s="6" t="s">
        <v>808</v>
      </c>
      <c r="F323" s="6">
        <v>6.9070500887E10</v>
      </c>
      <c r="G323" s="6" t="s">
        <v>496</v>
      </c>
      <c r="H323" s="7"/>
      <c r="I323" s="6" t="s">
        <v>1907</v>
      </c>
      <c r="J323" s="6" t="s">
        <v>2864</v>
      </c>
      <c r="K323" s="6" t="s">
        <v>5230</v>
      </c>
      <c r="L323" s="6" t="s">
        <v>2856</v>
      </c>
      <c r="M323" s="6" t="s">
        <v>5231</v>
      </c>
      <c r="N323" s="6" t="s">
        <v>5232</v>
      </c>
      <c r="O323" s="6" t="s">
        <v>5233</v>
      </c>
      <c r="P323" s="6" t="s">
        <v>5234</v>
      </c>
      <c r="Q323" s="6" t="s">
        <v>5235</v>
      </c>
      <c r="R323" s="6" t="s">
        <v>257</v>
      </c>
      <c r="S323" s="6" t="s">
        <v>147</v>
      </c>
      <c r="T323" s="6" t="s">
        <v>246</v>
      </c>
      <c r="U323" s="6" t="s">
        <v>252</v>
      </c>
      <c r="V323" s="6" t="s">
        <v>246</v>
      </c>
      <c r="W323" s="6" t="s">
        <v>158</v>
      </c>
      <c r="X323" s="6" t="s">
        <v>257</v>
      </c>
      <c r="Y323" s="6" t="s">
        <v>162</v>
      </c>
      <c r="Z323" s="6" t="s">
        <v>165</v>
      </c>
      <c r="AA323" s="6" t="s">
        <v>262</v>
      </c>
      <c r="AB323" s="6" t="s">
        <v>171</v>
      </c>
      <c r="AC323" s="6" t="s">
        <v>174</v>
      </c>
      <c r="AD323" s="6" t="s">
        <v>175</v>
      </c>
      <c r="AE323" s="6" t="s">
        <v>271</v>
      </c>
      <c r="AF323" s="6" t="s">
        <v>181</v>
      </c>
      <c r="AG323" s="6" t="s">
        <v>182</v>
      </c>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row>
    <row r="324" ht="22.5" customHeight="1">
      <c r="A324" s="4">
        <v>46229.69860945602</v>
      </c>
      <c r="B324" s="5">
        <v>0.0</v>
      </c>
      <c r="C324" s="6" t="s">
        <v>3296</v>
      </c>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6" t="s">
        <v>2638</v>
      </c>
      <c r="AI324" s="6" t="s">
        <v>2639</v>
      </c>
      <c r="AJ324" s="6">
        <v>6.9070507846E10</v>
      </c>
      <c r="AK324" s="6" t="s">
        <v>5236</v>
      </c>
      <c r="AL324" s="7"/>
      <c r="AM324" s="6" t="s">
        <v>5237</v>
      </c>
      <c r="AN324" s="6" t="s">
        <v>5238</v>
      </c>
      <c r="AO324" s="6" t="s">
        <v>5239</v>
      </c>
      <c r="AP324" s="6" t="s">
        <v>5240</v>
      </c>
      <c r="AQ324" s="6" t="s">
        <v>5241</v>
      </c>
      <c r="AR324" s="6" t="s">
        <v>5242</v>
      </c>
      <c r="AS324" s="6" t="s">
        <v>5243</v>
      </c>
      <c r="AT324" s="6" t="s">
        <v>5244</v>
      </c>
      <c r="AU324" s="6" t="s">
        <v>5245</v>
      </c>
      <c r="AV324" s="6" t="s">
        <v>3306</v>
      </c>
      <c r="AW324" s="6" t="s">
        <v>3307</v>
      </c>
      <c r="AX324" s="6" t="s">
        <v>3887</v>
      </c>
      <c r="AY324" s="6" t="s">
        <v>4067</v>
      </c>
      <c r="AZ324" s="6" t="s">
        <v>3310</v>
      </c>
      <c r="BA324" s="6" t="s">
        <v>3311</v>
      </c>
      <c r="BB324" s="6" t="s">
        <v>4693</v>
      </c>
      <c r="BC324" s="6" t="s">
        <v>3313</v>
      </c>
      <c r="BD324" s="6" t="s">
        <v>165</v>
      </c>
      <c r="BE324" s="6" t="s">
        <v>3888</v>
      </c>
      <c r="BF324" s="6" t="s">
        <v>3889</v>
      </c>
      <c r="BG324" s="6" t="s">
        <v>4068</v>
      </c>
      <c r="BH324" s="6" t="s">
        <v>5246</v>
      </c>
      <c r="BI324" s="6" t="s">
        <v>524</v>
      </c>
      <c r="BJ324" s="6" t="s">
        <v>5247</v>
      </c>
      <c r="BK324" s="6" t="s">
        <v>5248</v>
      </c>
    </row>
    <row r="325" ht="22.5" customHeight="1">
      <c r="A325" s="4">
        <v>46229.698620462965</v>
      </c>
      <c r="B325" s="5">
        <v>0.0</v>
      </c>
      <c r="C325" s="6" t="s">
        <v>114</v>
      </c>
      <c r="D325" s="6" t="s">
        <v>809</v>
      </c>
      <c r="E325" s="6" t="s">
        <v>810</v>
      </c>
      <c r="F325" s="6">
        <v>6.9070509832E10</v>
      </c>
      <c r="G325" s="6" t="s">
        <v>496</v>
      </c>
      <c r="H325" s="7"/>
      <c r="I325" s="6" t="s">
        <v>5249</v>
      </c>
      <c r="J325" s="6" t="s">
        <v>5250</v>
      </c>
      <c r="K325" s="6" t="s">
        <v>5251</v>
      </c>
      <c r="L325" s="6" t="s">
        <v>5252</v>
      </c>
      <c r="M325" s="6" t="s">
        <v>5253</v>
      </c>
      <c r="N325" s="7"/>
      <c r="O325" s="6" t="s">
        <v>5254</v>
      </c>
      <c r="P325" s="6" t="s">
        <v>5255</v>
      </c>
      <c r="Q325" s="6" t="s">
        <v>5256</v>
      </c>
      <c r="R325" s="6" t="s">
        <v>246</v>
      </c>
      <c r="S325" s="6" t="s">
        <v>147</v>
      </c>
      <c r="T325" s="6" t="s">
        <v>516</v>
      </c>
      <c r="U325" s="6" t="s">
        <v>252</v>
      </c>
      <c r="V325" s="6" t="s">
        <v>246</v>
      </c>
      <c r="W325" s="6" t="s">
        <v>158</v>
      </c>
      <c r="X325" s="6" t="s">
        <v>250</v>
      </c>
      <c r="Y325" s="6" t="s">
        <v>162</v>
      </c>
      <c r="Z325" s="6" t="s">
        <v>165</v>
      </c>
      <c r="AA325" s="6" t="s">
        <v>262</v>
      </c>
      <c r="AB325" s="6" t="s">
        <v>171</v>
      </c>
      <c r="AC325" s="6" t="s">
        <v>174</v>
      </c>
      <c r="AD325" s="6" t="s">
        <v>175</v>
      </c>
      <c r="AE325" s="6" t="s">
        <v>271</v>
      </c>
      <c r="AF325" s="6" t="s">
        <v>181</v>
      </c>
      <c r="AG325" s="6" t="s">
        <v>182</v>
      </c>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row>
    <row r="326" ht="22.5" customHeight="1">
      <c r="A326" s="4">
        <v>46229.69862429398</v>
      </c>
      <c r="B326" s="5">
        <v>0.0</v>
      </c>
      <c r="C326" s="6" t="s">
        <v>114</v>
      </c>
      <c r="D326" s="6" t="s">
        <v>111</v>
      </c>
      <c r="E326" s="6" t="s">
        <v>813</v>
      </c>
      <c r="F326" s="6">
        <v>6.9070509605E10</v>
      </c>
      <c r="G326" s="6" t="s">
        <v>730</v>
      </c>
      <c r="H326" s="7"/>
      <c r="I326" s="6" t="s">
        <v>5257</v>
      </c>
      <c r="J326" s="6" t="s">
        <v>5258</v>
      </c>
      <c r="K326" s="6" t="s">
        <v>5259</v>
      </c>
      <c r="L326" s="6" t="s">
        <v>5260</v>
      </c>
      <c r="M326" s="6" t="s">
        <v>5261</v>
      </c>
      <c r="N326" s="7"/>
      <c r="O326" s="6" t="s">
        <v>5262</v>
      </c>
      <c r="P326" s="6" t="s">
        <v>5263</v>
      </c>
      <c r="Q326" s="6" t="s">
        <v>5264</v>
      </c>
      <c r="R326" s="6" t="s">
        <v>257</v>
      </c>
      <c r="S326" s="6" t="s">
        <v>147</v>
      </c>
      <c r="T326" s="6" t="s">
        <v>250</v>
      </c>
      <c r="U326" s="6" t="s">
        <v>560</v>
      </c>
      <c r="V326" s="6" t="s">
        <v>2302</v>
      </c>
      <c r="W326" s="6" t="s">
        <v>158</v>
      </c>
      <c r="X326" s="6" t="s">
        <v>161</v>
      </c>
      <c r="Y326" s="6" t="s">
        <v>162</v>
      </c>
      <c r="Z326" s="6" t="s">
        <v>165</v>
      </c>
      <c r="AA326" s="6" t="s">
        <v>2307</v>
      </c>
      <c r="AB326" s="6" t="s">
        <v>521</v>
      </c>
      <c r="AC326" s="6" t="s">
        <v>174</v>
      </c>
      <c r="AD326" s="6" t="s">
        <v>1723</v>
      </c>
      <c r="AE326" s="6" t="s">
        <v>271</v>
      </c>
      <c r="AF326" s="6" t="s">
        <v>181</v>
      </c>
      <c r="AG326" s="6" t="s">
        <v>182</v>
      </c>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row>
    <row r="327" ht="22.5" customHeight="1">
      <c r="A327" s="4">
        <v>46229.69863240741</v>
      </c>
      <c r="B327" s="5">
        <v>0.0</v>
      </c>
      <c r="C327" s="6" t="s">
        <v>114</v>
      </c>
      <c r="D327" s="6" t="s">
        <v>814</v>
      </c>
      <c r="E327" s="6" t="s">
        <v>815</v>
      </c>
      <c r="F327" s="6">
        <v>6.90705003E10</v>
      </c>
      <c r="G327" s="6" t="s">
        <v>599</v>
      </c>
      <c r="H327" s="7"/>
      <c r="I327" s="6" t="s">
        <v>5265</v>
      </c>
      <c r="J327" s="6" t="s">
        <v>4432</v>
      </c>
      <c r="K327" s="6" t="s">
        <v>5266</v>
      </c>
      <c r="L327" s="6" t="s">
        <v>3734</v>
      </c>
      <c r="M327" s="6" t="s">
        <v>5267</v>
      </c>
      <c r="N327" s="6" t="s">
        <v>5268</v>
      </c>
      <c r="O327" s="6" t="s">
        <v>5269</v>
      </c>
      <c r="P327" s="6" t="s">
        <v>5270</v>
      </c>
      <c r="Q327" s="6" t="s">
        <v>5271</v>
      </c>
      <c r="R327" s="6" t="s">
        <v>246</v>
      </c>
      <c r="S327" s="6" t="s">
        <v>147</v>
      </c>
      <c r="T327" s="6" t="s">
        <v>250</v>
      </c>
      <c r="U327" s="6" t="s">
        <v>560</v>
      </c>
      <c r="V327" s="6" t="s">
        <v>246</v>
      </c>
      <c r="W327" s="6" t="s">
        <v>158</v>
      </c>
      <c r="X327" s="6" t="s">
        <v>246</v>
      </c>
      <c r="Y327" s="6" t="s">
        <v>162</v>
      </c>
      <c r="Z327" s="6" t="s">
        <v>165</v>
      </c>
      <c r="AA327" s="6" t="s">
        <v>262</v>
      </c>
      <c r="AB327" s="6" t="s">
        <v>521</v>
      </c>
      <c r="AC327" s="6" t="s">
        <v>174</v>
      </c>
      <c r="AD327" s="6" t="s">
        <v>175</v>
      </c>
      <c r="AE327" s="6" t="s">
        <v>271</v>
      </c>
      <c r="AF327" s="6" t="s">
        <v>181</v>
      </c>
      <c r="AG327" s="6" t="s">
        <v>182</v>
      </c>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row>
    <row r="328" ht="22.5" customHeight="1">
      <c r="A328" s="4">
        <v>46229.69866009259</v>
      </c>
      <c r="B328" s="5">
        <v>0.0</v>
      </c>
      <c r="C328" s="6" t="s">
        <v>114</v>
      </c>
      <c r="D328" s="6" t="s">
        <v>816</v>
      </c>
      <c r="E328" s="6" t="s">
        <v>817</v>
      </c>
      <c r="F328" s="6">
        <v>6.9070502244E10</v>
      </c>
      <c r="G328" s="6" t="s">
        <v>496</v>
      </c>
      <c r="H328" s="7"/>
      <c r="I328" s="6" t="s">
        <v>5272</v>
      </c>
      <c r="J328" s="6" t="s">
        <v>5273</v>
      </c>
      <c r="K328" s="6" t="s">
        <v>5274</v>
      </c>
      <c r="L328" s="6" t="s">
        <v>5275</v>
      </c>
      <c r="M328" s="6" t="s">
        <v>5276</v>
      </c>
      <c r="N328" s="7"/>
      <c r="O328" s="6" t="s">
        <v>5277</v>
      </c>
      <c r="P328" s="6" t="s">
        <v>5278</v>
      </c>
      <c r="Q328" s="6" t="s">
        <v>5279</v>
      </c>
      <c r="R328" s="6" t="s">
        <v>246</v>
      </c>
      <c r="S328" s="6" t="s">
        <v>147</v>
      </c>
      <c r="T328" s="6" t="s">
        <v>516</v>
      </c>
      <c r="U328" s="6" t="s">
        <v>252</v>
      </c>
      <c r="V328" s="6" t="s">
        <v>246</v>
      </c>
      <c r="W328" s="6" t="s">
        <v>158</v>
      </c>
      <c r="X328" s="6" t="s">
        <v>257</v>
      </c>
      <c r="Y328" s="6" t="s">
        <v>162</v>
      </c>
      <c r="Z328" s="6" t="s">
        <v>165</v>
      </c>
      <c r="AA328" s="6" t="s">
        <v>262</v>
      </c>
      <c r="AB328" s="6" t="s">
        <v>521</v>
      </c>
      <c r="AC328" s="6" t="s">
        <v>174</v>
      </c>
      <c r="AD328" s="6" t="s">
        <v>175</v>
      </c>
      <c r="AE328" s="6" t="s">
        <v>178</v>
      </c>
      <c r="AF328" s="6" t="s">
        <v>181</v>
      </c>
      <c r="AG328" s="6" t="s">
        <v>182</v>
      </c>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row>
    <row r="329" ht="22.5" customHeight="1">
      <c r="A329" s="4">
        <v>46229.69866722223</v>
      </c>
      <c r="B329" s="5">
        <v>0.0</v>
      </c>
      <c r="C329" s="6" t="s">
        <v>114</v>
      </c>
      <c r="D329" s="6" t="s">
        <v>818</v>
      </c>
      <c r="E329" s="6" t="s">
        <v>819</v>
      </c>
      <c r="F329" s="6">
        <v>6.9070500207E10</v>
      </c>
      <c r="G329" s="6" t="s">
        <v>599</v>
      </c>
      <c r="H329" s="6" t="s">
        <v>5280</v>
      </c>
      <c r="I329" s="6" t="s">
        <v>5281</v>
      </c>
      <c r="J329" s="6" t="s">
        <v>5282</v>
      </c>
      <c r="K329" s="6" t="s">
        <v>3161</v>
      </c>
      <c r="L329" s="6" t="s">
        <v>4147</v>
      </c>
      <c r="M329" s="6" t="s">
        <v>3170</v>
      </c>
      <c r="N329" s="7"/>
      <c r="O329" s="6" t="s">
        <v>5283</v>
      </c>
      <c r="P329" s="6" t="s">
        <v>5284</v>
      </c>
      <c r="Q329" s="6" t="s">
        <v>5285</v>
      </c>
      <c r="R329" s="6" t="s">
        <v>246</v>
      </c>
      <c r="S329" s="6" t="s">
        <v>147</v>
      </c>
      <c r="T329" s="6" t="s">
        <v>250</v>
      </c>
      <c r="U329" s="6" t="s">
        <v>252</v>
      </c>
      <c r="V329" s="6" t="s">
        <v>246</v>
      </c>
      <c r="W329" s="6" t="s">
        <v>158</v>
      </c>
      <c r="X329" s="6" t="s">
        <v>257</v>
      </c>
      <c r="Y329" s="6" t="s">
        <v>162</v>
      </c>
      <c r="Z329" s="6" t="s">
        <v>165</v>
      </c>
      <c r="AA329" s="6" t="s">
        <v>262</v>
      </c>
      <c r="AB329" s="6" t="s">
        <v>171</v>
      </c>
      <c r="AC329" s="6" t="s">
        <v>174</v>
      </c>
      <c r="AD329" s="6" t="s">
        <v>175</v>
      </c>
      <c r="AE329" s="6" t="s">
        <v>271</v>
      </c>
      <c r="AF329" s="6" t="s">
        <v>181</v>
      </c>
      <c r="AG329" s="6" t="s">
        <v>182</v>
      </c>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row>
    <row r="330" ht="22.5" customHeight="1">
      <c r="A330" s="4">
        <v>46229.698683263894</v>
      </c>
      <c r="B330" s="5">
        <v>0.0</v>
      </c>
      <c r="C330" s="6" t="s">
        <v>114</v>
      </c>
      <c r="D330" s="6" t="s">
        <v>820</v>
      </c>
      <c r="E330" s="6" t="s">
        <v>821</v>
      </c>
      <c r="F330" s="6">
        <v>6.9070506454E10</v>
      </c>
      <c r="G330" s="6" t="s">
        <v>599</v>
      </c>
      <c r="H330" s="6" t="s">
        <v>5286</v>
      </c>
      <c r="I330" s="6" t="s">
        <v>5287</v>
      </c>
      <c r="J330" s="6" t="s">
        <v>5288</v>
      </c>
      <c r="K330" s="6" t="s">
        <v>5289</v>
      </c>
      <c r="L330" s="6" t="s">
        <v>5290</v>
      </c>
      <c r="M330" s="6" t="s">
        <v>5291</v>
      </c>
      <c r="N330" s="6" t="s">
        <v>5292</v>
      </c>
      <c r="O330" s="6" t="s">
        <v>5293</v>
      </c>
      <c r="P330" s="6" t="s">
        <v>5294</v>
      </c>
      <c r="Q330" s="6" t="s">
        <v>5295</v>
      </c>
      <c r="R330" s="6" t="s">
        <v>246</v>
      </c>
      <c r="S330" s="6" t="s">
        <v>147</v>
      </c>
      <c r="T330" s="6" t="s">
        <v>246</v>
      </c>
      <c r="U330" s="6" t="s">
        <v>686</v>
      </c>
      <c r="V330" s="6" t="s">
        <v>246</v>
      </c>
      <c r="W330" s="6" t="s">
        <v>158</v>
      </c>
      <c r="X330" s="6" t="s">
        <v>257</v>
      </c>
      <c r="Y330" s="6" t="s">
        <v>162</v>
      </c>
      <c r="Z330" s="6" t="s">
        <v>165</v>
      </c>
      <c r="AA330" s="6" t="s">
        <v>262</v>
      </c>
      <c r="AB330" s="6" t="s">
        <v>171</v>
      </c>
      <c r="AC330" s="6" t="s">
        <v>174</v>
      </c>
      <c r="AD330" s="6" t="s">
        <v>175</v>
      </c>
      <c r="AE330" s="6" t="s">
        <v>178</v>
      </c>
      <c r="AF330" s="6" t="s">
        <v>181</v>
      </c>
      <c r="AG330" s="6" t="s">
        <v>182</v>
      </c>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row>
    <row r="331" ht="22.5" customHeight="1">
      <c r="A331" s="4">
        <v>46229.698715983795</v>
      </c>
      <c r="B331" s="5">
        <v>0.0</v>
      </c>
      <c r="C331" s="6" t="s">
        <v>114</v>
      </c>
      <c r="D331" s="6" t="s">
        <v>822</v>
      </c>
      <c r="E331" s="6" t="s">
        <v>823</v>
      </c>
      <c r="F331" s="6">
        <v>6.9070500469E10</v>
      </c>
      <c r="G331" s="6" t="s">
        <v>310</v>
      </c>
      <c r="H331" s="6" t="s">
        <v>5296</v>
      </c>
      <c r="I331" s="6" t="s">
        <v>5297</v>
      </c>
      <c r="J331" s="6" t="s">
        <v>5298</v>
      </c>
      <c r="K331" s="6" t="s">
        <v>5299</v>
      </c>
      <c r="L331" s="6" t="s">
        <v>5300</v>
      </c>
      <c r="M331" s="6" t="s">
        <v>5301</v>
      </c>
      <c r="N331" s="6" t="s">
        <v>2633</v>
      </c>
      <c r="O331" s="6" t="s">
        <v>5302</v>
      </c>
      <c r="P331" s="6" t="s">
        <v>5303</v>
      </c>
      <c r="Q331" s="6" t="s">
        <v>5304</v>
      </c>
      <c r="R331" s="6" t="s">
        <v>246</v>
      </c>
      <c r="S331" s="6" t="s">
        <v>1148</v>
      </c>
      <c r="T331" s="6" t="s">
        <v>250</v>
      </c>
      <c r="U331" s="6" t="s">
        <v>2254</v>
      </c>
      <c r="V331" s="6" t="s">
        <v>246</v>
      </c>
      <c r="W331" s="6" t="s">
        <v>158</v>
      </c>
      <c r="X331" s="6" t="s">
        <v>161</v>
      </c>
      <c r="Y331" s="6" t="s">
        <v>162</v>
      </c>
      <c r="Z331" s="6" t="s">
        <v>165</v>
      </c>
      <c r="AA331" s="6" t="s">
        <v>2307</v>
      </c>
      <c r="AB331" s="6" t="s">
        <v>521</v>
      </c>
      <c r="AC331" s="6" t="s">
        <v>174</v>
      </c>
      <c r="AD331" s="6" t="s">
        <v>175</v>
      </c>
      <c r="AE331" s="6" t="s">
        <v>271</v>
      </c>
      <c r="AF331" s="6" t="s">
        <v>181</v>
      </c>
      <c r="AG331" s="6" t="s">
        <v>182</v>
      </c>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row>
    <row r="332" ht="22.5" customHeight="1">
      <c r="A332" s="4">
        <v>46229.69871653935</v>
      </c>
      <c r="B332" s="5">
        <v>0.0</v>
      </c>
      <c r="C332" s="6" t="s">
        <v>114</v>
      </c>
      <c r="D332" s="6" t="s">
        <v>358</v>
      </c>
      <c r="E332" s="6" t="s">
        <v>824</v>
      </c>
      <c r="F332" s="6">
        <v>6.9070500224E10</v>
      </c>
      <c r="G332" s="6" t="s">
        <v>599</v>
      </c>
      <c r="H332" s="7"/>
      <c r="I332" s="6" t="s">
        <v>5305</v>
      </c>
      <c r="J332" s="6" t="s">
        <v>5306</v>
      </c>
      <c r="K332" s="6" t="s">
        <v>3637</v>
      </c>
      <c r="L332" s="6" t="s">
        <v>5307</v>
      </c>
      <c r="M332" s="6" t="s">
        <v>5017</v>
      </c>
      <c r="N332" s="7"/>
      <c r="O332" s="6" t="s">
        <v>5308</v>
      </c>
      <c r="P332" s="6" t="s">
        <v>5309</v>
      </c>
      <c r="Q332" s="6" t="s">
        <v>5310</v>
      </c>
      <c r="R332" s="6" t="s">
        <v>246</v>
      </c>
      <c r="S332" s="6" t="s">
        <v>147</v>
      </c>
      <c r="T332" s="6" t="s">
        <v>250</v>
      </c>
      <c r="U332" s="6" t="s">
        <v>560</v>
      </c>
      <c r="V332" s="6" t="s">
        <v>246</v>
      </c>
      <c r="W332" s="6" t="s">
        <v>158</v>
      </c>
      <c r="X332" s="6" t="s">
        <v>458</v>
      </c>
      <c r="Y332" s="6" t="s">
        <v>162</v>
      </c>
      <c r="Z332" s="6" t="s">
        <v>165</v>
      </c>
      <c r="AA332" s="6" t="s">
        <v>262</v>
      </c>
      <c r="AB332" s="6" t="s">
        <v>171</v>
      </c>
      <c r="AC332" s="6" t="s">
        <v>174</v>
      </c>
      <c r="AD332" s="6" t="s">
        <v>175</v>
      </c>
      <c r="AE332" s="6" t="s">
        <v>271</v>
      </c>
      <c r="AF332" s="6" t="s">
        <v>181</v>
      </c>
      <c r="AG332" s="6" t="s">
        <v>182</v>
      </c>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row>
    <row r="333" ht="22.5" customHeight="1">
      <c r="A333" s="4">
        <v>46229.698717060186</v>
      </c>
      <c r="B333" s="5">
        <v>0.0</v>
      </c>
      <c r="C333" s="6" t="s">
        <v>114</v>
      </c>
      <c r="D333" s="6" t="s">
        <v>825</v>
      </c>
      <c r="E333" s="6" t="s">
        <v>826</v>
      </c>
      <c r="F333" s="6">
        <v>6.9070502412E10</v>
      </c>
      <c r="G333" s="6" t="s">
        <v>122</v>
      </c>
      <c r="H333" s="7"/>
      <c r="I333" s="6" t="s">
        <v>5311</v>
      </c>
      <c r="J333" s="6" t="s">
        <v>5312</v>
      </c>
      <c r="K333" s="6" t="s">
        <v>5313</v>
      </c>
      <c r="L333" s="6" t="s">
        <v>5314</v>
      </c>
      <c r="M333" s="6" t="s">
        <v>5315</v>
      </c>
      <c r="N333" s="7"/>
      <c r="O333" s="6" t="s">
        <v>5316</v>
      </c>
      <c r="P333" s="6" t="s">
        <v>5317</v>
      </c>
      <c r="Q333" s="6" t="s">
        <v>5318</v>
      </c>
      <c r="R333" s="6" t="s">
        <v>246</v>
      </c>
      <c r="S333" s="6" t="s">
        <v>147</v>
      </c>
      <c r="T333" s="6" t="s">
        <v>250</v>
      </c>
      <c r="U333" s="6" t="s">
        <v>152</v>
      </c>
      <c r="V333" s="6" t="s">
        <v>246</v>
      </c>
      <c r="W333" s="6" t="s">
        <v>158</v>
      </c>
      <c r="X333" s="6" t="s">
        <v>257</v>
      </c>
      <c r="Y333" s="6" t="s">
        <v>162</v>
      </c>
      <c r="Z333" s="6" t="s">
        <v>152</v>
      </c>
      <c r="AA333" s="6" t="s">
        <v>262</v>
      </c>
      <c r="AB333" s="6" t="s">
        <v>521</v>
      </c>
      <c r="AC333" s="6" t="s">
        <v>174</v>
      </c>
      <c r="AD333" s="6" t="s">
        <v>175</v>
      </c>
      <c r="AE333" s="6" t="s">
        <v>271</v>
      </c>
      <c r="AF333" s="6" t="s">
        <v>181</v>
      </c>
      <c r="AG333" s="6" t="s">
        <v>182</v>
      </c>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row>
    <row r="334" ht="22.5" customHeight="1">
      <c r="A334" s="4">
        <v>46229.6987172338</v>
      </c>
      <c r="B334" s="5">
        <v>0.0</v>
      </c>
      <c r="C334" s="6" t="s">
        <v>114</v>
      </c>
      <c r="D334" s="6" t="s">
        <v>827</v>
      </c>
      <c r="E334" s="6" t="s">
        <v>828</v>
      </c>
      <c r="F334" s="6">
        <v>6.9070506474E10</v>
      </c>
      <c r="G334" s="6" t="s">
        <v>599</v>
      </c>
      <c r="H334" s="6" t="s">
        <v>5319</v>
      </c>
      <c r="I334" s="6" t="s">
        <v>4606</v>
      </c>
      <c r="J334" s="6" t="s">
        <v>5320</v>
      </c>
      <c r="K334" s="6" t="s">
        <v>5321</v>
      </c>
      <c r="L334" s="6" t="s">
        <v>5322</v>
      </c>
      <c r="M334" s="6" t="s">
        <v>4147</v>
      </c>
      <c r="N334" s="7"/>
      <c r="O334" s="6" t="s">
        <v>5323</v>
      </c>
      <c r="P334" s="6" t="s">
        <v>5324</v>
      </c>
      <c r="Q334" s="6" t="s">
        <v>5325</v>
      </c>
      <c r="R334" s="6" t="s">
        <v>246</v>
      </c>
      <c r="S334" s="6" t="s">
        <v>147</v>
      </c>
      <c r="T334" s="6" t="s">
        <v>250</v>
      </c>
      <c r="U334" s="6" t="s">
        <v>2254</v>
      </c>
      <c r="V334" s="6" t="s">
        <v>246</v>
      </c>
      <c r="W334" s="6" t="s">
        <v>158</v>
      </c>
      <c r="X334" s="6" t="s">
        <v>257</v>
      </c>
      <c r="Y334" s="6" t="s">
        <v>162</v>
      </c>
      <c r="Z334" s="6" t="s">
        <v>629</v>
      </c>
      <c r="AA334" s="6" t="s">
        <v>1322</v>
      </c>
      <c r="AB334" s="6" t="s">
        <v>521</v>
      </c>
      <c r="AC334" s="6" t="s">
        <v>633</v>
      </c>
      <c r="AD334" s="6" t="s">
        <v>175</v>
      </c>
      <c r="AE334" s="6" t="s">
        <v>178</v>
      </c>
      <c r="AF334" s="6" t="s">
        <v>181</v>
      </c>
      <c r="AG334" s="6" t="s">
        <v>182</v>
      </c>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row>
    <row r="335" ht="22.5" customHeight="1">
      <c r="A335" s="4">
        <v>46229.69871885417</v>
      </c>
      <c r="B335" s="5">
        <v>0.0</v>
      </c>
      <c r="C335" s="6" t="s">
        <v>114</v>
      </c>
      <c r="D335" s="6" t="s">
        <v>829</v>
      </c>
      <c r="E335" s="6" t="s">
        <v>830</v>
      </c>
      <c r="F335" s="6">
        <v>6.907050641E10</v>
      </c>
      <c r="G335" s="6" t="s">
        <v>599</v>
      </c>
      <c r="H335" s="7"/>
      <c r="I335" s="6" t="s">
        <v>5326</v>
      </c>
      <c r="J335" s="6" t="s">
        <v>5327</v>
      </c>
      <c r="K335" s="6" t="s">
        <v>5328</v>
      </c>
      <c r="L335" s="6" t="s">
        <v>5329</v>
      </c>
      <c r="M335" s="6" t="s">
        <v>5330</v>
      </c>
      <c r="N335" s="6" t="s">
        <v>5331</v>
      </c>
      <c r="O335" s="6" t="s">
        <v>5332</v>
      </c>
      <c r="P335" s="6" t="s">
        <v>5333</v>
      </c>
      <c r="Q335" s="6" t="s">
        <v>5334</v>
      </c>
      <c r="R335" s="6" t="s">
        <v>246</v>
      </c>
      <c r="S335" s="6" t="s">
        <v>147</v>
      </c>
      <c r="T335" s="6" t="s">
        <v>250</v>
      </c>
      <c r="U335" s="6" t="s">
        <v>686</v>
      </c>
      <c r="V335" s="6" t="s">
        <v>246</v>
      </c>
      <c r="W335" s="6" t="s">
        <v>158</v>
      </c>
      <c r="X335" s="6" t="s">
        <v>257</v>
      </c>
      <c r="Y335" s="6" t="s">
        <v>162</v>
      </c>
      <c r="Z335" s="6" t="s">
        <v>165</v>
      </c>
      <c r="AA335" s="6" t="s">
        <v>262</v>
      </c>
      <c r="AB335" s="6" t="s">
        <v>521</v>
      </c>
      <c r="AC335" s="6" t="s">
        <v>174</v>
      </c>
      <c r="AD335" s="6" t="s">
        <v>175</v>
      </c>
      <c r="AE335" s="6" t="s">
        <v>271</v>
      </c>
      <c r="AF335" s="6" t="s">
        <v>181</v>
      </c>
      <c r="AG335" s="6" t="s">
        <v>182</v>
      </c>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row>
    <row r="336" ht="22.5" customHeight="1">
      <c r="A336" s="4">
        <v>46229.698731192126</v>
      </c>
      <c r="B336" s="5">
        <v>0.0</v>
      </c>
      <c r="C336" s="6" t="s">
        <v>114</v>
      </c>
      <c r="D336" s="6" t="s">
        <v>831</v>
      </c>
      <c r="E336" s="6" t="s">
        <v>832</v>
      </c>
      <c r="F336" s="6">
        <v>6.9070509623E10</v>
      </c>
      <c r="G336" s="6" t="s">
        <v>730</v>
      </c>
      <c r="H336" s="6" t="s">
        <v>5335</v>
      </c>
      <c r="I336" s="6" t="s">
        <v>5336</v>
      </c>
      <c r="J336" s="6" t="s">
        <v>5337</v>
      </c>
      <c r="K336" s="6" t="s">
        <v>5338</v>
      </c>
      <c r="L336" s="6" t="s">
        <v>5339</v>
      </c>
      <c r="M336" s="6" t="s">
        <v>5340</v>
      </c>
      <c r="N336" s="7"/>
      <c r="O336" s="6" t="s">
        <v>5341</v>
      </c>
      <c r="P336" s="6" t="s">
        <v>5342</v>
      </c>
      <c r="Q336" s="6" t="s">
        <v>5343</v>
      </c>
      <c r="R336" s="6" t="s">
        <v>246</v>
      </c>
      <c r="S336" s="6" t="s">
        <v>5344</v>
      </c>
      <c r="T336" s="6" t="s">
        <v>250</v>
      </c>
      <c r="U336" s="6" t="s">
        <v>252</v>
      </c>
      <c r="V336" s="6" t="s">
        <v>155</v>
      </c>
      <c r="W336" s="6" t="s">
        <v>158</v>
      </c>
      <c r="X336" s="6" t="s">
        <v>257</v>
      </c>
      <c r="Y336" s="6" t="s">
        <v>162</v>
      </c>
      <c r="Z336" s="6" t="s">
        <v>165</v>
      </c>
      <c r="AA336" s="6" t="s">
        <v>262</v>
      </c>
      <c r="AB336" s="6" t="s">
        <v>171</v>
      </c>
      <c r="AC336" s="6" t="s">
        <v>174</v>
      </c>
      <c r="AD336" s="6" t="s">
        <v>175</v>
      </c>
      <c r="AE336" s="6" t="s">
        <v>271</v>
      </c>
      <c r="AF336" s="6" t="s">
        <v>181</v>
      </c>
      <c r="AG336" s="6" t="s">
        <v>182</v>
      </c>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row>
    <row r="337" ht="22.5" customHeight="1">
      <c r="A337" s="4">
        <v>46229.69873354166</v>
      </c>
      <c r="B337" s="5">
        <v>0.0</v>
      </c>
      <c r="C337" s="6" t="s">
        <v>114</v>
      </c>
      <c r="D337" s="6" t="s">
        <v>833</v>
      </c>
      <c r="E337" s="6" t="s">
        <v>834</v>
      </c>
      <c r="F337" s="6">
        <v>6.9070500219E10</v>
      </c>
      <c r="G337" s="6" t="s">
        <v>599</v>
      </c>
      <c r="H337" s="7"/>
      <c r="I337" s="6" t="s">
        <v>5193</v>
      </c>
      <c r="J337" s="6" t="s">
        <v>5345</v>
      </c>
      <c r="K337" s="6" t="s">
        <v>4316</v>
      </c>
      <c r="L337" s="6" t="s">
        <v>5346</v>
      </c>
      <c r="M337" s="6" t="s">
        <v>1536</v>
      </c>
      <c r="N337" s="7"/>
      <c r="O337" s="6" t="s">
        <v>5347</v>
      </c>
      <c r="P337" s="6" t="s">
        <v>5348</v>
      </c>
      <c r="Q337" s="6" t="s">
        <v>5349</v>
      </c>
      <c r="R337" s="6" t="s">
        <v>246</v>
      </c>
      <c r="S337" s="6" t="s">
        <v>147</v>
      </c>
      <c r="T337" s="6" t="s">
        <v>516</v>
      </c>
      <c r="U337" s="6" t="s">
        <v>252</v>
      </c>
      <c r="V337" s="6" t="s">
        <v>246</v>
      </c>
      <c r="W337" s="6" t="s">
        <v>158</v>
      </c>
      <c r="X337" s="6" t="s">
        <v>257</v>
      </c>
      <c r="Y337" s="6" t="s">
        <v>162</v>
      </c>
      <c r="Z337" s="6" t="s">
        <v>165</v>
      </c>
      <c r="AA337" s="6" t="s">
        <v>262</v>
      </c>
      <c r="AB337" s="6" t="s">
        <v>171</v>
      </c>
      <c r="AC337" s="6" t="s">
        <v>174</v>
      </c>
      <c r="AD337" s="6" t="s">
        <v>175</v>
      </c>
      <c r="AE337" s="6" t="s">
        <v>271</v>
      </c>
      <c r="AF337" s="6" t="s">
        <v>181</v>
      </c>
      <c r="AG337" s="6" t="s">
        <v>182</v>
      </c>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row>
    <row r="338" ht="22.5" customHeight="1">
      <c r="A338" s="4">
        <v>46229.69874108797</v>
      </c>
      <c r="B338" s="5">
        <v>0.0</v>
      </c>
      <c r="C338" s="6" t="s">
        <v>114</v>
      </c>
      <c r="D338" s="6" t="s">
        <v>835</v>
      </c>
      <c r="E338" s="6" t="s">
        <v>836</v>
      </c>
      <c r="F338" s="6">
        <v>6.9070501803E10</v>
      </c>
      <c r="G338" s="6" t="s">
        <v>730</v>
      </c>
      <c r="H338" s="7"/>
      <c r="I338" s="6" t="s">
        <v>3338</v>
      </c>
      <c r="J338" s="6" t="s">
        <v>3340</v>
      </c>
      <c r="K338" s="6" t="s">
        <v>5350</v>
      </c>
      <c r="L338" s="6" t="s">
        <v>5351</v>
      </c>
      <c r="M338" s="6" t="s">
        <v>5352</v>
      </c>
      <c r="N338" s="7"/>
      <c r="O338" s="6" t="s">
        <v>5353</v>
      </c>
      <c r="P338" s="6" t="s">
        <v>5354</v>
      </c>
      <c r="Q338" s="6" t="s">
        <v>5355</v>
      </c>
      <c r="R338" s="6" t="s">
        <v>246</v>
      </c>
      <c r="S338" s="6" t="s">
        <v>147</v>
      </c>
      <c r="T338" s="6" t="s">
        <v>250</v>
      </c>
      <c r="U338" s="6" t="s">
        <v>252</v>
      </c>
      <c r="V338" s="6" t="s">
        <v>246</v>
      </c>
      <c r="W338" s="6" t="s">
        <v>158</v>
      </c>
      <c r="X338" s="6" t="s">
        <v>257</v>
      </c>
      <c r="Y338" s="6" t="s">
        <v>162</v>
      </c>
      <c r="Z338" s="6" t="s">
        <v>165</v>
      </c>
      <c r="AA338" s="6" t="s">
        <v>262</v>
      </c>
      <c r="AB338" s="6" t="s">
        <v>521</v>
      </c>
      <c r="AC338" s="6" t="s">
        <v>174</v>
      </c>
      <c r="AD338" s="6" t="s">
        <v>175</v>
      </c>
      <c r="AE338" s="6" t="s">
        <v>271</v>
      </c>
      <c r="AF338" s="6" t="s">
        <v>181</v>
      </c>
      <c r="AG338" s="6" t="s">
        <v>182</v>
      </c>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row>
    <row r="339" ht="22.5" customHeight="1">
      <c r="A339" s="4">
        <v>46229.69874212963</v>
      </c>
      <c r="B339" s="5">
        <v>0.0</v>
      </c>
      <c r="C339" s="6" t="s">
        <v>114</v>
      </c>
      <c r="D339" s="6" t="s">
        <v>837</v>
      </c>
      <c r="E339" s="6" t="s">
        <v>838</v>
      </c>
      <c r="F339" s="6">
        <v>6.907050646E10</v>
      </c>
      <c r="G339" s="6" t="s">
        <v>599</v>
      </c>
      <c r="H339" s="7"/>
      <c r="I339" s="6" t="s">
        <v>5356</v>
      </c>
      <c r="J339" s="6" t="s">
        <v>5357</v>
      </c>
      <c r="K339" s="6" t="s">
        <v>5358</v>
      </c>
      <c r="L339" s="6" t="s">
        <v>5359</v>
      </c>
      <c r="M339" s="6" t="s">
        <v>5360</v>
      </c>
      <c r="N339" s="7"/>
      <c r="O339" s="6" t="s">
        <v>5361</v>
      </c>
      <c r="P339" s="6" t="s">
        <v>5362</v>
      </c>
      <c r="Q339" s="6" t="s">
        <v>5363</v>
      </c>
      <c r="R339" s="6" t="s">
        <v>257</v>
      </c>
      <c r="S339" s="6" t="s">
        <v>147</v>
      </c>
      <c r="T339" s="6" t="s">
        <v>246</v>
      </c>
      <c r="U339" s="6" t="s">
        <v>252</v>
      </c>
      <c r="V339" s="6" t="s">
        <v>155</v>
      </c>
      <c r="W339" s="6" t="s">
        <v>158</v>
      </c>
      <c r="X339" s="6" t="s">
        <v>458</v>
      </c>
      <c r="Y339" s="6" t="s">
        <v>162</v>
      </c>
      <c r="Z339" s="6" t="s">
        <v>165</v>
      </c>
      <c r="AA339" s="6" t="s">
        <v>262</v>
      </c>
      <c r="AB339" s="6" t="s">
        <v>521</v>
      </c>
      <c r="AC339" s="6" t="s">
        <v>174</v>
      </c>
      <c r="AD339" s="6" t="s">
        <v>635</v>
      </c>
      <c r="AE339" s="6" t="s">
        <v>271</v>
      </c>
      <c r="AF339" s="6" t="s">
        <v>181</v>
      </c>
      <c r="AG339" s="6" t="s">
        <v>182</v>
      </c>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row>
    <row r="340" ht="22.5" customHeight="1">
      <c r="A340" s="4">
        <v>46229.69875224537</v>
      </c>
      <c r="B340" s="5">
        <v>0.0</v>
      </c>
      <c r="C340" s="6" t="s">
        <v>114</v>
      </c>
      <c r="D340" s="6" t="s">
        <v>839</v>
      </c>
      <c r="E340" s="6" t="s">
        <v>840</v>
      </c>
      <c r="F340" s="6">
        <v>6.9070502226E10</v>
      </c>
      <c r="G340" s="6" t="s">
        <v>496</v>
      </c>
      <c r="H340" s="7"/>
      <c r="I340" s="6" t="s">
        <v>5364</v>
      </c>
      <c r="J340" s="6" t="s">
        <v>5365</v>
      </c>
      <c r="K340" s="6" t="s">
        <v>5366</v>
      </c>
      <c r="L340" s="6" t="s">
        <v>5367</v>
      </c>
      <c r="M340" s="6" t="s">
        <v>5368</v>
      </c>
      <c r="N340" s="7"/>
      <c r="O340" s="6" t="s">
        <v>5369</v>
      </c>
      <c r="P340" s="6" t="s">
        <v>5370</v>
      </c>
      <c r="Q340" s="6" t="s">
        <v>5371</v>
      </c>
      <c r="R340" s="6" t="s">
        <v>246</v>
      </c>
      <c r="S340" s="6" t="s">
        <v>147</v>
      </c>
      <c r="T340" s="6" t="s">
        <v>250</v>
      </c>
      <c r="U340" s="6" t="s">
        <v>252</v>
      </c>
      <c r="V340" s="6" t="s">
        <v>246</v>
      </c>
      <c r="W340" s="6" t="s">
        <v>158</v>
      </c>
      <c r="X340" s="6" t="s">
        <v>257</v>
      </c>
      <c r="Y340" s="6" t="s">
        <v>162</v>
      </c>
      <c r="Z340" s="6" t="s">
        <v>165</v>
      </c>
      <c r="AA340" s="6" t="s">
        <v>262</v>
      </c>
      <c r="AB340" s="6" t="s">
        <v>521</v>
      </c>
      <c r="AC340" s="6" t="s">
        <v>2718</v>
      </c>
      <c r="AD340" s="6" t="s">
        <v>175</v>
      </c>
      <c r="AE340" s="6" t="s">
        <v>271</v>
      </c>
      <c r="AF340" s="6" t="s">
        <v>181</v>
      </c>
      <c r="AG340" s="6" t="s">
        <v>182</v>
      </c>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row>
    <row r="341" ht="22.5" customHeight="1">
      <c r="A341" s="4">
        <v>46229.69875945602</v>
      </c>
      <c r="B341" s="5">
        <v>0.0</v>
      </c>
      <c r="C341" s="6" t="s">
        <v>114</v>
      </c>
      <c r="D341" s="6" t="s">
        <v>841</v>
      </c>
      <c r="E341" s="6" t="s">
        <v>842</v>
      </c>
      <c r="F341" s="6">
        <v>6.9070501039E10</v>
      </c>
      <c r="G341" s="6" t="s">
        <v>1470</v>
      </c>
      <c r="H341" s="7"/>
      <c r="I341" s="6" t="s">
        <v>5372</v>
      </c>
      <c r="J341" s="6" t="s">
        <v>5373</v>
      </c>
      <c r="K341" s="6" t="s">
        <v>5374</v>
      </c>
      <c r="L341" s="6" t="s">
        <v>5375</v>
      </c>
      <c r="M341" s="6" t="s">
        <v>5376</v>
      </c>
      <c r="N341" s="6" t="s">
        <v>5377</v>
      </c>
      <c r="O341" s="6" t="s">
        <v>5378</v>
      </c>
      <c r="P341" s="6" t="s">
        <v>5379</v>
      </c>
      <c r="Q341" s="6" t="s">
        <v>5380</v>
      </c>
      <c r="R341" s="6" t="s">
        <v>246</v>
      </c>
      <c r="S341" s="6" t="s">
        <v>147</v>
      </c>
      <c r="T341" s="6" t="s">
        <v>250</v>
      </c>
      <c r="U341" s="6" t="s">
        <v>152</v>
      </c>
      <c r="V341" s="6" t="s">
        <v>246</v>
      </c>
      <c r="W341" s="6" t="s">
        <v>158</v>
      </c>
      <c r="X341" s="6" t="s">
        <v>161</v>
      </c>
      <c r="Y341" s="6" t="s">
        <v>162</v>
      </c>
      <c r="Z341" s="6" t="s">
        <v>165</v>
      </c>
      <c r="AA341" s="6" t="s">
        <v>262</v>
      </c>
      <c r="AB341" s="6" t="s">
        <v>521</v>
      </c>
      <c r="AC341" s="6" t="s">
        <v>174</v>
      </c>
      <c r="AD341" s="6" t="s">
        <v>175</v>
      </c>
      <c r="AE341" s="6" t="s">
        <v>271</v>
      </c>
      <c r="AF341" s="6" t="s">
        <v>181</v>
      </c>
      <c r="AG341" s="6" t="s">
        <v>182</v>
      </c>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row>
    <row r="342" ht="22.5" customHeight="1">
      <c r="A342" s="4">
        <v>46229.69876320602</v>
      </c>
      <c r="B342" s="5">
        <v>0.0</v>
      </c>
      <c r="C342" s="6" t="s">
        <v>114</v>
      </c>
      <c r="D342" s="6" t="s">
        <v>844</v>
      </c>
      <c r="E342" s="6" t="s">
        <v>845</v>
      </c>
      <c r="F342" s="6">
        <v>6.9070501809E10</v>
      </c>
      <c r="G342" s="6" t="s">
        <v>730</v>
      </c>
      <c r="H342" s="6" t="s">
        <v>5381</v>
      </c>
      <c r="I342" s="6" t="s">
        <v>5382</v>
      </c>
      <c r="J342" s="6" t="s">
        <v>3727</v>
      </c>
      <c r="K342" s="6" t="s">
        <v>3725</v>
      </c>
      <c r="L342" s="6" t="s">
        <v>3749</v>
      </c>
      <c r="M342" s="6" t="s">
        <v>3723</v>
      </c>
      <c r="N342" s="7"/>
      <c r="O342" s="6" t="s">
        <v>5383</v>
      </c>
      <c r="P342" s="6" t="s">
        <v>3746</v>
      </c>
      <c r="Q342" s="6" t="s">
        <v>5384</v>
      </c>
      <c r="R342" s="6" t="s">
        <v>246</v>
      </c>
      <c r="S342" s="6" t="s">
        <v>147</v>
      </c>
      <c r="T342" s="6" t="s">
        <v>250</v>
      </c>
      <c r="U342" s="6" t="s">
        <v>152</v>
      </c>
      <c r="V342" s="6" t="s">
        <v>246</v>
      </c>
      <c r="W342" s="6" t="s">
        <v>158</v>
      </c>
      <c r="X342" s="6" t="s">
        <v>257</v>
      </c>
      <c r="Y342" s="6" t="s">
        <v>162</v>
      </c>
      <c r="Z342" s="6" t="s">
        <v>165</v>
      </c>
      <c r="AA342" s="6" t="s">
        <v>262</v>
      </c>
      <c r="AB342" s="6" t="s">
        <v>521</v>
      </c>
      <c r="AC342" s="6" t="s">
        <v>174</v>
      </c>
      <c r="AD342" s="6" t="s">
        <v>175</v>
      </c>
      <c r="AE342" s="6" t="s">
        <v>271</v>
      </c>
      <c r="AF342" s="6" t="s">
        <v>181</v>
      </c>
      <c r="AG342" s="6" t="s">
        <v>182</v>
      </c>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row>
    <row r="343" ht="22.5" customHeight="1">
      <c r="A343" s="4">
        <v>46229.69877109954</v>
      </c>
      <c r="B343" s="5">
        <v>0.0</v>
      </c>
      <c r="C343" s="6" t="s">
        <v>114</v>
      </c>
      <c r="D343" s="6" t="s">
        <v>847</v>
      </c>
      <c r="E343" s="6" t="s">
        <v>849</v>
      </c>
      <c r="F343" s="6">
        <v>6.9070501822E10</v>
      </c>
      <c r="G343" s="6" t="s">
        <v>730</v>
      </c>
      <c r="H343" s="7"/>
      <c r="I343" s="6" t="s">
        <v>5385</v>
      </c>
      <c r="J343" s="6" t="s">
        <v>5350</v>
      </c>
      <c r="K343" s="6" t="s">
        <v>3340</v>
      </c>
      <c r="L343" s="6" t="s">
        <v>5386</v>
      </c>
      <c r="M343" s="6" t="s">
        <v>5387</v>
      </c>
      <c r="N343" s="7"/>
      <c r="O343" s="6" t="s">
        <v>5388</v>
      </c>
      <c r="P343" s="6" t="s">
        <v>5389</v>
      </c>
      <c r="Q343" s="6" t="s">
        <v>5390</v>
      </c>
      <c r="R343" s="6" t="s">
        <v>246</v>
      </c>
      <c r="S343" s="6" t="s">
        <v>147</v>
      </c>
      <c r="T343" s="6" t="s">
        <v>250</v>
      </c>
      <c r="U343" s="6" t="s">
        <v>560</v>
      </c>
      <c r="V343" s="6" t="s">
        <v>246</v>
      </c>
      <c r="W343" s="6" t="s">
        <v>158</v>
      </c>
      <c r="X343" s="6" t="s">
        <v>257</v>
      </c>
      <c r="Y343" s="6" t="s">
        <v>162</v>
      </c>
      <c r="Z343" s="6" t="s">
        <v>165</v>
      </c>
      <c r="AA343" s="6" t="s">
        <v>262</v>
      </c>
      <c r="AB343" s="6" t="s">
        <v>521</v>
      </c>
      <c r="AC343" s="6" t="s">
        <v>174</v>
      </c>
      <c r="AD343" s="6" t="s">
        <v>175</v>
      </c>
      <c r="AE343" s="6" t="s">
        <v>271</v>
      </c>
      <c r="AF343" s="6" t="s">
        <v>181</v>
      </c>
      <c r="AG343" s="6" t="s">
        <v>182</v>
      </c>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row>
    <row r="344" ht="22.5" customHeight="1">
      <c r="A344" s="4">
        <v>46229.69877574074</v>
      </c>
      <c r="B344" s="5">
        <v>0.0</v>
      </c>
      <c r="C344" s="6" t="s">
        <v>114</v>
      </c>
      <c r="D344" s="6" t="s">
        <v>852</v>
      </c>
      <c r="E344" s="6" t="s">
        <v>853</v>
      </c>
      <c r="F344" s="6">
        <v>6.9070502485E10</v>
      </c>
      <c r="G344" s="6" t="s">
        <v>122</v>
      </c>
      <c r="H344" s="7"/>
      <c r="I344" s="6" t="s">
        <v>5391</v>
      </c>
      <c r="J344" s="6" t="s">
        <v>5392</v>
      </c>
      <c r="K344" s="6" t="s">
        <v>5393</v>
      </c>
      <c r="L344" s="6" t="s">
        <v>5394</v>
      </c>
      <c r="M344" s="6" t="s">
        <v>5395</v>
      </c>
      <c r="N344" s="7"/>
      <c r="O344" s="6" t="s">
        <v>5396</v>
      </c>
      <c r="P344" s="6" t="s">
        <v>5397</v>
      </c>
      <c r="Q344" s="6" t="s">
        <v>5398</v>
      </c>
      <c r="R344" s="6" t="s">
        <v>246</v>
      </c>
      <c r="S344" s="6" t="s">
        <v>147</v>
      </c>
      <c r="T344" s="6" t="s">
        <v>250</v>
      </c>
      <c r="U344" s="6" t="s">
        <v>2254</v>
      </c>
      <c r="V344" s="6" t="s">
        <v>246</v>
      </c>
      <c r="W344" s="6" t="s">
        <v>158</v>
      </c>
      <c r="X344" s="6" t="s">
        <v>161</v>
      </c>
      <c r="Y344" s="6" t="s">
        <v>162</v>
      </c>
      <c r="Z344" s="6" t="s">
        <v>165</v>
      </c>
      <c r="AA344" s="6" t="s">
        <v>262</v>
      </c>
      <c r="AB344" s="6" t="s">
        <v>171</v>
      </c>
      <c r="AC344" s="6" t="s">
        <v>174</v>
      </c>
      <c r="AD344" s="6" t="s">
        <v>175</v>
      </c>
      <c r="AE344" s="6" t="s">
        <v>271</v>
      </c>
      <c r="AF344" s="6" t="s">
        <v>181</v>
      </c>
      <c r="AG344" s="6" t="s">
        <v>182</v>
      </c>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row>
    <row r="345" ht="22.5" customHeight="1">
      <c r="A345" s="4">
        <v>46229.69877667824</v>
      </c>
      <c r="B345" s="5">
        <v>0.0</v>
      </c>
      <c r="C345" s="6" t="s">
        <v>114</v>
      </c>
      <c r="D345" s="6" t="s">
        <v>855</v>
      </c>
      <c r="E345" s="6" t="s">
        <v>857</v>
      </c>
      <c r="F345" s="6">
        <v>6.9070508839E10</v>
      </c>
      <c r="G345" s="6" t="s">
        <v>5399</v>
      </c>
      <c r="H345" s="7"/>
      <c r="I345" s="6" t="s">
        <v>5400</v>
      </c>
      <c r="J345" s="6" t="s">
        <v>5401</v>
      </c>
      <c r="K345" s="6" t="s">
        <v>5402</v>
      </c>
      <c r="L345" s="6" t="s">
        <v>4541</v>
      </c>
      <c r="M345" s="6" t="s">
        <v>5403</v>
      </c>
      <c r="N345" s="7"/>
      <c r="O345" s="6" t="s">
        <v>5404</v>
      </c>
      <c r="P345" s="6" t="s">
        <v>5405</v>
      </c>
      <c r="Q345" s="6" t="s">
        <v>5406</v>
      </c>
      <c r="R345" s="6" t="s">
        <v>246</v>
      </c>
      <c r="S345" s="6" t="s">
        <v>147</v>
      </c>
      <c r="T345" s="6" t="s">
        <v>250</v>
      </c>
      <c r="U345" s="6" t="s">
        <v>2254</v>
      </c>
      <c r="V345" s="6" t="s">
        <v>246</v>
      </c>
      <c r="W345" s="6" t="s">
        <v>158</v>
      </c>
      <c r="X345" s="6" t="s">
        <v>246</v>
      </c>
      <c r="Y345" s="6" t="s">
        <v>162</v>
      </c>
      <c r="Z345" s="6" t="s">
        <v>165</v>
      </c>
      <c r="AA345" s="6" t="s">
        <v>262</v>
      </c>
      <c r="AB345" s="6" t="s">
        <v>171</v>
      </c>
      <c r="AC345" s="6" t="s">
        <v>2718</v>
      </c>
      <c r="AD345" s="6" t="s">
        <v>175</v>
      </c>
      <c r="AE345" s="6" t="s">
        <v>271</v>
      </c>
      <c r="AF345" s="6" t="s">
        <v>181</v>
      </c>
      <c r="AG345" s="6" t="s">
        <v>182</v>
      </c>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row>
    <row r="346" ht="22.5" customHeight="1">
      <c r="A346" s="4">
        <v>46229.69878398148</v>
      </c>
      <c r="B346" s="5">
        <v>0.0</v>
      </c>
      <c r="C346" s="6" t="s">
        <v>3296</v>
      </c>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6" t="s">
        <v>2640</v>
      </c>
      <c r="AI346" s="6" t="s">
        <v>2641</v>
      </c>
      <c r="AJ346" s="6">
        <v>6.9070503487E10</v>
      </c>
      <c r="AK346" s="6" t="s">
        <v>3297</v>
      </c>
      <c r="AL346" s="7"/>
      <c r="AM346" s="6" t="s">
        <v>3302</v>
      </c>
      <c r="AN346" s="6" t="s">
        <v>5407</v>
      </c>
      <c r="AO346" s="6" t="s">
        <v>5408</v>
      </c>
      <c r="AP346" s="6" t="s">
        <v>5409</v>
      </c>
      <c r="AQ346" s="6" t="s">
        <v>5410</v>
      </c>
      <c r="AR346" s="6" t="s">
        <v>5411</v>
      </c>
      <c r="AS346" s="6" t="s">
        <v>5412</v>
      </c>
      <c r="AT346" s="6" t="s">
        <v>5413</v>
      </c>
      <c r="AU346" s="6" t="s">
        <v>5414</v>
      </c>
      <c r="AV346" s="6" t="s">
        <v>3306</v>
      </c>
      <c r="AW346" s="6" t="s">
        <v>3307</v>
      </c>
      <c r="AX346" s="6" t="s">
        <v>3308</v>
      </c>
      <c r="AY346" s="6" t="s">
        <v>804</v>
      </c>
      <c r="AZ346" s="6" t="s">
        <v>3306</v>
      </c>
      <c r="BA346" s="6" t="s">
        <v>3311</v>
      </c>
      <c r="BB346" s="6" t="s">
        <v>3887</v>
      </c>
      <c r="BC346" s="6" t="s">
        <v>3313</v>
      </c>
      <c r="BD346" s="6" t="s">
        <v>165</v>
      </c>
      <c r="BE346" s="6" t="s">
        <v>3888</v>
      </c>
      <c r="BF346" s="6" t="s">
        <v>3315</v>
      </c>
      <c r="BG346" s="6" t="s">
        <v>4068</v>
      </c>
      <c r="BH346" s="6" t="s">
        <v>3317</v>
      </c>
      <c r="BI346" s="6" t="s">
        <v>3105</v>
      </c>
      <c r="BJ346" s="6" t="s">
        <v>3318</v>
      </c>
      <c r="BK346" s="6" t="s">
        <v>4695</v>
      </c>
    </row>
    <row r="347" ht="22.5" customHeight="1">
      <c r="A347" s="4">
        <v>46229.69878414352</v>
      </c>
      <c r="B347" s="5">
        <v>0.0</v>
      </c>
      <c r="C347" s="6" t="s">
        <v>114</v>
      </c>
      <c r="D347" s="6" t="s">
        <v>860</v>
      </c>
      <c r="E347" s="6" t="s">
        <v>862</v>
      </c>
      <c r="F347" s="6">
        <v>6.9070508815E10</v>
      </c>
      <c r="G347" s="6" t="s">
        <v>5399</v>
      </c>
      <c r="H347" s="7"/>
      <c r="I347" s="6" t="s">
        <v>5415</v>
      </c>
      <c r="J347" s="6" t="s">
        <v>5416</v>
      </c>
      <c r="K347" s="6" t="s">
        <v>5417</v>
      </c>
      <c r="L347" s="6" t="s">
        <v>5418</v>
      </c>
      <c r="M347" s="6" t="s">
        <v>5419</v>
      </c>
      <c r="N347" s="7"/>
      <c r="O347" s="6" t="s">
        <v>5420</v>
      </c>
      <c r="P347" s="6" t="s">
        <v>5421</v>
      </c>
      <c r="Q347" s="6" t="s">
        <v>5420</v>
      </c>
      <c r="R347" s="6" t="s">
        <v>257</v>
      </c>
      <c r="S347" s="6" t="s">
        <v>147</v>
      </c>
      <c r="T347" s="6" t="s">
        <v>250</v>
      </c>
      <c r="U347" s="6" t="s">
        <v>686</v>
      </c>
      <c r="V347" s="6" t="s">
        <v>246</v>
      </c>
      <c r="W347" s="6" t="s">
        <v>158</v>
      </c>
      <c r="X347" s="6" t="s">
        <v>246</v>
      </c>
      <c r="Y347" s="6" t="s">
        <v>162</v>
      </c>
      <c r="Z347" s="6" t="s">
        <v>165</v>
      </c>
      <c r="AA347" s="6" t="s">
        <v>262</v>
      </c>
      <c r="AB347" s="6" t="s">
        <v>171</v>
      </c>
      <c r="AC347" s="6" t="s">
        <v>633</v>
      </c>
      <c r="AD347" s="6" t="s">
        <v>175</v>
      </c>
      <c r="AE347" s="6" t="s">
        <v>178</v>
      </c>
      <c r="AF347" s="6" t="s">
        <v>181</v>
      </c>
      <c r="AG347" s="6" t="s">
        <v>182</v>
      </c>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row>
    <row r="348" ht="22.5" customHeight="1">
      <c r="A348" s="4">
        <v>46229.6987877662</v>
      </c>
      <c r="B348" s="5">
        <v>0.0</v>
      </c>
      <c r="C348" s="6" t="s">
        <v>114</v>
      </c>
      <c r="D348" s="6" t="s">
        <v>863</v>
      </c>
      <c r="E348" s="6" t="s">
        <v>864</v>
      </c>
      <c r="F348" s="6">
        <v>6.907050222E10</v>
      </c>
      <c r="G348" s="6" t="s">
        <v>496</v>
      </c>
      <c r="H348" s="7"/>
      <c r="I348" s="6" t="s">
        <v>5422</v>
      </c>
      <c r="J348" s="6" t="s">
        <v>5423</v>
      </c>
      <c r="K348" s="6" t="s">
        <v>5424</v>
      </c>
      <c r="L348" s="6" t="s">
        <v>5425</v>
      </c>
      <c r="M348" s="6" t="s">
        <v>5426</v>
      </c>
      <c r="N348" s="7"/>
      <c r="O348" s="6" t="s">
        <v>5427</v>
      </c>
      <c r="P348" s="6" t="s">
        <v>5428</v>
      </c>
      <c r="Q348" s="6" t="s">
        <v>5429</v>
      </c>
      <c r="R348" s="6" t="s">
        <v>246</v>
      </c>
      <c r="S348" s="6" t="s">
        <v>147</v>
      </c>
      <c r="T348" s="6" t="s">
        <v>250</v>
      </c>
      <c r="U348" s="6" t="s">
        <v>560</v>
      </c>
      <c r="V348" s="6" t="s">
        <v>246</v>
      </c>
      <c r="W348" s="6" t="s">
        <v>158</v>
      </c>
      <c r="X348" s="6" t="s">
        <v>257</v>
      </c>
      <c r="Y348" s="6" t="s">
        <v>162</v>
      </c>
      <c r="Z348" s="6" t="s">
        <v>165</v>
      </c>
      <c r="AA348" s="6" t="s">
        <v>262</v>
      </c>
      <c r="AB348" s="6" t="s">
        <v>171</v>
      </c>
      <c r="AC348" s="6" t="s">
        <v>174</v>
      </c>
      <c r="AD348" s="6" t="s">
        <v>175</v>
      </c>
      <c r="AE348" s="6" t="s">
        <v>271</v>
      </c>
      <c r="AF348" s="6" t="s">
        <v>181</v>
      </c>
      <c r="AG348" s="6" t="s">
        <v>182</v>
      </c>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row>
    <row r="349" ht="22.5" customHeight="1">
      <c r="A349" s="4">
        <v>46229.698794236116</v>
      </c>
      <c r="B349" s="5">
        <v>0.0</v>
      </c>
      <c r="C349" s="6" t="s">
        <v>114</v>
      </c>
      <c r="D349" s="6" t="s">
        <v>865</v>
      </c>
      <c r="E349" s="6" t="s">
        <v>866</v>
      </c>
      <c r="F349" s="6">
        <v>6.9070500829E10</v>
      </c>
      <c r="G349" s="6" t="s">
        <v>496</v>
      </c>
      <c r="H349" s="7"/>
      <c r="I349" s="6" t="s">
        <v>5104</v>
      </c>
      <c r="J349" s="6" t="s">
        <v>3875</v>
      </c>
      <c r="K349" s="6" t="s">
        <v>5430</v>
      </c>
      <c r="L349" s="6" t="s">
        <v>3635</v>
      </c>
      <c r="M349" s="6" t="s">
        <v>3872</v>
      </c>
      <c r="N349" s="7"/>
      <c r="O349" s="6" t="s">
        <v>5431</v>
      </c>
      <c r="P349" s="6" t="s">
        <v>5432</v>
      </c>
      <c r="Q349" s="6" t="s">
        <v>5433</v>
      </c>
      <c r="R349" s="6" t="s">
        <v>246</v>
      </c>
      <c r="S349" s="6" t="s">
        <v>147</v>
      </c>
      <c r="T349" s="6" t="s">
        <v>250</v>
      </c>
      <c r="U349" s="6" t="s">
        <v>152</v>
      </c>
      <c r="V349" s="6" t="s">
        <v>246</v>
      </c>
      <c r="W349" s="6" t="s">
        <v>158</v>
      </c>
      <c r="X349" s="6" t="s">
        <v>161</v>
      </c>
      <c r="Y349" s="6" t="s">
        <v>162</v>
      </c>
      <c r="Z349" s="6" t="s">
        <v>165</v>
      </c>
      <c r="AA349" s="6" t="s">
        <v>262</v>
      </c>
      <c r="AB349" s="6" t="s">
        <v>171</v>
      </c>
      <c r="AC349" s="6" t="s">
        <v>174</v>
      </c>
      <c r="AD349" s="6" t="s">
        <v>175</v>
      </c>
      <c r="AE349" s="6" t="s">
        <v>271</v>
      </c>
      <c r="AF349" s="6" t="s">
        <v>181</v>
      </c>
      <c r="AG349" s="6" t="s">
        <v>182</v>
      </c>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row>
    <row r="350" ht="22.5" customHeight="1">
      <c r="A350" s="4">
        <v>46229.698795613425</v>
      </c>
      <c r="B350" s="5">
        <v>0.0</v>
      </c>
      <c r="C350" s="6" t="s">
        <v>114</v>
      </c>
      <c r="D350" s="6" t="s">
        <v>867</v>
      </c>
      <c r="E350" s="6" t="s">
        <v>868</v>
      </c>
      <c r="F350" s="6">
        <v>6.9070500827E10</v>
      </c>
      <c r="G350" s="6" t="s">
        <v>496</v>
      </c>
      <c r="H350" s="7"/>
      <c r="I350" s="6" t="s">
        <v>5434</v>
      </c>
      <c r="J350" s="6" t="s">
        <v>3332</v>
      </c>
      <c r="K350" s="6" t="s">
        <v>5435</v>
      </c>
      <c r="L350" s="6" t="s">
        <v>5436</v>
      </c>
      <c r="M350" s="6" t="s">
        <v>5437</v>
      </c>
      <c r="N350" s="7"/>
      <c r="O350" s="6" t="s">
        <v>5438</v>
      </c>
      <c r="P350" s="6" t="s">
        <v>5439</v>
      </c>
      <c r="Q350" s="6" t="s">
        <v>5440</v>
      </c>
      <c r="R350" s="6" t="s">
        <v>257</v>
      </c>
      <c r="S350" s="6" t="s">
        <v>147</v>
      </c>
      <c r="T350" s="6" t="s">
        <v>257</v>
      </c>
      <c r="U350" s="6" t="s">
        <v>252</v>
      </c>
      <c r="V350" s="6" t="s">
        <v>246</v>
      </c>
      <c r="W350" s="6" t="s">
        <v>158</v>
      </c>
      <c r="X350" s="6" t="s">
        <v>257</v>
      </c>
      <c r="Y350" s="6" t="s">
        <v>162</v>
      </c>
      <c r="Z350" s="6" t="s">
        <v>165</v>
      </c>
      <c r="AA350" s="6" t="s">
        <v>262</v>
      </c>
      <c r="AB350" s="6" t="s">
        <v>171</v>
      </c>
      <c r="AC350" s="6" t="s">
        <v>174</v>
      </c>
      <c r="AD350" s="6" t="s">
        <v>175</v>
      </c>
      <c r="AE350" s="6" t="s">
        <v>271</v>
      </c>
      <c r="AF350" s="6" t="s">
        <v>181</v>
      </c>
      <c r="AG350" s="6" t="s">
        <v>182</v>
      </c>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row>
    <row r="351" ht="22.5" customHeight="1">
      <c r="A351" s="4">
        <v>46229.69880267361</v>
      </c>
      <c r="B351" s="5">
        <v>0.0</v>
      </c>
      <c r="C351" s="6" t="s">
        <v>114</v>
      </c>
      <c r="D351" s="6" t="s">
        <v>869</v>
      </c>
      <c r="E351" s="6" t="s">
        <v>870</v>
      </c>
      <c r="F351" s="6">
        <v>6.9070502432E10</v>
      </c>
      <c r="G351" s="6" t="s">
        <v>122</v>
      </c>
      <c r="H351" s="7"/>
      <c r="I351" s="6" t="s">
        <v>5441</v>
      </c>
      <c r="J351" s="6" t="s">
        <v>5442</v>
      </c>
      <c r="K351" s="6" t="s">
        <v>5443</v>
      </c>
      <c r="L351" s="6" t="s">
        <v>5444</v>
      </c>
      <c r="M351" s="6" t="s">
        <v>5445</v>
      </c>
      <c r="N351" s="7"/>
      <c r="O351" s="6" t="s">
        <v>5446</v>
      </c>
      <c r="P351" s="6" t="s">
        <v>5447</v>
      </c>
      <c r="Q351" s="6" t="s">
        <v>5448</v>
      </c>
      <c r="R351" s="6" t="s">
        <v>246</v>
      </c>
      <c r="S351" s="6" t="s">
        <v>147</v>
      </c>
      <c r="T351" s="6" t="s">
        <v>250</v>
      </c>
      <c r="U351" s="6" t="s">
        <v>560</v>
      </c>
      <c r="V351" s="6" t="s">
        <v>246</v>
      </c>
      <c r="W351" s="6" t="s">
        <v>158</v>
      </c>
      <c r="X351" s="6" t="s">
        <v>257</v>
      </c>
      <c r="Y351" s="6" t="s">
        <v>162</v>
      </c>
      <c r="Z351" s="6" t="s">
        <v>165</v>
      </c>
      <c r="AA351" s="6" t="s">
        <v>262</v>
      </c>
      <c r="AB351" s="6" t="s">
        <v>171</v>
      </c>
      <c r="AC351" s="6" t="s">
        <v>174</v>
      </c>
      <c r="AD351" s="6" t="s">
        <v>175</v>
      </c>
      <c r="AE351" s="6" t="s">
        <v>271</v>
      </c>
      <c r="AF351" s="6" t="s">
        <v>181</v>
      </c>
      <c r="AG351" s="6" t="s">
        <v>182</v>
      </c>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row>
    <row r="352" ht="22.5" customHeight="1">
      <c r="A352" s="4">
        <v>46229.69880471065</v>
      </c>
      <c r="B352" s="5">
        <v>0.0</v>
      </c>
      <c r="C352" s="6" t="s">
        <v>114</v>
      </c>
      <c r="D352" s="6" t="s">
        <v>871</v>
      </c>
      <c r="E352" s="6" t="s">
        <v>872</v>
      </c>
      <c r="F352" s="6">
        <v>6.9070502811E10</v>
      </c>
      <c r="G352" s="6" t="s">
        <v>310</v>
      </c>
      <c r="H352" s="7"/>
      <c r="I352" s="6" t="s">
        <v>1534</v>
      </c>
      <c r="J352" s="6" t="s">
        <v>5449</v>
      </c>
      <c r="K352" s="6" t="s">
        <v>1533</v>
      </c>
      <c r="L352" s="6" t="s">
        <v>5450</v>
      </c>
      <c r="M352" s="6" t="s">
        <v>5451</v>
      </c>
      <c r="N352" s="7"/>
      <c r="O352" s="6" t="s">
        <v>5452</v>
      </c>
      <c r="P352" s="6" t="s">
        <v>5453</v>
      </c>
      <c r="Q352" s="6" t="s">
        <v>5454</v>
      </c>
      <c r="R352" s="6" t="s">
        <v>246</v>
      </c>
      <c r="S352" s="6" t="s">
        <v>147</v>
      </c>
      <c r="T352" s="6" t="s">
        <v>250</v>
      </c>
      <c r="U352" s="6" t="s">
        <v>686</v>
      </c>
      <c r="V352" s="6" t="s">
        <v>155</v>
      </c>
      <c r="W352" s="6" t="s">
        <v>158</v>
      </c>
      <c r="X352" s="6" t="s">
        <v>257</v>
      </c>
      <c r="Y352" s="6" t="s">
        <v>162</v>
      </c>
      <c r="Z352" s="6" t="s">
        <v>165</v>
      </c>
      <c r="AA352" s="6" t="s">
        <v>262</v>
      </c>
      <c r="AB352" s="6" t="s">
        <v>171</v>
      </c>
      <c r="AC352" s="6" t="s">
        <v>174</v>
      </c>
      <c r="AD352" s="6" t="s">
        <v>175</v>
      </c>
      <c r="AE352" s="6" t="s">
        <v>178</v>
      </c>
      <c r="AF352" s="6" t="s">
        <v>181</v>
      </c>
      <c r="AG352" s="6" t="s">
        <v>182</v>
      </c>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row>
    <row r="353" ht="22.5" customHeight="1">
      <c r="A353" s="4">
        <v>46229.69881094908</v>
      </c>
      <c r="B353" s="5">
        <v>0.0</v>
      </c>
      <c r="C353" s="6" t="s">
        <v>114</v>
      </c>
      <c r="D353" s="6" t="s">
        <v>286</v>
      </c>
      <c r="E353" s="6" t="s">
        <v>873</v>
      </c>
      <c r="F353" s="6">
        <v>6.907050027E10</v>
      </c>
      <c r="G353" s="6" t="s">
        <v>599</v>
      </c>
      <c r="H353" s="7"/>
      <c r="I353" s="6" t="s">
        <v>5455</v>
      </c>
      <c r="J353" s="6" t="s">
        <v>5456</v>
      </c>
      <c r="K353" s="6" t="s">
        <v>5457</v>
      </c>
      <c r="L353" s="6" t="s">
        <v>5458</v>
      </c>
      <c r="M353" s="6" t="s">
        <v>4708</v>
      </c>
      <c r="N353" s="7"/>
      <c r="O353" s="6" t="s">
        <v>5459</v>
      </c>
      <c r="P353" s="6" t="s">
        <v>5460</v>
      </c>
      <c r="Q353" s="6" t="s">
        <v>5461</v>
      </c>
      <c r="R353" s="6" t="s">
        <v>246</v>
      </c>
      <c r="S353" s="6" t="s">
        <v>147</v>
      </c>
      <c r="T353" s="6" t="s">
        <v>250</v>
      </c>
      <c r="U353" s="6" t="s">
        <v>2254</v>
      </c>
      <c r="V353" s="6" t="s">
        <v>246</v>
      </c>
      <c r="W353" s="6" t="s">
        <v>3463</v>
      </c>
      <c r="X353" s="6" t="s">
        <v>257</v>
      </c>
      <c r="Y353" s="6" t="s">
        <v>162</v>
      </c>
      <c r="Z353" s="6" t="s">
        <v>165</v>
      </c>
      <c r="AA353" s="6" t="s">
        <v>262</v>
      </c>
      <c r="AB353" s="6" t="s">
        <v>171</v>
      </c>
      <c r="AC353" s="6" t="s">
        <v>174</v>
      </c>
      <c r="AD353" s="6" t="s">
        <v>175</v>
      </c>
      <c r="AE353" s="6" t="s">
        <v>271</v>
      </c>
      <c r="AF353" s="6" t="s">
        <v>181</v>
      </c>
      <c r="AG353" s="6" t="s">
        <v>182</v>
      </c>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row>
    <row r="354" ht="22.5" customHeight="1">
      <c r="A354" s="4">
        <v>46229.698815254626</v>
      </c>
      <c r="B354" s="5">
        <v>0.0</v>
      </c>
      <c r="C354" s="6" t="s">
        <v>114</v>
      </c>
      <c r="D354" s="6" t="s">
        <v>874</v>
      </c>
      <c r="E354" s="6" t="s">
        <v>875</v>
      </c>
      <c r="F354" s="6">
        <v>6.9070501059E10</v>
      </c>
      <c r="G354" s="6" t="s">
        <v>1470</v>
      </c>
      <c r="H354" s="7"/>
      <c r="I354" s="6" t="s">
        <v>5462</v>
      </c>
      <c r="J354" s="6" t="s">
        <v>5463</v>
      </c>
      <c r="K354" s="6" t="s">
        <v>5464</v>
      </c>
      <c r="L354" s="6" t="s">
        <v>5465</v>
      </c>
      <c r="M354" s="6" t="s">
        <v>5466</v>
      </c>
      <c r="N354" s="7"/>
      <c r="O354" s="6" t="s">
        <v>5467</v>
      </c>
      <c r="P354" s="6" t="s">
        <v>5468</v>
      </c>
      <c r="Q354" s="6" t="s">
        <v>5469</v>
      </c>
      <c r="R354" s="6" t="s">
        <v>246</v>
      </c>
      <c r="S354" s="6" t="s">
        <v>147</v>
      </c>
      <c r="T354" s="6" t="s">
        <v>250</v>
      </c>
      <c r="U354" s="6" t="s">
        <v>252</v>
      </c>
      <c r="V354" s="6" t="s">
        <v>246</v>
      </c>
      <c r="W354" s="6" t="s">
        <v>158</v>
      </c>
      <c r="X354" s="6" t="s">
        <v>257</v>
      </c>
      <c r="Y354" s="6" t="s">
        <v>162</v>
      </c>
      <c r="Z354" s="6" t="s">
        <v>165</v>
      </c>
      <c r="AA354" s="6" t="s">
        <v>262</v>
      </c>
      <c r="AB354" s="6" t="s">
        <v>171</v>
      </c>
      <c r="AC354" s="6" t="s">
        <v>174</v>
      </c>
      <c r="AD354" s="6" t="s">
        <v>175</v>
      </c>
      <c r="AE354" s="6" t="s">
        <v>271</v>
      </c>
      <c r="AF354" s="6" t="s">
        <v>181</v>
      </c>
      <c r="AG354" s="6" t="s">
        <v>182</v>
      </c>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row>
    <row r="355" ht="22.5" customHeight="1">
      <c r="A355" s="4">
        <v>46229.69882082176</v>
      </c>
      <c r="B355" s="5">
        <v>0.0</v>
      </c>
      <c r="C355" s="6" t="s">
        <v>114</v>
      </c>
      <c r="D355" s="6" t="s">
        <v>876</v>
      </c>
      <c r="E355" s="6" t="s">
        <v>877</v>
      </c>
      <c r="F355" s="6">
        <v>6.9070501849E10</v>
      </c>
      <c r="G355" s="6" t="s">
        <v>730</v>
      </c>
      <c r="H355" s="7"/>
      <c r="I355" s="6" t="s">
        <v>5470</v>
      </c>
      <c r="J355" s="6" t="s">
        <v>5471</v>
      </c>
      <c r="K355" s="6" t="s">
        <v>5472</v>
      </c>
      <c r="L355" s="6" t="s">
        <v>5473</v>
      </c>
      <c r="M355" s="6" t="s">
        <v>5140</v>
      </c>
      <c r="N355" s="7"/>
      <c r="O355" s="6" t="s">
        <v>5474</v>
      </c>
      <c r="P355" s="6" t="s">
        <v>5475</v>
      </c>
      <c r="Q355" s="6" t="s">
        <v>5476</v>
      </c>
      <c r="R355" s="6" t="s">
        <v>246</v>
      </c>
      <c r="S355" s="6" t="s">
        <v>147</v>
      </c>
      <c r="T355" s="6" t="s">
        <v>250</v>
      </c>
      <c r="U355" s="6" t="s">
        <v>686</v>
      </c>
      <c r="V355" s="6" t="s">
        <v>246</v>
      </c>
      <c r="W355" s="6" t="s">
        <v>158</v>
      </c>
      <c r="X355" s="6" t="s">
        <v>257</v>
      </c>
      <c r="Y355" s="6" t="s">
        <v>162</v>
      </c>
      <c r="Z355" s="6" t="s">
        <v>165</v>
      </c>
      <c r="AA355" s="6" t="s">
        <v>262</v>
      </c>
      <c r="AB355" s="6" t="s">
        <v>171</v>
      </c>
      <c r="AC355" s="6" t="s">
        <v>1669</v>
      </c>
      <c r="AD355" s="6" t="s">
        <v>175</v>
      </c>
      <c r="AE355" s="6" t="s">
        <v>271</v>
      </c>
      <c r="AF355" s="6" t="s">
        <v>181</v>
      </c>
      <c r="AG355" s="6" t="s">
        <v>182</v>
      </c>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row>
    <row r="356" ht="22.5" customHeight="1">
      <c r="A356" s="4">
        <v>46229.69882326389</v>
      </c>
      <c r="B356" s="5">
        <v>0.0</v>
      </c>
      <c r="C356" s="6" t="s">
        <v>114</v>
      </c>
      <c r="D356" s="6" t="s">
        <v>311</v>
      </c>
      <c r="E356" s="6" t="s">
        <v>878</v>
      </c>
      <c r="F356" s="6">
        <v>6.9070500841E10</v>
      </c>
      <c r="G356" s="6" t="s">
        <v>496</v>
      </c>
      <c r="H356" s="7"/>
      <c r="I356" s="6" t="s">
        <v>5477</v>
      </c>
      <c r="J356" s="6" t="s">
        <v>3115</v>
      </c>
      <c r="K356" s="6" t="s">
        <v>3117</v>
      </c>
      <c r="L356" s="6" t="s">
        <v>5478</v>
      </c>
      <c r="M356" s="6" t="s">
        <v>5479</v>
      </c>
      <c r="N356" s="6" t="s">
        <v>5480</v>
      </c>
      <c r="O356" s="6" t="s">
        <v>5481</v>
      </c>
      <c r="P356" s="6" t="s">
        <v>5482</v>
      </c>
      <c r="Q356" s="6" t="s">
        <v>5483</v>
      </c>
      <c r="R356" s="6" t="s">
        <v>257</v>
      </c>
      <c r="S356" s="6" t="s">
        <v>147</v>
      </c>
      <c r="T356" s="6" t="s">
        <v>250</v>
      </c>
      <c r="U356" s="6" t="s">
        <v>560</v>
      </c>
      <c r="V356" s="6" t="s">
        <v>246</v>
      </c>
      <c r="W356" s="6" t="s">
        <v>158</v>
      </c>
      <c r="X356" s="6" t="s">
        <v>161</v>
      </c>
      <c r="Y356" s="6" t="s">
        <v>162</v>
      </c>
      <c r="Z356" s="6" t="s">
        <v>165</v>
      </c>
      <c r="AA356" s="6" t="s">
        <v>262</v>
      </c>
      <c r="AB356" s="6" t="s">
        <v>171</v>
      </c>
      <c r="AC356" s="6" t="s">
        <v>174</v>
      </c>
      <c r="AD356" s="6" t="s">
        <v>175</v>
      </c>
      <c r="AE356" s="6" t="s">
        <v>178</v>
      </c>
      <c r="AF356" s="6" t="s">
        <v>181</v>
      </c>
      <c r="AG356" s="6" t="s">
        <v>182</v>
      </c>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row>
    <row r="357" ht="22.5" customHeight="1">
      <c r="A357" s="4">
        <v>46229.6988241088</v>
      </c>
      <c r="B357" s="5">
        <v>0.0</v>
      </c>
      <c r="C357" s="6" t="s">
        <v>114</v>
      </c>
      <c r="D357" s="6" t="s">
        <v>879</v>
      </c>
      <c r="E357" s="6" t="s">
        <v>880</v>
      </c>
      <c r="F357" s="6">
        <v>6.9070502466E10</v>
      </c>
      <c r="G357" s="6" t="s">
        <v>122</v>
      </c>
      <c r="H357" s="7"/>
      <c r="I357" s="6" t="s">
        <v>5484</v>
      </c>
      <c r="J357" s="6" t="s">
        <v>3493</v>
      </c>
      <c r="K357" s="6" t="s">
        <v>5485</v>
      </c>
      <c r="L357" s="6" t="s">
        <v>5486</v>
      </c>
      <c r="M357" s="6" t="s">
        <v>5487</v>
      </c>
      <c r="N357" s="6" t="s">
        <v>5488</v>
      </c>
      <c r="O357" s="6" t="s">
        <v>5489</v>
      </c>
      <c r="P357" s="6" t="s">
        <v>5490</v>
      </c>
      <c r="Q357" s="6" t="s">
        <v>5491</v>
      </c>
      <c r="R357" s="6" t="s">
        <v>246</v>
      </c>
      <c r="S357" s="6" t="s">
        <v>147</v>
      </c>
      <c r="T357" s="6" t="s">
        <v>250</v>
      </c>
      <c r="U357" s="6" t="s">
        <v>252</v>
      </c>
      <c r="V357" s="6" t="s">
        <v>246</v>
      </c>
      <c r="W357" s="6" t="s">
        <v>158</v>
      </c>
      <c r="X357" s="6" t="s">
        <v>257</v>
      </c>
      <c r="Y357" s="6" t="s">
        <v>162</v>
      </c>
      <c r="Z357" s="6" t="s">
        <v>165</v>
      </c>
      <c r="AA357" s="6" t="s">
        <v>262</v>
      </c>
      <c r="AB357" s="6" t="s">
        <v>521</v>
      </c>
      <c r="AC357" s="6" t="s">
        <v>174</v>
      </c>
      <c r="AD357" s="6" t="s">
        <v>1723</v>
      </c>
      <c r="AE357" s="6" t="s">
        <v>178</v>
      </c>
      <c r="AF357" s="6" t="s">
        <v>181</v>
      </c>
      <c r="AG357" s="6" t="s">
        <v>182</v>
      </c>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row>
    <row r="358" ht="22.5" customHeight="1">
      <c r="A358" s="4">
        <v>46229.69882508102</v>
      </c>
      <c r="B358" s="5">
        <v>0.0</v>
      </c>
      <c r="C358" s="6" t="s">
        <v>114</v>
      </c>
      <c r="D358" s="6" t="s">
        <v>881</v>
      </c>
      <c r="E358" s="6" t="s">
        <v>882</v>
      </c>
      <c r="F358" s="6">
        <v>6.9070500839E10</v>
      </c>
      <c r="G358" s="6" t="s">
        <v>496</v>
      </c>
      <c r="H358" s="7"/>
      <c r="I358" s="6" t="s">
        <v>4517</v>
      </c>
      <c r="J358" s="6" t="s">
        <v>3115</v>
      </c>
      <c r="K358" s="6" t="s">
        <v>4088</v>
      </c>
      <c r="L358" s="6" t="s">
        <v>3117</v>
      </c>
      <c r="M358" s="6" t="s">
        <v>5478</v>
      </c>
      <c r="N358" s="7"/>
      <c r="O358" s="6" t="s">
        <v>5492</v>
      </c>
      <c r="P358" s="6" t="s">
        <v>5493</v>
      </c>
      <c r="Q358" s="6" t="s">
        <v>5494</v>
      </c>
      <c r="R358" s="6" t="s">
        <v>257</v>
      </c>
      <c r="S358" s="6" t="s">
        <v>147</v>
      </c>
      <c r="T358" s="6" t="s">
        <v>250</v>
      </c>
      <c r="U358" s="6" t="s">
        <v>560</v>
      </c>
      <c r="V358" s="6" t="s">
        <v>246</v>
      </c>
      <c r="W358" s="6" t="s">
        <v>158</v>
      </c>
      <c r="X358" s="6" t="s">
        <v>458</v>
      </c>
      <c r="Y358" s="6" t="s">
        <v>162</v>
      </c>
      <c r="Z358" s="6" t="s">
        <v>165</v>
      </c>
      <c r="AA358" s="6" t="s">
        <v>262</v>
      </c>
      <c r="AB358" s="6" t="s">
        <v>171</v>
      </c>
      <c r="AC358" s="6" t="s">
        <v>174</v>
      </c>
      <c r="AD358" s="6" t="s">
        <v>175</v>
      </c>
      <c r="AE358" s="6" t="s">
        <v>178</v>
      </c>
      <c r="AF358" s="6" t="s">
        <v>181</v>
      </c>
      <c r="AG358" s="6" t="s">
        <v>182</v>
      </c>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row>
    <row r="359" ht="22.5" customHeight="1">
      <c r="A359" s="4">
        <v>46229.69884064815</v>
      </c>
      <c r="B359" s="5">
        <v>0.0</v>
      </c>
      <c r="C359" s="6" t="s">
        <v>114</v>
      </c>
      <c r="D359" s="6" t="s">
        <v>75</v>
      </c>
      <c r="E359" s="6" t="s">
        <v>883</v>
      </c>
      <c r="F359" s="6">
        <v>6.9070500872E10</v>
      </c>
      <c r="G359" s="6" t="s">
        <v>496</v>
      </c>
      <c r="H359" s="7"/>
      <c r="I359" s="6" t="s">
        <v>5495</v>
      </c>
      <c r="J359" s="6" t="s">
        <v>5496</v>
      </c>
      <c r="K359" s="6" t="s">
        <v>5497</v>
      </c>
      <c r="L359" s="6" t="s">
        <v>5498</v>
      </c>
      <c r="M359" s="6" t="s">
        <v>5499</v>
      </c>
      <c r="N359" s="6" t="s">
        <v>5500</v>
      </c>
      <c r="O359" s="6" t="s">
        <v>5501</v>
      </c>
      <c r="P359" s="6" t="s">
        <v>5502</v>
      </c>
      <c r="Q359" s="6" t="s">
        <v>5503</v>
      </c>
      <c r="R359" s="6" t="s">
        <v>257</v>
      </c>
      <c r="S359" s="6" t="s">
        <v>147</v>
      </c>
      <c r="T359" s="6" t="s">
        <v>250</v>
      </c>
      <c r="U359" s="6" t="s">
        <v>560</v>
      </c>
      <c r="V359" s="6" t="s">
        <v>246</v>
      </c>
      <c r="W359" s="6" t="s">
        <v>158</v>
      </c>
      <c r="X359" s="6" t="s">
        <v>458</v>
      </c>
      <c r="Y359" s="6" t="s">
        <v>162</v>
      </c>
      <c r="Z359" s="6" t="s">
        <v>165</v>
      </c>
      <c r="AA359" s="6" t="s">
        <v>262</v>
      </c>
      <c r="AB359" s="6" t="s">
        <v>171</v>
      </c>
      <c r="AC359" s="6" t="s">
        <v>174</v>
      </c>
      <c r="AD359" s="6" t="s">
        <v>175</v>
      </c>
      <c r="AE359" s="6" t="s">
        <v>178</v>
      </c>
      <c r="AF359" s="6" t="s">
        <v>181</v>
      </c>
      <c r="AG359" s="6" t="s">
        <v>182</v>
      </c>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row>
    <row r="360" ht="22.5" customHeight="1">
      <c r="A360" s="4">
        <v>46229.698841631944</v>
      </c>
      <c r="B360" s="5">
        <v>0.0</v>
      </c>
      <c r="C360" s="6" t="s">
        <v>114</v>
      </c>
      <c r="D360" s="6" t="s">
        <v>884</v>
      </c>
      <c r="E360" s="6" t="s">
        <v>885</v>
      </c>
      <c r="F360" s="6">
        <v>6.9070500867E10</v>
      </c>
      <c r="G360" s="6" t="s">
        <v>496</v>
      </c>
      <c r="H360" s="7"/>
      <c r="I360" s="6" t="s">
        <v>3117</v>
      </c>
      <c r="J360" s="6" t="s">
        <v>5504</v>
      </c>
      <c r="K360" s="6" t="s">
        <v>5394</v>
      </c>
      <c r="L360" s="6" t="s">
        <v>5496</v>
      </c>
      <c r="M360" s="6" t="s">
        <v>5505</v>
      </c>
      <c r="N360" s="6" t="s">
        <v>5506</v>
      </c>
      <c r="O360" s="6" t="s">
        <v>5507</v>
      </c>
      <c r="P360" s="6" t="s">
        <v>5508</v>
      </c>
      <c r="Q360" s="6" t="s">
        <v>5509</v>
      </c>
      <c r="R360" s="6" t="s">
        <v>257</v>
      </c>
      <c r="S360" s="6" t="s">
        <v>147</v>
      </c>
      <c r="T360" s="6" t="s">
        <v>149</v>
      </c>
      <c r="U360" s="6" t="s">
        <v>560</v>
      </c>
      <c r="V360" s="6" t="s">
        <v>246</v>
      </c>
      <c r="W360" s="6" t="s">
        <v>625</v>
      </c>
      <c r="X360" s="6" t="s">
        <v>257</v>
      </c>
      <c r="Y360" s="6" t="s">
        <v>162</v>
      </c>
      <c r="Z360" s="6" t="s">
        <v>165</v>
      </c>
      <c r="AA360" s="6" t="s">
        <v>262</v>
      </c>
      <c r="AB360" s="6" t="s">
        <v>171</v>
      </c>
      <c r="AC360" s="6" t="s">
        <v>174</v>
      </c>
      <c r="AD360" s="6" t="s">
        <v>175</v>
      </c>
      <c r="AE360" s="6" t="s">
        <v>178</v>
      </c>
      <c r="AF360" s="6" t="s">
        <v>181</v>
      </c>
      <c r="AG360" s="6" t="s">
        <v>182</v>
      </c>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row>
    <row r="361" ht="22.5" customHeight="1">
      <c r="A361" s="4">
        <v>46229.698845694445</v>
      </c>
      <c r="B361" s="5">
        <v>0.0</v>
      </c>
      <c r="C361" s="6" t="s">
        <v>114</v>
      </c>
      <c r="D361" s="6" t="s">
        <v>886</v>
      </c>
      <c r="E361" s="6" t="s">
        <v>887</v>
      </c>
      <c r="F361" s="6">
        <v>6.9070506457E10</v>
      </c>
      <c r="G361" s="6" t="s">
        <v>599</v>
      </c>
      <c r="H361" s="7"/>
      <c r="I361" s="6" t="s">
        <v>5510</v>
      </c>
      <c r="J361" s="6" t="s">
        <v>5511</v>
      </c>
      <c r="K361" s="6" t="s">
        <v>5512</v>
      </c>
      <c r="L361" s="6" t="s">
        <v>5513</v>
      </c>
      <c r="M361" s="6" t="s">
        <v>5514</v>
      </c>
      <c r="N361" s="7"/>
      <c r="O361" s="6" t="s">
        <v>5515</v>
      </c>
      <c r="P361" s="6" t="s">
        <v>5516</v>
      </c>
      <c r="Q361" s="6" t="s">
        <v>5517</v>
      </c>
      <c r="R361" s="6" t="s">
        <v>246</v>
      </c>
      <c r="S361" s="6" t="s">
        <v>147</v>
      </c>
      <c r="T361" s="6" t="s">
        <v>250</v>
      </c>
      <c r="U361" s="6" t="s">
        <v>560</v>
      </c>
      <c r="V361" s="6" t="s">
        <v>246</v>
      </c>
      <c r="W361" s="6" t="s">
        <v>158</v>
      </c>
      <c r="X361" s="6" t="s">
        <v>257</v>
      </c>
      <c r="Y361" s="6" t="s">
        <v>162</v>
      </c>
      <c r="Z361" s="6" t="s">
        <v>165</v>
      </c>
      <c r="AA361" s="6" t="s">
        <v>262</v>
      </c>
      <c r="AB361" s="6" t="s">
        <v>171</v>
      </c>
      <c r="AC361" s="6" t="s">
        <v>174</v>
      </c>
      <c r="AD361" s="6" t="s">
        <v>175</v>
      </c>
      <c r="AE361" s="6" t="s">
        <v>271</v>
      </c>
      <c r="AF361" s="6" t="s">
        <v>181</v>
      </c>
      <c r="AG361" s="6" t="s">
        <v>182</v>
      </c>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row>
    <row r="362" ht="22.5" customHeight="1">
      <c r="A362" s="4">
        <v>46229.698845810184</v>
      </c>
      <c r="B362" s="5">
        <v>0.0</v>
      </c>
      <c r="C362" s="6" t="s">
        <v>114</v>
      </c>
      <c r="D362" s="6" t="s">
        <v>888</v>
      </c>
      <c r="E362" s="6" t="s">
        <v>889</v>
      </c>
      <c r="F362" s="6">
        <v>6.9070509432E10</v>
      </c>
      <c r="G362" s="6" t="s">
        <v>122</v>
      </c>
      <c r="H362" s="6" t="s">
        <v>5518</v>
      </c>
      <c r="I362" s="6" t="s">
        <v>5519</v>
      </c>
      <c r="J362" s="6" t="s">
        <v>5520</v>
      </c>
      <c r="K362" s="6" t="s">
        <v>5521</v>
      </c>
      <c r="L362" s="6" t="s">
        <v>5522</v>
      </c>
      <c r="M362" s="6" t="s">
        <v>5523</v>
      </c>
      <c r="N362" s="6" t="s">
        <v>2633</v>
      </c>
      <c r="O362" s="6" t="s">
        <v>5524</v>
      </c>
      <c r="P362" s="6" t="s">
        <v>5525</v>
      </c>
      <c r="Q362" s="6" t="s">
        <v>5526</v>
      </c>
      <c r="R362" s="6" t="s">
        <v>861</v>
      </c>
      <c r="S362" s="6" t="s">
        <v>147</v>
      </c>
      <c r="T362" s="6" t="s">
        <v>250</v>
      </c>
      <c r="U362" s="6" t="s">
        <v>252</v>
      </c>
      <c r="V362" s="6" t="s">
        <v>155</v>
      </c>
      <c r="W362" s="6" t="s">
        <v>158</v>
      </c>
      <c r="X362" s="6" t="s">
        <v>257</v>
      </c>
      <c r="Y362" s="6" t="s">
        <v>162</v>
      </c>
      <c r="Z362" s="6" t="s">
        <v>804</v>
      </c>
      <c r="AA362" s="6" t="s">
        <v>641</v>
      </c>
      <c r="AB362" s="6" t="s">
        <v>1266</v>
      </c>
      <c r="AC362" s="6" t="s">
        <v>633</v>
      </c>
      <c r="AD362" s="6" t="s">
        <v>635</v>
      </c>
      <c r="AE362" s="6" t="s">
        <v>178</v>
      </c>
      <c r="AF362" s="6" t="s">
        <v>181</v>
      </c>
      <c r="AG362" s="6" t="s">
        <v>182</v>
      </c>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row>
    <row r="363" ht="22.5" customHeight="1">
      <c r="A363" s="4">
        <v>46229.69884726852</v>
      </c>
      <c r="B363" s="5">
        <v>0.0</v>
      </c>
      <c r="C363" s="6" t="s">
        <v>114</v>
      </c>
      <c r="D363" s="6" t="s">
        <v>890</v>
      </c>
      <c r="E363" s="6" t="s">
        <v>891</v>
      </c>
      <c r="F363" s="6">
        <v>6.9070501001E10</v>
      </c>
      <c r="G363" s="6" t="s">
        <v>1470</v>
      </c>
      <c r="H363" s="7"/>
      <c r="I363" s="6" t="s">
        <v>5527</v>
      </c>
      <c r="J363" s="6" t="s">
        <v>5528</v>
      </c>
      <c r="K363" s="6" t="s">
        <v>5529</v>
      </c>
      <c r="L363" s="6" t="s">
        <v>5530</v>
      </c>
      <c r="M363" s="6" t="s">
        <v>5531</v>
      </c>
      <c r="N363" s="6" t="s">
        <v>5532</v>
      </c>
      <c r="O363" s="6" t="s">
        <v>5533</v>
      </c>
      <c r="P363" s="6" t="s">
        <v>5534</v>
      </c>
      <c r="Q363" s="6" t="s">
        <v>5535</v>
      </c>
      <c r="R363" s="6" t="s">
        <v>246</v>
      </c>
      <c r="S363" s="6" t="s">
        <v>147</v>
      </c>
      <c r="T363" s="6" t="s">
        <v>250</v>
      </c>
      <c r="U363" s="6" t="s">
        <v>252</v>
      </c>
      <c r="V363" s="6" t="s">
        <v>246</v>
      </c>
      <c r="W363" s="6" t="s">
        <v>158</v>
      </c>
      <c r="X363" s="6" t="s">
        <v>257</v>
      </c>
      <c r="Y363" s="6" t="s">
        <v>162</v>
      </c>
      <c r="Z363" s="6" t="s">
        <v>165</v>
      </c>
      <c r="AA363" s="6" t="s">
        <v>262</v>
      </c>
      <c r="AB363" s="6" t="s">
        <v>521</v>
      </c>
      <c r="AC363" s="6" t="s">
        <v>174</v>
      </c>
      <c r="AD363" s="6" t="s">
        <v>175</v>
      </c>
      <c r="AE363" s="6" t="s">
        <v>271</v>
      </c>
      <c r="AF363" s="6" t="s">
        <v>181</v>
      </c>
      <c r="AG363" s="6" t="s">
        <v>182</v>
      </c>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row>
    <row r="364" ht="22.5" customHeight="1">
      <c r="A364" s="4">
        <v>46229.698847465275</v>
      </c>
      <c r="B364" s="5">
        <v>0.0</v>
      </c>
      <c r="C364" s="6" t="s">
        <v>114</v>
      </c>
      <c r="D364" s="6" t="s">
        <v>892</v>
      </c>
      <c r="E364" s="6" t="s">
        <v>893</v>
      </c>
      <c r="F364" s="6">
        <v>6.9070500846E10</v>
      </c>
      <c r="G364" s="6" t="s">
        <v>496</v>
      </c>
      <c r="H364" s="6" t="s">
        <v>5536</v>
      </c>
      <c r="I364" s="6" t="s">
        <v>3115</v>
      </c>
      <c r="J364" s="6" t="s">
        <v>5478</v>
      </c>
      <c r="K364" s="6" t="s">
        <v>5537</v>
      </c>
      <c r="L364" s="6" t="s">
        <v>5538</v>
      </c>
      <c r="M364" s="6" t="s">
        <v>5537</v>
      </c>
      <c r="N364" s="6" t="s">
        <v>5477</v>
      </c>
      <c r="O364" s="6" t="s">
        <v>5539</v>
      </c>
      <c r="P364" s="6" t="s">
        <v>5540</v>
      </c>
      <c r="Q364" s="6" t="s">
        <v>5541</v>
      </c>
      <c r="R364" s="6" t="s">
        <v>257</v>
      </c>
      <c r="S364" s="6" t="s">
        <v>147</v>
      </c>
      <c r="T364" s="6" t="s">
        <v>149</v>
      </c>
      <c r="U364" s="6" t="s">
        <v>560</v>
      </c>
      <c r="V364" s="6" t="s">
        <v>246</v>
      </c>
      <c r="W364" s="6" t="s">
        <v>158</v>
      </c>
      <c r="X364" s="6" t="s">
        <v>257</v>
      </c>
      <c r="Y364" s="6" t="s">
        <v>162</v>
      </c>
      <c r="Z364" s="6" t="s">
        <v>165</v>
      </c>
      <c r="AA364" s="6" t="s">
        <v>262</v>
      </c>
      <c r="AB364" s="6" t="s">
        <v>171</v>
      </c>
      <c r="AC364" s="6" t="s">
        <v>174</v>
      </c>
      <c r="AD364" s="6" t="s">
        <v>175</v>
      </c>
      <c r="AE364" s="6" t="s">
        <v>178</v>
      </c>
      <c r="AF364" s="6" t="s">
        <v>181</v>
      </c>
      <c r="AG364" s="6" t="s">
        <v>182</v>
      </c>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row>
    <row r="365" ht="22.5" customHeight="1">
      <c r="A365" s="4">
        <v>46229.6988580787</v>
      </c>
      <c r="B365" s="5">
        <v>0.0</v>
      </c>
      <c r="C365" s="6" t="s">
        <v>114</v>
      </c>
      <c r="D365" s="6" t="s">
        <v>894</v>
      </c>
      <c r="E365" s="6" t="s">
        <v>895</v>
      </c>
      <c r="F365" s="6">
        <v>6.9070500874E10</v>
      </c>
      <c r="G365" s="6" t="s">
        <v>496</v>
      </c>
      <c r="H365" s="7"/>
      <c r="I365" s="6" t="s">
        <v>5542</v>
      </c>
      <c r="J365" s="6" t="s">
        <v>5543</v>
      </c>
      <c r="K365" s="6" t="s">
        <v>5544</v>
      </c>
      <c r="L365" s="6" t="s">
        <v>5545</v>
      </c>
      <c r="M365" s="6" t="s">
        <v>5546</v>
      </c>
      <c r="N365" s="6" t="s">
        <v>5547</v>
      </c>
      <c r="O365" s="6" t="s">
        <v>5548</v>
      </c>
      <c r="P365" s="6" t="s">
        <v>5549</v>
      </c>
      <c r="Q365" s="6" t="s">
        <v>5550</v>
      </c>
      <c r="R365" s="6" t="s">
        <v>246</v>
      </c>
      <c r="S365" s="6" t="s">
        <v>147</v>
      </c>
      <c r="T365" s="6" t="s">
        <v>149</v>
      </c>
      <c r="U365" s="6" t="s">
        <v>560</v>
      </c>
      <c r="V365" s="6" t="s">
        <v>246</v>
      </c>
      <c r="W365" s="6" t="s">
        <v>158</v>
      </c>
      <c r="X365" s="6" t="s">
        <v>257</v>
      </c>
      <c r="Y365" s="6" t="s">
        <v>162</v>
      </c>
      <c r="Z365" s="6" t="s">
        <v>165</v>
      </c>
      <c r="AA365" s="6" t="s">
        <v>262</v>
      </c>
      <c r="AB365" s="6" t="s">
        <v>171</v>
      </c>
      <c r="AC365" s="6" t="s">
        <v>174</v>
      </c>
      <c r="AD365" s="6" t="s">
        <v>175</v>
      </c>
      <c r="AE365" s="6" t="s">
        <v>178</v>
      </c>
      <c r="AF365" s="6" t="s">
        <v>181</v>
      </c>
      <c r="AG365" s="6" t="s">
        <v>182</v>
      </c>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row>
    <row r="366" ht="22.5" customHeight="1">
      <c r="A366" s="4">
        <v>46229.698878877316</v>
      </c>
      <c r="B366" s="5">
        <v>0.0</v>
      </c>
      <c r="C366" s="6" t="s">
        <v>114</v>
      </c>
      <c r="D366" s="6" t="s">
        <v>896</v>
      </c>
      <c r="E366" s="6" t="s">
        <v>897</v>
      </c>
      <c r="F366" s="6">
        <v>6.9070501032E10</v>
      </c>
      <c r="G366" s="6" t="s">
        <v>1470</v>
      </c>
      <c r="H366" s="6" t="s">
        <v>5551</v>
      </c>
      <c r="I366" s="6" t="s">
        <v>5552</v>
      </c>
      <c r="J366" s="6" t="s">
        <v>5553</v>
      </c>
      <c r="K366" s="6" t="s">
        <v>4353</v>
      </c>
      <c r="L366" s="6" t="s">
        <v>5554</v>
      </c>
      <c r="M366" s="6" t="s">
        <v>5555</v>
      </c>
      <c r="N366" s="6" t="s">
        <v>5556</v>
      </c>
      <c r="O366" s="6" t="s">
        <v>5557</v>
      </c>
      <c r="P366" s="6" t="s">
        <v>5558</v>
      </c>
      <c r="Q366" s="6" t="s">
        <v>5559</v>
      </c>
      <c r="R366" s="6" t="s">
        <v>246</v>
      </c>
      <c r="S366" s="6" t="s">
        <v>147</v>
      </c>
      <c r="T366" s="6" t="s">
        <v>250</v>
      </c>
      <c r="U366" s="6" t="s">
        <v>560</v>
      </c>
      <c r="V366" s="6" t="s">
        <v>246</v>
      </c>
      <c r="W366" s="6" t="s">
        <v>158</v>
      </c>
      <c r="X366" s="6" t="s">
        <v>161</v>
      </c>
      <c r="Y366" s="6" t="s">
        <v>162</v>
      </c>
      <c r="Z366" s="6" t="s">
        <v>165</v>
      </c>
      <c r="AA366" s="6" t="s">
        <v>262</v>
      </c>
      <c r="AB366" s="6" t="s">
        <v>171</v>
      </c>
      <c r="AC366" s="6" t="s">
        <v>174</v>
      </c>
      <c r="AD366" s="6" t="s">
        <v>175</v>
      </c>
      <c r="AE366" s="6" t="s">
        <v>271</v>
      </c>
      <c r="AF366" s="6" t="s">
        <v>181</v>
      </c>
      <c r="AG366" s="6" t="s">
        <v>182</v>
      </c>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row>
    <row r="367" ht="22.5" customHeight="1">
      <c r="A367" s="4">
        <v>46229.69888769676</v>
      </c>
      <c r="B367" s="5">
        <v>0.0</v>
      </c>
      <c r="C367" s="6" t="s">
        <v>114</v>
      </c>
      <c r="D367" s="6" t="s">
        <v>898</v>
      </c>
      <c r="E367" s="6" t="s">
        <v>899</v>
      </c>
      <c r="F367" s="6">
        <v>6.9070509809E10</v>
      </c>
      <c r="G367" s="6" t="s">
        <v>496</v>
      </c>
      <c r="H367" s="6" t="s">
        <v>5560</v>
      </c>
      <c r="I367" s="6" t="s">
        <v>3239</v>
      </c>
      <c r="J367" s="6" t="s">
        <v>5561</v>
      </c>
      <c r="K367" s="6" t="s">
        <v>5562</v>
      </c>
      <c r="L367" s="6" t="s">
        <v>2941</v>
      </c>
      <c r="M367" s="6" t="s">
        <v>5563</v>
      </c>
      <c r="N367" s="6" t="s">
        <v>2633</v>
      </c>
      <c r="O367" s="6" t="s">
        <v>5564</v>
      </c>
      <c r="P367" s="6" t="s">
        <v>5565</v>
      </c>
      <c r="Q367" s="6" t="s">
        <v>5566</v>
      </c>
      <c r="R367" s="6" t="s">
        <v>246</v>
      </c>
      <c r="S367" s="6" t="s">
        <v>147</v>
      </c>
      <c r="T367" s="6" t="s">
        <v>246</v>
      </c>
      <c r="U367" s="6" t="s">
        <v>2254</v>
      </c>
      <c r="V367" s="6" t="s">
        <v>458</v>
      </c>
      <c r="W367" s="6" t="s">
        <v>158</v>
      </c>
      <c r="X367" s="6" t="s">
        <v>458</v>
      </c>
      <c r="Y367" s="6" t="s">
        <v>162</v>
      </c>
      <c r="Z367" s="6" t="s">
        <v>165</v>
      </c>
      <c r="AA367" s="6" t="s">
        <v>262</v>
      </c>
      <c r="AB367" s="6" t="s">
        <v>171</v>
      </c>
      <c r="AC367" s="6" t="s">
        <v>174</v>
      </c>
      <c r="AD367" s="6" t="s">
        <v>1723</v>
      </c>
      <c r="AE367" s="6" t="s">
        <v>271</v>
      </c>
      <c r="AF367" s="6" t="s">
        <v>181</v>
      </c>
      <c r="AG367" s="6" t="s">
        <v>182</v>
      </c>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row>
    <row r="368" ht="22.5" customHeight="1">
      <c r="A368" s="4">
        <v>46229.69889049769</v>
      </c>
      <c r="B368" s="5">
        <v>0.0</v>
      </c>
      <c r="C368" s="6" t="s">
        <v>114</v>
      </c>
      <c r="D368" s="6" t="s">
        <v>900</v>
      </c>
      <c r="E368" s="6" t="s">
        <v>901</v>
      </c>
      <c r="F368" s="6">
        <v>6.9070500265E10</v>
      </c>
      <c r="G368" s="6" t="s">
        <v>599</v>
      </c>
      <c r="H368" s="7"/>
      <c r="I368" s="6" t="s">
        <v>3975</v>
      </c>
      <c r="J368" s="6" t="s">
        <v>4166</v>
      </c>
      <c r="K368" s="6" t="s">
        <v>5567</v>
      </c>
      <c r="L368" s="6" t="s">
        <v>5568</v>
      </c>
      <c r="M368" s="6" t="s">
        <v>5506</v>
      </c>
      <c r="N368" s="7"/>
      <c r="O368" s="6" t="s">
        <v>5569</v>
      </c>
      <c r="P368" s="6" t="s">
        <v>5570</v>
      </c>
      <c r="Q368" s="6" t="s">
        <v>5571</v>
      </c>
      <c r="R368" s="6" t="s">
        <v>246</v>
      </c>
      <c r="S368" s="6" t="s">
        <v>147</v>
      </c>
      <c r="T368" s="6" t="s">
        <v>250</v>
      </c>
      <c r="U368" s="6" t="s">
        <v>252</v>
      </c>
      <c r="V368" s="6" t="s">
        <v>246</v>
      </c>
      <c r="W368" s="6" t="s">
        <v>158</v>
      </c>
      <c r="X368" s="6" t="s">
        <v>257</v>
      </c>
      <c r="Y368" s="6" t="s">
        <v>162</v>
      </c>
      <c r="Z368" s="6" t="s">
        <v>165</v>
      </c>
      <c r="AA368" s="6" t="s">
        <v>262</v>
      </c>
      <c r="AB368" s="6" t="s">
        <v>171</v>
      </c>
      <c r="AC368" s="6" t="s">
        <v>174</v>
      </c>
      <c r="AD368" s="6" t="s">
        <v>175</v>
      </c>
      <c r="AE368" s="6" t="s">
        <v>271</v>
      </c>
      <c r="AF368" s="6" t="s">
        <v>181</v>
      </c>
      <c r="AG368" s="6" t="s">
        <v>182</v>
      </c>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row>
    <row r="369" ht="22.5" customHeight="1">
      <c r="A369" s="4">
        <v>46229.69889983797</v>
      </c>
      <c r="B369" s="5">
        <v>0.0</v>
      </c>
      <c r="C369" s="6" t="s">
        <v>114</v>
      </c>
      <c r="D369" s="6" t="s">
        <v>902</v>
      </c>
      <c r="E369" s="6" t="s">
        <v>903</v>
      </c>
      <c r="F369" s="6">
        <v>6.9070502453E10</v>
      </c>
      <c r="G369" s="6" t="s">
        <v>122</v>
      </c>
      <c r="H369" s="6" t="s">
        <v>5572</v>
      </c>
      <c r="I369" s="6" t="s">
        <v>5573</v>
      </c>
      <c r="J369" s="6" t="s">
        <v>5574</v>
      </c>
      <c r="K369" s="6" t="s">
        <v>5575</v>
      </c>
      <c r="L369" s="6" t="s">
        <v>3387</v>
      </c>
      <c r="M369" s="6" t="s">
        <v>5576</v>
      </c>
      <c r="N369" s="6" t="s">
        <v>1138</v>
      </c>
      <c r="O369" s="6" t="s">
        <v>5577</v>
      </c>
      <c r="P369" s="6" t="s">
        <v>5578</v>
      </c>
      <c r="Q369" s="6" t="s">
        <v>5579</v>
      </c>
      <c r="R369" s="6" t="s">
        <v>257</v>
      </c>
      <c r="S369" s="6" t="s">
        <v>147</v>
      </c>
      <c r="T369" s="6" t="s">
        <v>250</v>
      </c>
      <c r="U369" s="6" t="s">
        <v>252</v>
      </c>
      <c r="V369" s="6" t="s">
        <v>246</v>
      </c>
      <c r="W369" s="6" t="s">
        <v>158</v>
      </c>
      <c r="X369" s="6" t="s">
        <v>458</v>
      </c>
      <c r="Y369" s="6" t="s">
        <v>162</v>
      </c>
      <c r="Z369" s="6" t="s">
        <v>4804</v>
      </c>
      <c r="AA369" s="6" t="s">
        <v>262</v>
      </c>
      <c r="AB369" s="6" t="s">
        <v>171</v>
      </c>
      <c r="AC369" s="6" t="s">
        <v>174</v>
      </c>
      <c r="AD369" s="6" t="s">
        <v>175</v>
      </c>
      <c r="AE369" s="6" t="s">
        <v>271</v>
      </c>
      <c r="AF369" s="6" t="s">
        <v>181</v>
      </c>
      <c r="AG369" s="6" t="s">
        <v>182</v>
      </c>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row>
    <row r="370" ht="22.5" customHeight="1">
      <c r="A370" s="4">
        <v>46229.698907604165</v>
      </c>
      <c r="B370" s="5">
        <v>0.0</v>
      </c>
      <c r="C370" s="6" t="s">
        <v>114</v>
      </c>
      <c r="D370" s="6" t="s">
        <v>904</v>
      </c>
      <c r="E370" s="6" t="s">
        <v>905</v>
      </c>
      <c r="F370" s="6">
        <v>6.9070502407E10</v>
      </c>
      <c r="G370" s="6" t="s">
        <v>122</v>
      </c>
      <c r="H370" s="6" t="s">
        <v>5580</v>
      </c>
      <c r="I370" s="6" t="s">
        <v>5581</v>
      </c>
      <c r="J370" s="6" t="s">
        <v>5582</v>
      </c>
      <c r="K370" s="6" t="s">
        <v>5583</v>
      </c>
      <c r="L370" s="6" t="s">
        <v>5584</v>
      </c>
      <c r="M370" s="6" t="s">
        <v>5585</v>
      </c>
      <c r="N370" s="7"/>
      <c r="O370" s="6" t="s">
        <v>5586</v>
      </c>
      <c r="P370" s="6" t="s">
        <v>5587</v>
      </c>
      <c r="Q370" s="6" t="s">
        <v>5588</v>
      </c>
      <c r="R370" s="6" t="s">
        <v>246</v>
      </c>
      <c r="S370" s="6" t="s">
        <v>147</v>
      </c>
      <c r="T370" s="6" t="s">
        <v>250</v>
      </c>
      <c r="U370" s="6" t="s">
        <v>152</v>
      </c>
      <c r="V370" s="6" t="s">
        <v>246</v>
      </c>
      <c r="W370" s="6" t="s">
        <v>158</v>
      </c>
      <c r="X370" s="6" t="s">
        <v>257</v>
      </c>
      <c r="Y370" s="6" t="s">
        <v>162</v>
      </c>
      <c r="Z370" s="6" t="s">
        <v>165</v>
      </c>
      <c r="AA370" s="6" t="s">
        <v>262</v>
      </c>
      <c r="AB370" s="6" t="s">
        <v>171</v>
      </c>
      <c r="AC370" s="6" t="s">
        <v>174</v>
      </c>
      <c r="AD370" s="6" t="s">
        <v>175</v>
      </c>
      <c r="AE370" s="6" t="s">
        <v>271</v>
      </c>
      <c r="AF370" s="6" t="s">
        <v>181</v>
      </c>
      <c r="AG370" s="6" t="s">
        <v>182</v>
      </c>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row>
    <row r="371" ht="22.5" customHeight="1">
      <c r="A371" s="4">
        <v>46229.69891965278</v>
      </c>
      <c r="B371" s="5">
        <v>0.0</v>
      </c>
      <c r="C371" s="6" t="s">
        <v>114</v>
      </c>
      <c r="D371" s="6" t="s">
        <v>906</v>
      </c>
      <c r="E371" s="6" t="s">
        <v>907</v>
      </c>
      <c r="F371" s="6">
        <v>6.9070502506E10</v>
      </c>
      <c r="G371" s="6" t="s">
        <v>122</v>
      </c>
      <c r="H371" s="6" t="s">
        <v>5589</v>
      </c>
      <c r="I371" s="6" t="s">
        <v>5590</v>
      </c>
      <c r="J371" s="6" t="s">
        <v>5591</v>
      </c>
      <c r="K371" s="6" t="s">
        <v>5592</v>
      </c>
      <c r="L371" s="6" t="s">
        <v>5593</v>
      </c>
      <c r="M371" s="6" t="s">
        <v>5594</v>
      </c>
      <c r="N371" s="6" t="s">
        <v>5595</v>
      </c>
      <c r="O371" s="6" t="s">
        <v>5596</v>
      </c>
      <c r="P371" s="6" t="s">
        <v>5597</v>
      </c>
      <c r="Q371" s="6" t="s">
        <v>5598</v>
      </c>
      <c r="R371" s="6" t="s">
        <v>246</v>
      </c>
      <c r="S371" s="6" t="s">
        <v>147</v>
      </c>
      <c r="T371" s="6" t="s">
        <v>250</v>
      </c>
      <c r="U371" s="6" t="s">
        <v>252</v>
      </c>
      <c r="V371" s="6" t="s">
        <v>246</v>
      </c>
      <c r="W371" s="6" t="s">
        <v>158</v>
      </c>
      <c r="X371" s="6" t="s">
        <v>257</v>
      </c>
      <c r="Y371" s="6" t="s">
        <v>162</v>
      </c>
      <c r="Z371" s="6" t="s">
        <v>165</v>
      </c>
      <c r="AA371" s="6" t="s">
        <v>262</v>
      </c>
      <c r="AB371" s="6" t="s">
        <v>171</v>
      </c>
      <c r="AC371" s="6" t="s">
        <v>174</v>
      </c>
      <c r="AD371" s="6" t="s">
        <v>175</v>
      </c>
      <c r="AE371" s="6" t="s">
        <v>271</v>
      </c>
      <c r="AF371" s="6" t="s">
        <v>181</v>
      </c>
      <c r="AG371" s="6" t="s">
        <v>182</v>
      </c>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row>
    <row r="372" ht="22.5" customHeight="1">
      <c r="A372" s="4">
        <v>46229.69891989583</v>
      </c>
      <c r="B372" s="5">
        <v>0.0</v>
      </c>
      <c r="C372" s="6" t="s">
        <v>114</v>
      </c>
      <c r="D372" s="6" t="s">
        <v>908</v>
      </c>
      <c r="E372" s="6" t="s">
        <v>909</v>
      </c>
      <c r="F372" s="6">
        <v>6.9070509462E10</v>
      </c>
      <c r="G372" s="6" t="s">
        <v>122</v>
      </c>
      <c r="H372" s="6" t="s">
        <v>5599</v>
      </c>
      <c r="I372" s="6" t="s">
        <v>5599</v>
      </c>
      <c r="J372" s="6" t="s">
        <v>5600</v>
      </c>
      <c r="K372" s="6" t="s">
        <v>5601</v>
      </c>
      <c r="L372" s="6" t="s">
        <v>5602</v>
      </c>
      <c r="M372" s="6" t="s">
        <v>5603</v>
      </c>
      <c r="N372" s="6" t="s">
        <v>5604</v>
      </c>
      <c r="O372" s="6" t="s">
        <v>5605</v>
      </c>
      <c r="P372" s="6" t="s">
        <v>5606</v>
      </c>
      <c r="Q372" s="6" t="s">
        <v>5607</v>
      </c>
      <c r="R372" s="6" t="s">
        <v>246</v>
      </c>
      <c r="S372" s="6" t="s">
        <v>147</v>
      </c>
      <c r="T372" s="6" t="s">
        <v>250</v>
      </c>
      <c r="U372" s="6" t="s">
        <v>152</v>
      </c>
      <c r="V372" s="6" t="s">
        <v>246</v>
      </c>
      <c r="W372" s="6" t="s">
        <v>158</v>
      </c>
      <c r="X372" s="6" t="s">
        <v>257</v>
      </c>
      <c r="Y372" s="6" t="s">
        <v>162</v>
      </c>
      <c r="Z372" s="6" t="s">
        <v>165</v>
      </c>
      <c r="AA372" s="6" t="s">
        <v>262</v>
      </c>
      <c r="AB372" s="6" t="s">
        <v>171</v>
      </c>
      <c r="AC372" s="6" t="s">
        <v>174</v>
      </c>
      <c r="AD372" s="6" t="s">
        <v>175</v>
      </c>
      <c r="AE372" s="6" t="s">
        <v>271</v>
      </c>
      <c r="AF372" s="6" t="s">
        <v>181</v>
      </c>
      <c r="AG372" s="6" t="s">
        <v>182</v>
      </c>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row>
    <row r="373" ht="22.5" customHeight="1">
      <c r="A373" s="4">
        <v>46229.69892127315</v>
      </c>
      <c r="B373" s="5">
        <v>0.0</v>
      </c>
      <c r="C373" s="6" t="s">
        <v>114</v>
      </c>
      <c r="D373" s="6" t="s">
        <v>912</v>
      </c>
      <c r="E373" s="6" t="s">
        <v>914</v>
      </c>
      <c r="F373" s="6">
        <v>6.9070501003E10</v>
      </c>
      <c r="G373" s="6" t="s">
        <v>1470</v>
      </c>
      <c r="H373" s="7"/>
      <c r="I373" s="6" t="s">
        <v>5608</v>
      </c>
      <c r="J373" s="6" t="s">
        <v>5609</v>
      </c>
      <c r="K373" s="6" t="s">
        <v>5610</v>
      </c>
      <c r="L373" s="6" t="s">
        <v>5611</v>
      </c>
      <c r="M373" s="6" t="s">
        <v>5612</v>
      </c>
      <c r="N373" s="7"/>
      <c r="O373" s="6" t="s">
        <v>5613</v>
      </c>
      <c r="P373" s="6" t="s">
        <v>5614</v>
      </c>
      <c r="Q373" s="6" t="s">
        <v>5615</v>
      </c>
      <c r="R373" s="6" t="s">
        <v>246</v>
      </c>
      <c r="S373" s="6" t="s">
        <v>147</v>
      </c>
      <c r="T373" s="6" t="s">
        <v>250</v>
      </c>
      <c r="U373" s="6" t="s">
        <v>252</v>
      </c>
      <c r="V373" s="6" t="s">
        <v>246</v>
      </c>
      <c r="W373" s="6" t="s">
        <v>158</v>
      </c>
      <c r="X373" s="6" t="s">
        <v>257</v>
      </c>
      <c r="Y373" s="6" t="s">
        <v>162</v>
      </c>
      <c r="Z373" s="6" t="s">
        <v>165</v>
      </c>
      <c r="AA373" s="6" t="s">
        <v>262</v>
      </c>
      <c r="AB373" s="6" t="s">
        <v>521</v>
      </c>
      <c r="AC373" s="6" t="s">
        <v>174</v>
      </c>
      <c r="AD373" s="6" t="s">
        <v>175</v>
      </c>
      <c r="AE373" s="6" t="s">
        <v>271</v>
      </c>
      <c r="AF373" s="6" t="s">
        <v>181</v>
      </c>
      <c r="AG373" s="6" t="s">
        <v>182</v>
      </c>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row>
    <row r="374" ht="22.5" customHeight="1">
      <c r="A374" s="4">
        <v>46229.69893078704</v>
      </c>
      <c r="B374" s="5">
        <v>0.0</v>
      </c>
      <c r="C374" s="6" t="s">
        <v>114</v>
      </c>
      <c r="D374" s="6" t="s">
        <v>916</v>
      </c>
      <c r="E374" s="6" t="s">
        <v>917</v>
      </c>
      <c r="F374" s="6">
        <v>6.9070502206E10</v>
      </c>
      <c r="G374" s="6" t="s">
        <v>496</v>
      </c>
      <c r="H374" s="7"/>
      <c r="I374" s="6" t="s">
        <v>5616</v>
      </c>
      <c r="J374" s="6" t="s">
        <v>5617</v>
      </c>
      <c r="K374" s="6" t="s">
        <v>3131</v>
      </c>
      <c r="L374" s="6" t="s">
        <v>5618</v>
      </c>
      <c r="M374" s="6" t="s">
        <v>5619</v>
      </c>
      <c r="N374" s="7"/>
      <c r="O374" s="6" t="s">
        <v>5620</v>
      </c>
      <c r="P374" s="6" t="s">
        <v>5621</v>
      </c>
      <c r="Q374" s="6" t="s">
        <v>5622</v>
      </c>
      <c r="R374" s="6" t="s">
        <v>257</v>
      </c>
      <c r="S374" s="6" t="s">
        <v>147</v>
      </c>
      <c r="T374" s="6" t="s">
        <v>250</v>
      </c>
      <c r="U374" s="6" t="s">
        <v>560</v>
      </c>
      <c r="V374" s="6" t="s">
        <v>246</v>
      </c>
      <c r="W374" s="6" t="s">
        <v>158</v>
      </c>
      <c r="X374" s="6" t="s">
        <v>257</v>
      </c>
      <c r="Y374" s="6" t="s">
        <v>162</v>
      </c>
      <c r="Z374" s="6" t="s">
        <v>165</v>
      </c>
      <c r="AA374" s="6" t="s">
        <v>2307</v>
      </c>
      <c r="AB374" s="6" t="s">
        <v>521</v>
      </c>
      <c r="AC374" s="6" t="s">
        <v>174</v>
      </c>
      <c r="AD374" s="6" t="s">
        <v>1723</v>
      </c>
      <c r="AE374" s="6" t="s">
        <v>271</v>
      </c>
      <c r="AF374" s="6" t="s">
        <v>181</v>
      </c>
      <c r="AG374" s="6" t="s">
        <v>182</v>
      </c>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row>
    <row r="375" ht="22.5" customHeight="1">
      <c r="A375" s="4">
        <v>46229.69894236111</v>
      </c>
      <c r="B375" s="5">
        <v>0.0</v>
      </c>
      <c r="C375" s="6" t="s">
        <v>3296</v>
      </c>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6" t="s">
        <v>2642</v>
      </c>
      <c r="AI375" s="6" t="s">
        <v>2643</v>
      </c>
      <c r="AJ375" s="6">
        <v>6.907050341E10</v>
      </c>
      <c r="AK375" s="6" t="s">
        <v>3297</v>
      </c>
      <c r="AL375" s="7"/>
      <c r="AM375" s="6" t="s">
        <v>5623</v>
      </c>
      <c r="AN375" s="6" t="s">
        <v>5624</v>
      </c>
      <c r="AO375" s="6" t="s">
        <v>5625</v>
      </c>
      <c r="AP375" s="6" t="s">
        <v>5626</v>
      </c>
      <c r="AQ375" s="6" t="s">
        <v>5627</v>
      </c>
      <c r="AR375" s="7"/>
      <c r="AS375" s="6" t="s">
        <v>5628</v>
      </c>
      <c r="AT375" s="6" t="s">
        <v>5629</v>
      </c>
      <c r="AU375" s="6" t="s">
        <v>5630</v>
      </c>
      <c r="AV375" s="6" t="s">
        <v>3306</v>
      </c>
      <c r="AW375" s="6" t="s">
        <v>3307</v>
      </c>
      <c r="AX375" s="6" t="s">
        <v>3887</v>
      </c>
      <c r="AY375" s="6" t="s">
        <v>4067</v>
      </c>
      <c r="AZ375" s="6" t="s">
        <v>3306</v>
      </c>
      <c r="BA375" s="6" t="s">
        <v>3311</v>
      </c>
      <c r="BB375" s="6" t="s">
        <v>4693</v>
      </c>
      <c r="BC375" s="6" t="s">
        <v>3313</v>
      </c>
      <c r="BD375" s="6" t="s">
        <v>165</v>
      </c>
      <c r="BE375" s="6" t="s">
        <v>5631</v>
      </c>
      <c r="BF375" s="6" t="s">
        <v>3315</v>
      </c>
      <c r="BG375" s="6" t="s">
        <v>4068</v>
      </c>
      <c r="BH375" s="6" t="s">
        <v>3317</v>
      </c>
      <c r="BI375" s="6" t="s">
        <v>271</v>
      </c>
      <c r="BJ375" s="6" t="s">
        <v>3318</v>
      </c>
      <c r="BK375" s="6" t="s">
        <v>3319</v>
      </c>
    </row>
    <row r="376" ht="22.5" customHeight="1">
      <c r="A376" s="4">
        <v>46229.69894278936</v>
      </c>
      <c r="B376" s="5">
        <v>0.0</v>
      </c>
      <c r="C376" s="6" t="s">
        <v>114</v>
      </c>
      <c r="D376" s="6" t="s">
        <v>920</v>
      </c>
      <c r="E376" s="6" t="s">
        <v>921</v>
      </c>
      <c r="F376" s="6">
        <v>6.9070500217E10</v>
      </c>
      <c r="G376" s="6" t="s">
        <v>599</v>
      </c>
      <c r="H376" s="7"/>
      <c r="I376" s="6" t="s">
        <v>5632</v>
      </c>
      <c r="J376" s="6" t="s">
        <v>5633</v>
      </c>
      <c r="K376" s="6" t="s">
        <v>5634</v>
      </c>
      <c r="L376" s="6" t="s">
        <v>5635</v>
      </c>
      <c r="M376" s="6" t="s">
        <v>5636</v>
      </c>
      <c r="N376" s="7"/>
      <c r="O376" s="6" t="s">
        <v>5637</v>
      </c>
      <c r="P376" s="6" t="s">
        <v>5638</v>
      </c>
      <c r="Q376" s="6" t="s">
        <v>5639</v>
      </c>
      <c r="R376" s="6" t="s">
        <v>246</v>
      </c>
      <c r="S376" s="6" t="s">
        <v>147</v>
      </c>
      <c r="T376" s="6" t="s">
        <v>257</v>
      </c>
      <c r="U376" s="6" t="s">
        <v>252</v>
      </c>
      <c r="V376" s="6" t="s">
        <v>246</v>
      </c>
      <c r="W376" s="6" t="s">
        <v>158</v>
      </c>
      <c r="X376" s="6" t="s">
        <v>458</v>
      </c>
      <c r="Y376" s="6" t="s">
        <v>162</v>
      </c>
      <c r="Z376" s="6" t="s">
        <v>165</v>
      </c>
      <c r="AA376" s="6" t="s">
        <v>262</v>
      </c>
      <c r="AB376" s="6" t="s">
        <v>171</v>
      </c>
      <c r="AC376" s="6" t="s">
        <v>174</v>
      </c>
      <c r="AD376" s="6" t="s">
        <v>175</v>
      </c>
      <c r="AE376" s="6" t="s">
        <v>178</v>
      </c>
      <c r="AF376" s="6" t="s">
        <v>181</v>
      </c>
      <c r="AG376" s="6" t="s">
        <v>182</v>
      </c>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row>
    <row r="377" ht="22.5" customHeight="1">
      <c r="A377" s="4">
        <v>46229.698946944445</v>
      </c>
      <c r="B377" s="5">
        <v>0.0</v>
      </c>
      <c r="C377" s="6" t="s">
        <v>114</v>
      </c>
      <c r="D377" s="6" t="s">
        <v>923</v>
      </c>
      <c r="E377" s="6" t="s">
        <v>924</v>
      </c>
      <c r="F377" s="6">
        <v>6.9070506404E10</v>
      </c>
      <c r="G377" s="6" t="s">
        <v>599</v>
      </c>
      <c r="H377" s="6" t="s">
        <v>5640</v>
      </c>
      <c r="I377" s="6" t="s">
        <v>5641</v>
      </c>
      <c r="J377" s="6" t="s">
        <v>5642</v>
      </c>
      <c r="K377" s="6" t="s">
        <v>5643</v>
      </c>
      <c r="L377" s="6" t="s">
        <v>5644</v>
      </c>
      <c r="M377" s="6" t="s">
        <v>5645</v>
      </c>
      <c r="N377" s="6" t="s">
        <v>2633</v>
      </c>
      <c r="O377" s="6" t="s">
        <v>5646</v>
      </c>
      <c r="P377" s="6" t="s">
        <v>5647</v>
      </c>
      <c r="Q377" s="6" t="s">
        <v>5648</v>
      </c>
      <c r="R377" s="6" t="s">
        <v>257</v>
      </c>
      <c r="S377" s="6" t="s">
        <v>147</v>
      </c>
      <c r="T377" s="6" t="s">
        <v>257</v>
      </c>
      <c r="U377" s="6" t="s">
        <v>152</v>
      </c>
      <c r="V377" s="6" t="s">
        <v>155</v>
      </c>
      <c r="W377" s="6" t="s">
        <v>158</v>
      </c>
      <c r="X377" s="6" t="s">
        <v>257</v>
      </c>
      <c r="Y377" s="6" t="s">
        <v>162</v>
      </c>
      <c r="Z377" s="6" t="s">
        <v>165</v>
      </c>
      <c r="AA377" s="6" t="s">
        <v>2307</v>
      </c>
      <c r="AB377" s="6" t="s">
        <v>171</v>
      </c>
      <c r="AC377" s="6" t="s">
        <v>1669</v>
      </c>
      <c r="AD377" s="6" t="s">
        <v>635</v>
      </c>
      <c r="AE377" s="6" t="s">
        <v>3105</v>
      </c>
      <c r="AF377" s="6" t="s">
        <v>181</v>
      </c>
      <c r="AG377" s="6" t="s">
        <v>812</v>
      </c>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row>
    <row r="378" ht="22.5" customHeight="1">
      <c r="A378" s="4">
        <v>46229.698950509264</v>
      </c>
      <c r="B378" s="5">
        <v>0.0</v>
      </c>
      <c r="C378" s="6" t="s">
        <v>114</v>
      </c>
      <c r="D378" s="6" t="s">
        <v>284</v>
      </c>
      <c r="E378" s="6" t="s">
        <v>928</v>
      </c>
      <c r="F378" s="6">
        <v>6.9070502429E10</v>
      </c>
      <c r="G378" s="6" t="s">
        <v>122</v>
      </c>
      <c r="H378" s="7"/>
      <c r="I378" s="6" t="s">
        <v>5649</v>
      </c>
      <c r="J378" s="6" t="s">
        <v>4498</v>
      </c>
      <c r="K378" s="6" t="s">
        <v>5650</v>
      </c>
      <c r="L378" s="6" t="s">
        <v>5651</v>
      </c>
      <c r="M378" s="6" t="s">
        <v>5652</v>
      </c>
      <c r="N378" s="7"/>
      <c r="O378" s="6" t="s">
        <v>5653</v>
      </c>
      <c r="P378" s="6" t="s">
        <v>5654</v>
      </c>
      <c r="Q378" s="6" t="s">
        <v>5654</v>
      </c>
      <c r="R378" s="6" t="s">
        <v>257</v>
      </c>
      <c r="S378" s="6" t="s">
        <v>147</v>
      </c>
      <c r="T378" s="6" t="s">
        <v>246</v>
      </c>
      <c r="U378" s="6" t="s">
        <v>252</v>
      </c>
      <c r="V378" s="6" t="s">
        <v>250</v>
      </c>
      <c r="W378" s="6" t="s">
        <v>158</v>
      </c>
      <c r="X378" s="6" t="s">
        <v>161</v>
      </c>
      <c r="Y378" s="6" t="s">
        <v>162</v>
      </c>
      <c r="Z378" s="6" t="s">
        <v>165</v>
      </c>
      <c r="AA378" s="6" t="s">
        <v>262</v>
      </c>
      <c r="AB378" s="6" t="s">
        <v>171</v>
      </c>
      <c r="AC378" s="6" t="s">
        <v>174</v>
      </c>
      <c r="AD378" s="6" t="s">
        <v>635</v>
      </c>
      <c r="AE378" s="6" t="s">
        <v>178</v>
      </c>
      <c r="AF378" s="6" t="s">
        <v>181</v>
      </c>
      <c r="AG378" s="6" t="s">
        <v>182</v>
      </c>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row>
    <row r="379" ht="22.5" customHeight="1">
      <c r="A379" s="4">
        <v>46229.698956747685</v>
      </c>
      <c r="B379" s="5">
        <v>0.0</v>
      </c>
      <c r="C379" s="6" t="s">
        <v>114</v>
      </c>
      <c r="D379" s="6" t="s">
        <v>894</v>
      </c>
      <c r="E379" s="6" t="s">
        <v>929</v>
      </c>
      <c r="F379" s="6">
        <v>6.9070502421E10</v>
      </c>
      <c r="G379" s="6" t="s">
        <v>122</v>
      </c>
      <c r="H379" s="7"/>
      <c r="I379" s="6" t="s">
        <v>5655</v>
      </c>
      <c r="J379" s="6" t="s">
        <v>5656</v>
      </c>
      <c r="K379" s="6" t="s">
        <v>5657</v>
      </c>
      <c r="L379" s="6" t="s">
        <v>5658</v>
      </c>
      <c r="M379" s="6" t="s">
        <v>5659</v>
      </c>
      <c r="N379" s="7"/>
      <c r="O379" s="6" t="s">
        <v>5660</v>
      </c>
      <c r="P379" s="6" t="s">
        <v>5661</v>
      </c>
      <c r="Q379" s="6" t="s">
        <v>5662</v>
      </c>
      <c r="R379" s="6" t="s">
        <v>246</v>
      </c>
      <c r="S379" s="6" t="s">
        <v>147</v>
      </c>
      <c r="T379" s="6" t="s">
        <v>250</v>
      </c>
      <c r="U379" s="6" t="s">
        <v>252</v>
      </c>
      <c r="V379" s="6" t="s">
        <v>246</v>
      </c>
      <c r="W379" s="6" t="s">
        <v>158</v>
      </c>
      <c r="X379" s="6" t="s">
        <v>257</v>
      </c>
      <c r="Y379" s="6" t="s">
        <v>162</v>
      </c>
      <c r="Z379" s="6" t="s">
        <v>165</v>
      </c>
      <c r="AA379" s="6" t="s">
        <v>262</v>
      </c>
      <c r="AB379" s="6" t="s">
        <v>171</v>
      </c>
      <c r="AC379" s="6" t="s">
        <v>174</v>
      </c>
      <c r="AD379" s="6" t="s">
        <v>175</v>
      </c>
      <c r="AE379" s="6" t="s">
        <v>271</v>
      </c>
      <c r="AF379" s="6" t="s">
        <v>181</v>
      </c>
      <c r="AG379" s="6" t="s">
        <v>182</v>
      </c>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row>
    <row r="380" ht="22.5" customHeight="1">
      <c r="A380" s="4">
        <v>46229.698977465276</v>
      </c>
      <c r="B380" s="5">
        <v>0.0</v>
      </c>
      <c r="C380" s="6" t="s">
        <v>114</v>
      </c>
      <c r="D380" s="6" t="s">
        <v>930</v>
      </c>
      <c r="E380" s="6" t="s">
        <v>931</v>
      </c>
      <c r="F380" s="6">
        <v>6.9070500429E10</v>
      </c>
      <c r="G380" s="6" t="s">
        <v>310</v>
      </c>
      <c r="H380" s="7"/>
      <c r="I380" s="6" t="s">
        <v>3483</v>
      </c>
      <c r="J380" s="6" t="s">
        <v>4160</v>
      </c>
      <c r="K380" s="6" t="s">
        <v>4393</v>
      </c>
      <c r="L380" s="6" t="s">
        <v>4391</v>
      </c>
      <c r="M380" s="6" t="s">
        <v>5663</v>
      </c>
      <c r="N380" s="7"/>
      <c r="O380" s="6" t="s">
        <v>5664</v>
      </c>
      <c r="P380" s="6" t="s">
        <v>5665</v>
      </c>
      <c r="Q380" s="6" t="s">
        <v>5666</v>
      </c>
      <c r="R380" s="6" t="s">
        <v>246</v>
      </c>
      <c r="S380" s="6" t="s">
        <v>147</v>
      </c>
      <c r="T380" s="6" t="s">
        <v>250</v>
      </c>
      <c r="U380" s="6" t="s">
        <v>560</v>
      </c>
      <c r="V380" s="6" t="s">
        <v>246</v>
      </c>
      <c r="W380" s="6" t="s">
        <v>158</v>
      </c>
      <c r="X380" s="6" t="s">
        <v>257</v>
      </c>
      <c r="Y380" s="6" t="s">
        <v>162</v>
      </c>
      <c r="Z380" s="6" t="s">
        <v>165</v>
      </c>
      <c r="AA380" s="6" t="s">
        <v>262</v>
      </c>
      <c r="AB380" s="6" t="s">
        <v>171</v>
      </c>
      <c r="AC380" s="6" t="s">
        <v>174</v>
      </c>
      <c r="AD380" s="6" t="s">
        <v>175</v>
      </c>
      <c r="AE380" s="6" t="s">
        <v>271</v>
      </c>
      <c r="AF380" s="6" t="s">
        <v>181</v>
      </c>
      <c r="AG380" s="6" t="s">
        <v>182</v>
      </c>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row>
    <row r="381" ht="22.5" customHeight="1">
      <c r="A381" s="4">
        <v>46229.69898256945</v>
      </c>
      <c r="B381" s="5">
        <v>0.0</v>
      </c>
      <c r="C381" s="6" t="s">
        <v>114</v>
      </c>
      <c r="D381" s="6" t="s">
        <v>933</v>
      </c>
      <c r="E381" s="6" t="s">
        <v>934</v>
      </c>
      <c r="F381" s="6">
        <v>6.9070500422E10</v>
      </c>
      <c r="G381" s="6" t="s">
        <v>310</v>
      </c>
      <c r="H381" s="7"/>
      <c r="I381" s="6" t="s">
        <v>5667</v>
      </c>
      <c r="J381" s="6" t="s">
        <v>5668</v>
      </c>
      <c r="K381" s="6" t="s">
        <v>5669</v>
      </c>
      <c r="L381" s="6" t="s">
        <v>5670</v>
      </c>
      <c r="M381" s="6" t="s">
        <v>5671</v>
      </c>
      <c r="N381" s="7"/>
      <c r="O381" s="6" t="s">
        <v>5672</v>
      </c>
      <c r="P381" s="6" t="s">
        <v>5673</v>
      </c>
      <c r="Q381" s="6" t="s">
        <v>5674</v>
      </c>
      <c r="R381" s="6" t="s">
        <v>246</v>
      </c>
      <c r="S381" s="6" t="s">
        <v>147</v>
      </c>
      <c r="T381" s="6" t="s">
        <v>250</v>
      </c>
      <c r="U381" s="6" t="s">
        <v>560</v>
      </c>
      <c r="V381" s="6" t="s">
        <v>246</v>
      </c>
      <c r="W381" s="6" t="s">
        <v>158</v>
      </c>
      <c r="X381" s="6" t="s">
        <v>257</v>
      </c>
      <c r="Y381" s="6" t="s">
        <v>162</v>
      </c>
      <c r="Z381" s="6" t="s">
        <v>165</v>
      </c>
      <c r="AA381" s="6" t="s">
        <v>262</v>
      </c>
      <c r="AB381" s="6" t="s">
        <v>521</v>
      </c>
      <c r="AC381" s="6" t="s">
        <v>1669</v>
      </c>
      <c r="AD381" s="6" t="s">
        <v>175</v>
      </c>
      <c r="AE381" s="6" t="s">
        <v>271</v>
      </c>
      <c r="AF381" s="6" t="s">
        <v>181</v>
      </c>
      <c r="AG381" s="6" t="s">
        <v>182</v>
      </c>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row>
    <row r="382" ht="22.5" customHeight="1">
      <c r="A382" s="4">
        <v>46229.69900679398</v>
      </c>
      <c r="B382" s="5">
        <v>0.0</v>
      </c>
      <c r="C382" s="6" t="s">
        <v>114</v>
      </c>
      <c r="D382" s="6" t="s">
        <v>935</v>
      </c>
      <c r="E382" s="6" t="s">
        <v>936</v>
      </c>
      <c r="F382" s="6">
        <v>6.9070508213E10</v>
      </c>
      <c r="G382" s="6" t="s">
        <v>730</v>
      </c>
      <c r="H382" s="6" t="s">
        <v>5675</v>
      </c>
      <c r="I382" s="6" t="s">
        <v>5676</v>
      </c>
      <c r="J382" s="6" t="s">
        <v>5677</v>
      </c>
      <c r="K382" s="6" t="s">
        <v>5678</v>
      </c>
      <c r="L382" s="6" t="s">
        <v>5679</v>
      </c>
      <c r="M382" s="6" t="s">
        <v>4023</v>
      </c>
      <c r="N382" s="6" t="s">
        <v>2633</v>
      </c>
      <c r="O382" s="6" t="s">
        <v>5680</v>
      </c>
      <c r="P382" s="6" t="s">
        <v>5681</v>
      </c>
      <c r="Q382" s="6" t="s">
        <v>5682</v>
      </c>
      <c r="R382" s="6" t="s">
        <v>246</v>
      </c>
      <c r="S382" s="6" t="s">
        <v>147</v>
      </c>
      <c r="T382" s="6" t="s">
        <v>250</v>
      </c>
      <c r="U382" s="6" t="s">
        <v>686</v>
      </c>
      <c r="V382" s="6" t="s">
        <v>246</v>
      </c>
      <c r="W382" s="6" t="s">
        <v>158</v>
      </c>
      <c r="X382" s="6" t="s">
        <v>257</v>
      </c>
      <c r="Y382" s="6" t="s">
        <v>162</v>
      </c>
      <c r="Z382" s="6" t="s">
        <v>165</v>
      </c>
      <c r="AA382" s="6" t="s">
        <v>641</v>
      </c>
      <c r="AB382" s="6" t="s">
        <v>171</v>
      </c>
      <c r="AC382" s="6" t="s">
        <v>174</v>
      </c>
      <c r="AD382" s="6" t="s">
        <v>635</v>
      </c>
      <c r="AE382" s="6" t="s">
        <v>271</v>
      </c>
      <c r="AF382" s="6" t="s">
        <v>181</v>
      </c>
      <c r="AG382" s="6" t="s">
        <v>182</v>
      </c>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row>
    <row r="383" ht="22.5" customHeight="1">
      <c r="A383" s="4">
        <v>46229.69901107639</v>
      </c>
      <c r="B383" s="5">
        <v>0.0</v>
      </c>
      <c r="C383" s="6" t="s">
        <v>114</v>
      </c>
      <c r="D383" s="6" t="s">
        <v>937</v>
      </c>
      <c r="E383" s="6" t="s">
        <v>938</v>
      </c>
      <c r="F383" s="6">
        <v>6.9070500491E10</v>
      </c>
      <c r="G383" s="6" t="s">
        <v>310</v>
      </c>
      <c r="H383" s="6" t="s">
        <v>5683</v>
      </c>
      <c r="I383" s="6" t="s">
        <v>5684</v>
      </c>
      <c r="J383" s="6" t="s">
        <v>5685</v>
      </c>
      <c r="K383" s="6" t="s">
        <v>5686</v>
      </c>
      <c r="L383" s="6" t="s">
        <v>5687</v>
      </c>
      <c r="M383" s="6" t="s">
        <v>5688</v>
      </c>
      <c r="N383" s="7"/>
      <c r="O383" s="6" t="s">
        <v>5689</v>
      </c>
      <c r="P383" s="6" t="s">
        <v>5690</v>
      </c>
      <c r="Q383" s="6" t="s">
        <v>5691</v>
      </c>
      <c r="R383" s="6" t="s">
        <v>246</v>
      </c>
      <c r="S383" s="6" t="s">
        <v>147</v>
      </c>
      <c r="T383" s="6" t="s">
        <v>246</v>
      </c>
      <c r="U383" s="6" t="s">
        <v>2254</v>
      </c>
      <c r="V383" s="6" t="s">
        <v>246</v>
      </c>
      <c r="W383" s="6" t="s">
        <v>158</v>
      </c>
      <c r="X383" s="6" t="s">
        <v>161</v>
      </c>
      <c r="Y383" s="6" t="s">
        <v>162</v>
      </c>
      <c r="Z383" s="6" t="s">
        <v>804</v>
      </c>
      <c r="AA383" s="6" t="s">
        <v>262</v>
      </c>
      <c r="AB383" s="6" t="s">
        <v>171</v>
      </c>
      <c r="AC383" s="6" t="s">
        <v>633</v>
      </c>
      <c r="AD383" s="6" t="s">
        <v>641</v>
      </c>
      <c r="AE383" s="6" t="s">
        <v>1211</v>
      </c>
      <c r="AF383" s="6" t="s">
        <v>181</v>
      </c>
      <c r="AG383" s="6" t="s">
        <v>182</v>
      </c>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row>
    <row r="384" ht="22.5" customHeight="1">
      <c r="A384" s="4">
        <v>46229.699026365735</v>
      </c>
      <c r="B384" s="5">
        <v>0.0</v>
      </c>
      <c r="C384" s="6" t="s">
        <v>114</v>
      </c>
      <c r="D384" s="6" t="s">
        <v>939</v>
      </c>
      <c r="E384" s="6" t="s">
        <v>940</v>
      </c>
      <c r="F384" s="6">
        <v>6.9070502519E10</v>
      </c>
      <c r="G384" s="6" t="s">
        <v>122</v>
      </c>
      <c r="H384" s="7"/>
      <c r="I384" s="6" t="s">
        <v>5692</v>
      </c>
      <c r="J384" s="6" t="s">
        <v>5693</v>
      </c>
      <c r="K384" s="6" t="s">
        <v>5694</v>
      </c>
      <c r="L384" s="6" t="s">
        <v>5695</v>
      </c>
      <c r="M384" s="6" t="s">
        <v>5696</v>
      </c>
      <c r="N384" s="7"/>
      <c r="O384" s="6" t="s">
        <v>5697</v>
      </c>
      <c r="P384" s="6" t="s">
        <v>5698</v>
      </c>
      <c r="Q384" s="6" t="s">
        <v>5699</v>
      </c>
      <c r="R384" s="6" t="s">
        <v>246</v>
      </c>
      <c r="S384" s="6" t="s">
        <v>147</v>
      </c>
      <c r="T384" s="6" t="s">
        <v>250</v>
      </c>
      <c r="U384" s="6" t="s">
        <v>2254</v>
      </c>
      <c r="V384" s="6" t="s">
        <v>155</v>
      </c>
      <c r="W384" s="6" t="s">
        <v>158</v>
      </c>
      <c r="X384" s="6" t="s">
        <v>257</v>
      </c>
      <c r="Y384" s="6" t="s">
        <v>162</v>
      </c>
      <c r="Z384" s="6" t="s">
        <v>165</v>
      </c>
      <c r="AA384" s="6" t="s">
        <v>2307</v>
      </c>
      <c r="AB384" s="6" t="s">
        <v>3847</v>
      </c>
      <c r="AC384" s="6" t="s">
        <v>2718</v>
      </c>
      <c r="AD384" s="6" t="s">
        <v>641</v>
      </c>
      <c r="AE384" s="6" t="s">
        <v>3105</v>
      </c>
      <c r="AF384" s="6" t="s">
        <v>181</v>
      </c>
      <c r="AG384" s="6" t="s">
        <v>182</v>
      </c>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row>
    <row r="385" ht="22.5" customHeight="1">
      <c r="A385" s="4">
        <v>46229.69903108796</v>
      </c>
      <c r="B385" s="5">
        <v>0.0</v>
      </c>
      <c r="C385" s="6" t="s">
        <v>114</v>
      </c>
      <c r="D385" s="6" t="s">
        <v>941</v>
      </c>
      <c r="E385" s="6" t="s">
        <v>942</v>
      </c>
      <c r="F385" s="6">
        <v>6.9070509602E10</v>
      </c>
      <c r="G385" s="6" t="s">
        <v>730</v>
      </c>
      <c r="H385" s="6" t="s">
        <v>5700</v>
      </c>
      <c r="I385" s="6" t="s">
        <v>5701</v>
      </c>
      <c r="J385" s="6" t="s">
        <v>4850</v>
      </c>
      <c r="K385" s="6" t="s">
        <v>5702</v>
      </c>
      <c r="L385" s="6" t="s">
        <v>5703</v>
      </c>
      <c r="M385" s="6" t="s">
        <v>5704</v>
      </c>
      <c r="N385" s="6" t="s">
        <v>2633</v>
      </c>
      <c r="O385" s="6" t="s">
        <v>5705</v>
      </c>
      <c r="P385" s="6" t="s">
        <v>5706</v>
      </c>
      <c r="Q385" s="6" t="s">
        <v>5707</v>
      </c>
      <c r="R385" s="6" t="s">
        <v>246</v>
      </c>
      <c r="S385" s="6" t="s">
        <v>147</v>
      </c>
      <c r="T385" s="6" t="s">
        <v>246</v>
      </c>
      <c r="U385" s="6" t="s">
        <v>252</v>
      </c>
      <c r="V385" s="6" t="s">
        <v>246</v>
      </c>
      <c r="W385" s="6" t="s">
        <v>158</v>
      </c>
      <c r="X385" s="6" t="s">
        <v>257</v>
      </c>
      <c r="Y385" s="6" t="s">
        <v>162</v>
      </c>
      <c r="Z385" s="6" t="s">
        <v>165</v>
      </c>
      <c r="AA385" s="6" t="s">
        <v>262</v>
      </c>
      <c r="AB385" s="6" t="s">
        <v>521</v>
      </c>
      <c r="AC385" s="6" t="s">
        <v>174</v>
      </c>
      <c r="AD385" s="6" t="s">
        <v>175</v>
      </c>
      <c r="AE385" s="6" t="s">
        <v>271</v>
      </c>
      <c r="AF385" s="6" t="s">
        <v>181</v>
      </c>
      <c r="AG385" s="6" t="s">
        <v>182</v>
      </c>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row>
    <row r="386" ht="22.5" customHeight="1">
      <c r="A386" s="4">
        <v>46229.699036875</v>
      </c>
      <c r="B386" s="5">
        <v>0.0</v>
      </c>
      <c r="C386" s="6" t="s">
        <v>114</v>
      </c>
      <c r="D386" s="6" t="s">
        <v>943</v>
      </c>
      <c r="E386" s="6" t="s">
        <v>944</v>
      </c>
      <c r="F386" s="6">
        <v>6.9070501808E10</v>
      </c>
      <c r="G386" s="6" t="s">
        <v>730</v>
      </c>
      <c r="H386" s="7"/>
      <c r="I386" s="6" t="s">
        <v>4832</v>
      </c>
      <c r="J386" s="6" t="s">
        <v>3042</v>
      </c>
      <c r="K386" s="6" t="s">
        <v>5708</v>
      </c>
      <c r="L386" s="6" t="s">
        <v>5709</v>
      </c>
      <c r="M386" s="6" t="s">
        <v>5710</v>
      </c>
      <c r="N386" s="6" t="s">
        <v>5711</v>
      </c>
      <c r="O386" s="6" t="s">
        <v>5712</v>
      </c>
      <c r="P386" s="6" t="s">
        <v>5713</v>
      </c>
      <c r="Q386" s="6" t="s">
        <v>5714</v>
      </c>
      <c r="R386" s="6" t="s">
        <v>246</v>
      </c>
      <c r="S386" s="6" t="s">
        <v>147</v>
      </c>
      <c r="T386" s="6" t="s">
        <v>250</v>
      </c>
      <c r="U386" s="6" t="s">
        <v>686</v>
      </c>
      <c r="V386" s="6" t="s">
        <v>246</v>
      </c>
      <c r="W386" s="6" t="s">
        <v>158</v>
      </c>
      <c r="X386" s="6" t="s">
        <v>257</v>
      </c>
      <c r="Y386" s="6" t="s">
        <v>162</v>
      </c>
      <c r="Z386" s="6" t="s">
        <v>165</v>
      </c>
      <c r="AA386" s="6" t="s">
        <v>262</v>
      </c>
      <c r="AB386" s="6" t="s">
        <v>171</v>
      </c>
      <c r="AC386" s="6" t="s">
        <v>633</v>
      </c>
      <c r="AD386" s="6" t="s">
        <v>175</v>
      </c>
      <c r="AE386" s="6" t="s">
        <v>271</v>
      </c>
      <c r="AF386" s="6" t="s">
        <v>181</v>
      </c>
      <c r="AG386" s="6" t="s">
        <v>182</v>
      </c>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row>
    <row r="387" ht="22.5" customHeight="1">
      <c r="A387" s="4">
        <v>46229.69905201389</v>
      </c>
      <c r="B387" s="5">
        <v>0.0</v>
      </c>
      <c r="C387" s="6" t="s">
        <v>114</v>
      </c>
      <c r="D387" s="6" t="s">
        <v>945</v>
      </c>
      <c r="E387" s="6" t="s">
        <v>467</v>
      </c>
      <c r="F387" s="6">
        <v>6.9070508208E10</v>
      </c>
      <c r="G387" s="6" t="s">
        <v>730</v>
      </c>
      <c r="H387" s="7"/>
      <c r="I387" s="6" t="s">
        <v>5715</v>
      </c>
      <c r="J387" s="6" t="s">
        <v>5716</v>
      </c>
      <c r="K387" s="6" t="s">
        <v>5717</v>
      </c>
      <c r="L387" s="6" t="s">
        <v>5718</v>
      </c>
      <c r="M387" s="6" t="s">
        <v>5719</v>
      </c>
      <c r="N387" s="7"/>
      <c r="O387" s="6" t="s">
        <v>5720</v>
      </c>
      <c r="P387" s="6" t="s">
        <v>5721</v>
      </c>
      <c r="Q387" s="6" t="s">
        <v>5722</v>
      </c>
      <c r="R387" s="6" t="s">
        <v>246</v>
      </c>
      <c r="S387" s="6" t="s">
        <v>147</v>
      </c>
      <c r="T387" s="6" t="s">
        <v>250</v>
      </c>
      <c r="U387" s="6" t="s">
        <v>686</v>
      </c>
      <c r="V387" s="6" t="s">
        <v>246</v>
      </c>
      <c r="W387" s="6" t="s">
        <v>158</v>
      </c>
      <c r="X387" s="6" t="s">
        <v>257</v>
      </c>
      <c r="Y387" s="6" t="s">
        <v>162</v>
      </c>
      <c r="Z387" s="6" t="s">
        <v>165</v>
      </c>
      <c r="AA387" s="6" t="s">
        <v>262</v>
      </c>
      <c r="AB387" s="6" t="s">
        <v>171</v>
      </c>
      <c r="AC387" s="6" t="s">
        <v>174</v>
      </c>
      <c r="AD387" s="6" t="s">
        <v>635</v>
      </c>
      <c r="AE387" s="6" t="s">
        <v>271</v>
      </c>
      <c r="AF387" s="6" t="s">
        <v>181</v>
      </c>
      <c r="AG387" s="6" t="s">
        <v>182</v>
      </c>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row>
    <row r="388" ht="22.5" customHeight="1">
      <c r="A388" s="4">
        <v>46229.699062858796</v>
      </c>
      <c r="B388" s="5">
        <v>0.0</v>
      </c>
      <c r="C388" s="6" t="s">
        <v>114</v>
      </c>
      <c r="D388" s="6" t="s">
        <v>296</v>
      </c>
      <c r="E388" s="6" t="s">
        <v>946</v>
      </c>
      <c r="F388" s="6">
        <v>6.9070500496E10</v>
      </c>
      <c r="G388" s="6" t="s">
        <v>310</v>
      </c>
      <c r="H388" s="7"/>
      <c r="I388" s="6" t="s">
        <v>5723</v>
      </c>
      <c r="J388" s="6" t="s">
        <v>3161</v>
      </c>
      <c r="K388" s="6" t="s">
        <v>5724</v>
      </c>
      <c r="L388" s="6" t="s">
        <v>5725</v>
      </c>
      <c r="M388" s="6" t="s">
        <v>5726</v>
      </c>
      <c r="N388" s="7"/>
      <c r="O388" s="6" t="s">
        <v>5727</v>
      </c>
      <c r="P388" s="6" t="s">
        <v>5728</v>
      </c>
      <c r="Q388" s="6" t="s">
        <v>5729</v>
      </c>
      <c r="R388" s="6" t="s">
        <v>246</v>
      </c>
      <c r="S388" s="6" t="s">
        <v>147</v>
      </c>
      <c r="T388" s="6" t="s">
        <v>250</v>
      </c>
      <c r="U388" s="6" t="s">
        <v>252</v>
      </c>
      <c r="V388" s="6" t="s">
        <v>155</v>
      </c>
      <c r="W388" s="6" t="s">
        <v>158</v>
      </c>
      <c r="X388" s="6" t="s">
        <v>257</v>
      </c>
      <c r="Y388" s="6" t="s">
        <v>162</v>
      </c>
      <c r="Z388" s="6" t="s">
        <v>165</v>
      </c>
      <c r="AA388" s="6" t="s">
        <v>262</v>
      </c>
      <c r="AB388" s="6" t="s">
        <v>521</v>
      </c>
      <c r="AC388" s="6" t="s">
        <v>174</v>
      </c>
      <c r="AD388" s="6" t="s">
        <v>175</v>
      </c>
      <c r="AE388" s="6" t="s">
        <v>271</v>
      </c>
      <c r="AF388" s="6" t="s">
        <v>181</v>
      </c>
      <c r="AG388" s="6" t="s">
        <v>641</v>
      </c>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row>
    <row r="389" ht="22.5" customHeight="1">
      <c r="A389" s="4">
        <v>46229.69906684028</v>
      </c>
      <c r="B389" s="5">
        <v>0.0</v>
      </c>
      <c r="C389" s="6" t="s">
        <v>3296</v>
      </c>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6" t="s">
        <v>2644</v>
      </c>
      <c r="AI389" s="6" t="s">
        <v>2645</v>
      </c>
      <c r="AJ389" s="6">
        <v>6.9070503456E10</v>
      </c>
      <c r="AK389" s="6" t="s">
        <v>3297</v>
      </c>
      <c r="AL389" s="7"/>
      <c r="AM389" s="6" t="s">
        <v>5730</v>
      </c>
      <c r="AN389" s="6" t="s">
        <v>5731</v>
      </c>
      <c r="AO389" s="6" t="s">
        <v>5732</v>
      </c>
      <c r="AP389" s="6" t="s">
        <v>5733</v>
      </c>
      <c r="AQ389" s="6" t="s">
        <v>5734</v>
      </c>
      <c r="AR389" s="6" t="s">
        <v>5735</v>
      </c>
      <c r="AS389" s="6" t="s">
        <v>5736</v>
      </c>
      <c r="AT389" s="6" t="s">
        <v>5737</v>
      </c>
      <c r="AU389" s="6" t="s">
        <v>5738</v>
      </c>
      <c r="AV389" s="6" t="s">
        <v>3312</v>
      </c>
      <c r="AW389" s="6" t="s">
        <v>3307</v>
      </c>
      <c r="AX389" s="6" t="s">
        <v>3887</v>
      </c>
      <c r="AY389" s="6" t="s">
        <v>152</v>
      </c>
      <c r="AZ389" s="6" t="s">
        <v>3306</v>
      </c>
      <c r="BA389" s="6" t="s">
        <v>3311</v>
      </c>
      <c r="BB389" s="6" t="s">
        <v>3312</v>
      </c>
      <c r="BC389" s="6" t="s">
        <v>3313</v>
      </c>
      <c r="BD389" s="6" t="s">
        <v>165</v>
      </c>
      <c r="BE389" s="6" t="s">
        <v>3888</v>
      </c>
      <c r="BF389" s="6" t="s">
        <v>3315</v>
      </c>
      <c r="BG389" s="6" t="s">
        <v>4068</v>
      </c>
      <c r="BH389" s="6" t="s">
        <v>5246</v>
      </c>
      <c r="BI389" s="6" t="s">
        <v>271</v>
      </c>
      <c r="BJ389" s="6" t="s">
        <v>3318</v>
      </c>
      <c r="BK389" s="6" t="s">
        <v>3319</v>
      </c>
    </row>
    <row r="390" ht="22.5" customHeight="1">
      <c r="A390" s="4">
        <v>46229.69907224537</v>
      </c>
      <c r="B390" s="5">
        <v>0.0</v>
      </c>
      <c r="C390" s="6" t="s">
        <v>114</v>
      </c>
      <c r="D390" s="6" t="s">
        <v>947</v>
      </c>
      <c r="E390" s="6" t="s">
        <v>948</v>
      </c>
      <c r="F390" s="6">
        <v>6.9070502449E10</v>
      </c>
      <c r="G390" s="6" t="s">
        <v>122</v>
      </c>
      <c r="H390" s="7"/>
      <c r="I390" s="6" t="s">
        <v>5739</v>
      </c>
      <c r="J390" s="6" t="s">
        <v>5740</v>
      </c>
      <c r="K390" s="6" t="s">
        <v>5484</v>
      </c>
      <c r="L390" s="6" t="s">
        <v>3493</v>
      </c>
      <c r="M390" s="6" t="s">
        <v>4466</v>
      </c>
      <c r="N390" s="7"/>
      <c r="O390" s="6" t="s">
        <v>5741</v>
      </c>
      <c r="P390" s="6" t="s">
        <v>5742</v>
      </c>
      <c r="Q390" s="6" t="s">
        <v>5743</v>
      </c>
      <c r="R390" s="6" t="s">
        <v>257</v>
      </c>
      <c r="S390" s="6" t="s">
        <v>147</v>
      </c>
      <c r="T390" s="6" t="s">
        <v>246</v>
      </c>
      <c r="U390" s="6" t="s">
        <v>252</v>
      </c>
      <c r="V390" s="6" t="s">
        <v>246</v>
      </c>
      <c r="W390" s="6" t="s">
        <v>158</v>
      </c>
      <c r="X390" s="6" t="s">
        <v>257</v>
      </c>
      <c r="Y390" s="6" t="s">
        <v>162</v>
      </c>
      <c r="Z390" s="6" t="s">
        <v>165</v>
      </c>
      <c r="AA390" s="6" t="s">
        <v>262</v>
      </c>
      <c r="AB390" s="6" t="s">
        <v>521</v>
      </c>
      <c r="AC390" s="6" t="s">
        <v>174</v>
      </c>
      <c r="AD390" s="6" t="s">
        <v>175</v>
      </c>
      <c r="AE390" s="6" t="s">
        <v>271</v>
      </c>
      <c r="AF390" s="6" t="s">
        <v>181</v>
      </c>
      <c r="AG390" s="6" t="s">
        <v>182</v>
      </c>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row>
    <row r="391" ht="22.5" customHeight="1">
      <c r="A391" s="4">
        <v>46229.69907306713</v>
      </c>
      <c r="B391" s="5">
        <v>0.0</v>
      </c>
      <c r="C391" s="6" t="s">
        <v>114</v>
      </c>
      <c r="D391" s="6" t="s">
        <v>949</v>
      </c>
      <c r="E391" s="6" t="s">
        <v>950</v>
      </c>
      <c r="F391" s="6">
        <v>6.9070500299E10</v>
      </c>
      <c r="G391" s="6" t="s">
        <v>599</v>
      </c>
      <c r="H391" s="7"/>
      <c r="I391" s="6" t="s">
        <v>5744</v>
      </c>
      <c r="J391" s="6" t="s">
        <v>2397</v>
      </c>
      <c r="K391" s="6" t="s">
        <v>5745</v>
      </c>
      <c r="L391" s="6" t="s">
        <v>5746</v>
      </c>
      <c r="M391" s="6" t="s">
        <v>3657</v>
      </c>
      <c r="N391" s="7"/>
      <c r="O391" s="6" t="s">
        <v>5747</v>
      </c>
      <c r="P391" s="6" t="s">
        <v>5748</v>
      </c>
      <c r="Q391" s="6" t="s">
        <v>5749</v>
      </c>
      <c r="R391" s="6" t="s">
        <v>246</v>
      </c>
      <c r="S391" s="6" t="s">
        <v>147</v>
      </c>
      <c r="T391" s="6" t="s">
        <v>250</v>
      </c>
      <c r="U391" s="6" t="s">
        <v>560</v>
      </c>
      <c r="V391" s="6" t="s">
        <v>246</v>
      </c>
      <c r="W391" s="6" t="s">
        <v>158</v>
      </c>
      <c r="X391" s="6" t="s">
        <v>257</v>
      </c>
      <c r="Y391" s="6" t="s">
        <v>162</v>
      </c>
      <c r="Z391" s="6" t="s">
        <v>165</v>
      </c>
      <c r="AA391" s="6" t="s">
        <v>262</v>
      </c>
      <c r="AB391" s="6" t="s">
        <v>171</v>
      </c>
      <c r="AC391" s="6" t="s">
        <v>174</v>
      </c>
      <c r="AD391" s="6" t="s">
        <v>175</v>
      </c>
      <c r="AE391" s="6" t="s">
        <v>271</v>
      </c>
      <c r="AF391" s="6" t="s">
        <v>181</v>
      </c>
      <c r="AG391" s="6" t="s">
        <v>182</v>
      </c>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row>
    <row r="392" ht="22.5" customHeight="1">
      <c r="A392" s="4">
        <v>46229.699077094905</v>
      </c>
      <c r="B392" s="5">
        <v>0.0</v>
      </c>
      <c r="C392" s="6" t="s">
        <v>3296</v>
      </c>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6" t="s">
        <v>2646</v>
      </c>
      <c r="AI392" s="6" t="s">
        <v>2647</v>
      </c>
      <c r="AJ392" s="6">
        <v>6.9070509008E10</v>
      </c>
      <c r="AK392" s="6" t="s">
        <v>5042</v>
      </c>
      <c r="AL392" s="6" t="s">
        <v>5750</v>
      </c>
      <c r="AM392" s="6" t="s">
        <v>5751</v>
      </c>
      <c r="AN392" s="6" t="s">
        <v>5752</v>
      </c>
      <c r="AO392" s="6" t="s">
        <v>5753</v>
      </c>
      <c r="AP392" s="6" t="s">
        <v>5754</v>
      </c>
      <c r="AQ392" s="6" t="s">
        <v>5755</v>
      </c>
      <c r="AR392" s="7"/>
      <c r="AS392" s="6" t="s">
        <v>5756</v>
      </c>
      <c r="AT392" s="6" t="s">
        <v>5757</v>
      </c>
      <c r="AU392" s="6" t="s">
        <v>5758</v>
      </c>
      <c r="AV392" s="6" t="s">
        <v>3312</v>
      </c>
      <c r="AW392" s="6" t="s">
        <v>3307</v>
      </c>
      <c r="AX392" s="6" t="s">
        <v>3887</v>
      </c>
      <c r="AY392" s="6" t="s">
        <v>5759</v>
      </c>
      <c r="AZ392" s="6" t="s">
        <v>3306</v>
      </c>
      <c r="BA392" s="6" t="s">
        <v>3311</v>
      </c>
      <c r="BB392" s="6" t="s">
        <v>4693</v>
      </c>
      <c r="BC392" s="6" t="s">
        <v>3313</v>
      </c>
      <c r="BD392" s="6" t="s">
        <v>152</v>
      </c>
      <c r="BE392" s="6" t="s">
        <v>3888</v>
      </c>
      <c r="BF392" s="6" t="s">
        <v>3315</v>
      </c>
      <c r="BG392" s="6" t="s">
        <v>5760</v>
      </c>
      <c r="BH392" s="6" t="s">
        <v>5761</v>
      </c>
      <c r="BI392" s="6" t="s">
        <v>271</v>
      </c>
      <c r="BJ392" s="6" t="s">
        <v>5247</v>
      </c>
      <c r="BK392" s="6" t="s">
        <v>3319</v>
      </c>
    </row>
    <row r="393" ht="22.5" customHeight="1">
      <c r="A393" s="4">
        <v>46229.69907940972</v>
      </c>
      <c r="B393" s="5">
        <v>0.0</v>
      </c>
      <c r="C393" s="6" t="s">
        <v>114</v>
      </c>
      <c r="D393" s="6" t="s">
        <v>951</v>
      </c>
      <c r="E393" s="6" t="s">
        <v>952</v>
      </c>
      <c r="F393" s="6">
        <v>6.9070500809E10</v>
      </c>
      <c r="G393" s="6" t="s">
        <v>496</v>
      </c>
      <c r="H393" s="7"/>
      <c r="I393" s="6" t="s">
        <v>5762</v>
      </c>
      <c r="J393" s="6" t="s">
        <v>5763</v>
      </c>
      <c r="K393" s="6" t="s">
        <v>5764</v>
      </c>
      <c r="L393" s="6" t="s">
        <v>5765</v>
      </c>
      <c r="M393" s="6" t="s">
        <v>5766</v>
      </c>
      <c r="N393" s="7"/>
      <c r="O393" s="6" t="s">
        <v>5767</v>
      </c>
      <c r="P393" s="6" t="s">
        <v>5768</v>
      </c>
      <c r="Q393" s="6" t="s">
        <v>5768</v>
      </c>
      <c r="R393" s="6" t="s">
        <v>246</v>
      </c>
      <c r="S393" s="6" t="s">
        <v>147</v>
      </c>
      <c r="T393" s="6" t="s">
        <v>250</v>
      </c>
      <c r="U393" s="6" t="s">
        <v>252</v>
      </c>
      <c r="V393" s="6" t="s">
        <v>246</v>
      </c>
      <c r="W393" s="6" t="s">
        <v>158</v>
      </c>
      <c r="X393" s="6" t="s">
        <v>257</v>
      </c>
      <c r="Y393" s="6" t="s">
        <v>162</v>
      </c>
      <c r="Z393" s="6" t="s">
        <v>165</v>
      </c>
      <c r="AA393" s="6" t="s">
        <v>262</v>
      </c>
      <c r="AB393" s="6" t="s">
        <v>521</v>
      </c>
      <c r="AC393" s="6" t="s">
        <v>174</v>
      </c>
      <c r="AD393" s="6" t="s">
        <v>175</v>
      </c>
      <c r="AE393" s="6" t="s">
        <v>271</v>
      </c>
      <c r="AF393" s="6" t="s">
        <v>181</v>
      </c>
      <c r="AG393" s="6" t="s">
        <v>182</v>
      </c>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row>
    <row r="394" ht="22.5" customHeight="1">
      <c r="A394" s="4">
        <v>46229.699087141205</v>
      </c>
      <c r="B394" s="5">
        <v>0.0</v>
      </c>
      <c r="C394" s="6" t="s">
        <v>3296</v>
      </c>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6" t="s">
        <v>2648</v>
      </c>
      <c r="AI394" s="6" t="s">
        <v>2649</v>
      </c>
      <c r="AJ394" s="6">
        <v>6.9070503438E10</v>
      </c>
      <c r="AK394" s="6" t="s">
        <v>3297</v>
      </c>
      <c r="AL394" s="7"/>
      <c r="AM394" s="6" t="s">
        <v>5769</v>
      </c>
      <c r="AN394" s="6" t="s">
        <v>5770</v>
      </c>
      <c r="AO394" s="6" t="s">
        <v>5771</v>
      </c>
      <c r="AP394" s="6" t="s">
        <v>5772</v>
      </c>
      <c r="AQ394" s="6" t="s">
        <v>5773</v>
      </c>
      <c r="AR394" s="7"/>
      <c r="AS394" s="6" t="s">
        <v>5774</v>
      </c>
      <c r="AT394" s="6" t="s">
        <v>5775</v>
      </c>
      <c r="AU394" s="6" t="s">
        <v>5776</v>
      </c>
      <c r="AV394" s="6" t="s">
        <v>3312</v>
      </c>
      <c r="AW394" s="6" t="s">
        <v>3307</v>
      </c>
      <c r="AX394" s="6" t="s">
        <v>3887</v>
      </c>
      <c r="AY394" s="6" t="s">
        <v>4067</v>
      </c>
      <c r="AZ394" s="6" t="s">
        <v>3306</v>
      </c>
      <c r="BA394" s="6" t="s">
        <v>3311</v>
      </c>
      <c r="BB394" s="6" t="s">
        <v>3312</v>
      </c>
      <c r="BC394" s="6" t="s">
        <v>3313</v>
      </c>
      <c r="BD394" s="6" t="s">
        <v>165</v>
      </c>
      <c r="BE394" s="6" t="s">
        <v>3888</v>
      </c>
      <c r="BF394" s="6" t="s">
        <v>3315</v>
      </c>
      <c r="BG394" s="6" t="s">
        <v>4068</v>
      </c>
      <c r="BH394" s="6" t="s">
        <v>3317</v>
      </c>
      <c r="BI394" s="6" t="s">
        <v>271</v>
      </c>
      <c r="BJ394" s="6" t="s">
        <v>3318</v>
      </c>
      <c r="BK394" s="6" t="s">
        <v>3319</v>
      </c>
    </row>
    <row r="395" ht="22.5" customHeight="1">
      <c r="A395" s="4">
        <v>46229.69909571759</v>
      </c>
      <c r="B395" s="5">
        <v>0.0</v>
      </c>
      <c r="C395" s="6" t="s">
        <v>114</v>
      </c>
      <c r="D395" s="6" t="s">
        <v>953</v>
      </c>
      <c r="E395" s="6" t="s">
        <v>954</v>
      </c>
      <c r="F395" s="6">
        <v>6.9070500287E10</v>
      </c>
      <c r="G395" s="6" t="s">
        <v>599</v>
      </c>
      <c r="H395" s="7"/>
      <c r="I395" s="6" t="s">
        <v>1536</v>
      </c>
      <c r="J395" s="6" t="s">
        <v>4318</v>
      </c>
      <c r="K395" s="6" t="s">
        <v>5745</v>
      </c>
      <c r="L395" s="6" t="s">
        <v>4316</v>
      </c>
      <c r="M395" s="6" t="s">
        <v>5777</v>
      </c>
      <c r="N395" s="7"/>
      <c r="O395" s="6" t="s">
        <v>5778</v>
      </c>
      <c r="P395" s="6" t="s">
        <v>5779</v>
      </c>
      <c r="Q395" s="6" t="s">
        <v>5780</v>
      </c>
      <c r="R395" s="6" t="s">
        <v>246</v>
      </c>
      <c r="S395" s="6" t="s">
        <v>147</v>
      </c>
      <c r="T395" s="6" t="s">
        <v>250</v>
      </c>
      <c r="U395" s="6" t="s">
        <v>252</v>
      </c>
      <c r="V395" s="6" t="s">
        <v>246</v>
      </c>
      <c r="W395" s="6" t="s">
        <v>158</v>
      </c>
      <c r="X395" s="6" t="s">
        <v>257</v>
      </c>
      <c r="Y395" s="6" t="s">
        <v>162</v>
      </c>
      <c r="Z395" s="6" t="s">
        <v>165</v>
      </c>
      <c r="AA395" s="6" t="s">
        <v>262</v>
      </c>
      <c r="AB395" s="6" t="s">
        <v>171</v>
      </c>
      <c r="AC395" s="6" t="s">
        <v>174</v>
      </c>
      <c r="AD395" s="6" t="s">
        <v>175</v>
      </c>
      <c r="AE395" s="6" t="s">
        <v>271</v>
      </c>
      <c r="AF395" s="6" t="s">
        <v>181</v>
      </c>
      <c r="AG395" s="6" t="s">
        <v>182</v>
      </c>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row>
    <row r="396" ht="22.5" customHeight="1">
      <c r="A396" s="4">
        <v>46229.699098321755</v>
      </c>
      <c r="B396" s="5">
        <v>0.0</v>
      </c>
      <c r="C396" s="6" t="s">
        <v>114</v>
      </c>
      <c r="D396" s="6" t="s">
        <v>955</v>
      </c>
      <c r="E396" s="6" t="s">
        <v>956</v>
      </c>
      <c r="F396" s="6">
        <v>6.9070500234E10</v>
      </c>
      <c r="G396" s="6" t="s">
        <v>599</v>
      </c>
      <c r="H396" s="7"/>
      <c r="I396" s="6" t="s">
        <v>2065</v>
      </c>
      <c r="J396" s="6" t="s">
        <v>5781</v>
      </c>
      <c r="K396" s="6" t="s">
        <v>3637</v>
      </c>
      <c r="L396" s="6" t="s">
        <v>5782</v>
      </c>
      <c r="M396" s="6" t="s">
        <v>5783</v>
      </c>
      <c r="N396" s="7"/>
      <c r="O396" s="6" t="s">
        <v>5784</v>
      </c>
      <c r="P396" s="6" t="s">
        <v>5785</v>
      </c>
      <c r="Q396" s="6" t="s">
        <v>5786</v>
      </c>
      <c r="R396" s="6" t="s">
        <v>246</v>
      </c>
      <c r="S396" s="6" t="s">
        <v>147</v>
      </c>
      <c r="T396" s="6" t="s">
        <v>250</v>
      </c>
      <c r="U396" s="6" t="s">
        <v>686</v>
      </c>
      <c r="V396" s="6" t="s">
        <v>246</v>
      </c>
      <c r="W396" s="6" t="s">
        <v>158</v>
      </c>
      <c r="X396" s="6" t="s">
        <v>257</v>
      </c>
      <c r="Y396" s="6" t="s">
        <v>162</v>
      </c>
      <c r="Z396" s="6" t="s">
        <v>165</v>
      </c>
      <c r="AA396" s="6" t="s">
        <v>262</v>
      </c>
      <c r="AB396" s="6" t="s">
        <v>171</v>
      </c>
      <c r="AC396" s="6" t="s">
        <v>174</v>
      </c>
      <c r="AD396" s="6" t="s">
        <v>175</v>
      </c>
      <c r="AE396" s="6" t="s">
        <v>271</v>
      </c>
      <c r="AF396" s="6" t="s">
        <v>181</v>
      </c>
      <c r="AG396" s="6" t="s">
        <v>182</v>
      </c>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row>
    <row r="397" ht="22.5" customHeight="1">
      <c r="A397" s="4">
        <v>46229.69909920139</v>
      </c>
      <c r="B397" s="5">
        <v>0.0</v>
      </c>
      <c r="C397" s="6" t="s">
        <v>114</v>
      </c>
      <c r="D397" s="6" t="s">
        <v>957</v>
      </c>
      <c r="E397" s="6" t="s">
        <v>958</v>
      </c>
      <c r="F397" s="6">
        <v>6.9070500448E10</v>
      </c>
      <c r="G397" s="6" t="s">
        <v>310</v>
      </c>
      <c r="H397" s="7"/>
      <c r="I397" s="6" t="s">
        <v>5787</v>
      </c>
      <c r="J397" s="6" t="s">
        <v>5788</v>
      </c>
      <c r="K397" s="6" t="s">
        <v>5789</v>
      </c>
      <c r="L397" s="6" t="s">
        <v>5790</v>
      </c>
      <c r="M397" s="6" t="s">
        <v>5791</v>
      </c>
      <c r="N397" s="7"/>
      <c r="O397" s="6" t="s">
        <v>5792</v>
      </c>
      <c r="P397" s="6" t="s">
        <v>5793</v>
      </c>
      <c r="Q397" s="6" t="s">
        <v>5794</v>
      </c>
      <c r="R397" s="6" t="s">
        <v>246</v>
      </c>
      <c r="S397" s="6" t="s">
        <v>147</v>
      </c>
      <c r="T397" s="6" t="s">
        <v>250</v>
      </c>
      <c r="U397" s="6" t="s">
        <v>686</v>
      </c>
      <c r="V397" s="6" t="s">
        <v>246</v>
      </c>
      <c r="W397" s="6" t="s">
        <v>158</v>
      </c>
      <c r="X397" s="6" t="s">
        <v>257</v>
      </c>
      <c r="Y397" s="6" t="s">
        <v>162</v>
      </c>
      <c r="Z397" s="6" t="s">
        <v>165</v>
      </c>
      <c r="AA397" s="6" t="s">
        <v>262</v>
      </c>
      <c r="AB397" s="6" t="s">
        <v>521</v>
      </c>
      <c r="AC397" s="6" t="s">
        <v>1210</v>
      </c>
      <c r="AD397" s="6" t="s">
        <v>175</v>
      </c>
      <c r="AE397" s="6" t="s">
        <v>271</v>
      </c>
      <c r="AF397" s="6" t="s">
        <v>811</v>
      </c>
      <c r="AG397" s="6" t="s">
        <v>182</v>
      </c>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row>
    <row r="398" ht="22.5" customHeight="1">
      <c r="A398" s="4">
        <v>46229.69910385417</v>
      </c>
      <c r="B398" s="5">
        <v>0.0</v>
      </c>
      <c r="C398" s="6" t="s">
        <v>114</v>
      </c>
      <c r="D398" s="6" t="s">
        <v>959</v>
      </c>
      <c r="E398" s="6" t="s">
        <v>960</v>
      </c>
      <c r="F398" s="6">
        <v>6.9070508853E10</v>
      </c>
      <c r="G398" s="6" t="s">
        <v>5399</v>
      </c>
      <c r="H398" s="7"/>
      <c r="I398" s="6" t="s">
        <v>5418</v>
      </c>
      <c r="J398" s="6" t="s">
        <v>5415</v>
      </c>
      <c r="K398" s="6" t="s">
        <v>5795</v>
      </c>
      <c r="L398" s="6" t="s">
        <v>5796</v>
      </c>
      <c r="M398" s="6" t="s">
        <v>5797</v>
      </c>
      <c r="N398" s="7"/>
      <c r="O398" s="6" t="s">
        <v>5798</v>
      </c>
      <c r="P398" s="6" t="s">
        <v>5799</v>
      </c>
      <c r="Q398" s="6" t="s">
        <v>5800</v>
      </c>
      <c r="R398" s="6" t="s">
        <v>257</v>
      </c>
      <c r="S398" s="6" t="s">
        <v>147</v>
      </c>
      <c r="T398" s="6" t="s">
        <v>250</v>
      </c>
      <c r="U398" s="6" t="s">
        <v>152</v>
      </c>
      <c r="V398" s="6" t="s">
        <v>246</v>
      </c>
      <c r="W398" s="6" t="s">
        <v>158</v>
      </c>
      <c r="X398" s="6" t="s">
        <v>257</v>
      </c>
      <c r="Y398" s="6" t="s">
        <v>162</v>
      </c>
      <c r="Z398" s="6" t="s">
        <v>165</v>
      </c>
      <c r="AA398" s="6" t="s">
        <v>262</v>
      </c>
      <c r="AB398" s="6" t="s">
        <v>171</v>
      </c>
      <c r="AC398" s="6" t="s">
        <v>174</v>
      </c>
      <c r="AD398" s="6" t="s">
        <v>175</v>
      </c>
      <c r="AE398" s="6" t="s">
        <v>271</v>
      </c>
      <c r="AF398" s="6" t="s">
        <v>181</v>
      </c>
      <c r="AG398" s="6" t="s">
        <v>182</v>
      </c>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row>
    <row r="399" ht="22.5" customHeight="1">
      <c r="A399" s="4">
        <v>46229.699103946754</v>
      </c>
      <c r="B399" s="5">
        <v>0.0</v>
      </c>
      <c r="C399" s="6" t="s">
        <v>114</v>
      </c>
      <c r="D399" s="6" t="s">
        <v>961</v>
      </c>
      <c r="E399" s="6" t="s">
        <v>962</v>
      </c>
      <c r="F399" s="6">
        <v>6.9070501079E10</v>
      </c>
      <c r="G399" s="6" t="s">
        <v>1470</v>
      </c>
      <c r="H399" s="7"/>
      <c r="I399" s="6" t="s">
        <v>5801</v>
      </c>
      <c r="J399" s="6" t="s">
        <v>5802</v>
      </c>
      <c r="K399" s="6" t="s">
        <v>5803</v>
      </c>
      <c r="L399" s="6" t="s">
        <v>5804</v>
      </c>
      <c r="M399" s="6" t="s">
        <v>5805</v>
      </c>
      <c r="N399" s="7"/>
      <c r="O399" s="6" t="s">
        <v>5806</v>
      </c>
      <c r="P399" s="6" t="s">
        <v>5807</v>
      </c>
      <c r="Q399" s="6" t="s">
        <v>5808</v>
      </c>
      <c r="R399" s="6" t="s">
        <v>257</v>
      </c>
      <c r="S399" s="6" t="s">
        <v>147</v>
      </c>
      <c r="T399" s="6" t="s">
        <v>257</v>
      </c>
      <c r="U399" s="6" t="s">
        <v>2254</v>
      </c>
      <c r="V399" s="6" t="s">
        <v>246</v>
      </c>
      <c r="W399" s="6" t="s">
        <v>158</v>
      </c>
      <c r="X399" s="6" t="s">
        <v>161</v>
      </c>
      <c r="Y399" s="6" t="s">
        <v>162</v>
      </c>
      <c r="Z399" s="6" t="s">
        <v>165</v>
      </c>
      <c r="AA399" s="6" t="s">
        <v>2307</v>
      </c>
      <c r="AB399" s="6" t="s">
        <v>171</v>
      </c>
      <c r="AC399" s="6" t="s">
        <v>174</v>
      </c>
      <c r="AD399" s="6" t="s">
        <v>175</v>
      </c>
      <c r="AE399" s="6" t="s">
        <v>271</v>
      </c>
      <c r="AF399" s="6" t="s">
        <v>181</v>
      </c>
      <c r="AG399" s="6" t="s">
        <v>182</v>
      </c>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row>
    <row r="400" ht="22.5" customHeight="1">
      <c r="A400" s="4">
        <v>46229.69911645833</v>
      </c>
      <c r="B400" s="5">
        <v>0.0</v>
      </c>
      <c r="C400" s="6" t="s">
        <v>114</v>
      </c>
      <c r="D400" s="6" t="s">
        <v>963</v>
      </c>
      <c r="E400" s="6" t="s">
        <v>964</v>
      </c>
      <c r="F400" s="6">
        <v>6.9070500439E10</v>
      </c>
      <c r="G400" s="6" t="s">
        <v>310</v>
      </c>
      <c r="H400" s="7"/>
      <c r="I400" s="6" t="s">
        <v>5809</v>
      </c>
      <c r="J400" s="6" t="s">
        <v>5810</v>
      </c>
      <c r="K400" s="6" t="s">
        <v>5811</v>
      </c>
      <c r="L400" s="6" t="s">
        <v>5812</v>
      </c>
      <c r="M400" s="6" t="s">
        <v>5813</v>
      </c>
      <c r="N400" s="7"/>
      <c r="O400" s="6" t="s">
        <v>5814</v>
      </c>
      <c r="P400" s="6" t="s">
        <v>5815</v>
      </c>
      <c r="Q400" s="6" t="s">
        <v>5816</v>
      </c>
      <c r="R400" s="6" t="s">
        <v>246</v>
      </c>
      <c r="S400" s="6" t="s">
        <v>147</v>
      </c>
      <c r="T400" s="6" t="s">
        <v>250</v>
      </c>
      <c r="U400" s="6" t="s">
        <v>560</v>
      </c>
      <c r="V400" s="6" t="s">
        <v>155</v>
      </c>
      <c r="W400" s="6" t="s">
        <v>158</v>
      </c>
      <c r="X400" s="6" t="s">
        <v>257</v>
      </c>
      <c r="Y400" s="6" t="s">
        <v>162</v>
      </c>
      <c r="Z400" s="6" t="s">
        <v>165</v>
      </c>
      <c r="AA400" s="6" t="s">
        <v>262</v>
      </c>
      <c r="AB400" s="6" t="s">
        <v>3847</v>
      </c>
      <c r="AC400" s="6" t="s">
        <v>174</v>
      </c>
      <c r="AD400" s="6" t="s">
        <v>175</v>
      </c>
      <c r="AE400" s="6" t="s">
        <v>271</v>
      </c>
      <c r="AF400" s="6" t="s">
        <v>181</v>
      </c>
      <c r="AG400" s="6" t="s">
        <v>182</v>
      </c>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row>
    <row r="401" ht="22.5" customHeight="1">
      <c r="A401" s="4">
        <v>46229.69911961806</v>
      </c>
      <c r="B401" s="5">
        <v>0.0</v>
      </c>
      <c r="C401" s="6" t="s">
        <v>114</v>
      </c>
      <c r="D401" s="6" t="s">
        <v>296</v>
      </c>
      <c r="E401" s="6" t="s">
        <v>965</v>
      </c>
      <c r="F401" s="6">
        <v>6.9070500816E10</v>
      </c>
      <c r="G401" s="6" t="s">
        <v>496</v>
      </c>
      <c r="H401" s="7"/>
      <c r="I401" s="6" t="s">
        <v>5230</v>
      </c>
      <c r="J401" s="6" t="s">
        <v>5817</v>
      </c>
      <c r="K401" s="6" t="s">
        <v>3892</v>
      </c>
      <c r="L401" s="6" t="s">
        <v>4549</v>
      </c>
      <c r="M401" s="6" t="s">
        <v>5818</v>
      </c>
      <c r="N401" s="6" t="s">
        <v>4089</v>
      </c>
      <c r="O401" s="6" t="s">
        <v>5819</v>
      </c>
      <c r="P401" s="6" t="s">
        <v>5820</v>
      </c>
      <c r="Q401" s="6" t="s">
        <v>5821</v>
      </c>
      <c r="R401" s="6" t="s">
        <v>246</v>
      </c>
      <c r="S401" s="6" t="s">
        <v>147</v>
      </c>
      <c r="T401" s="6" t="s">
        <v>250</v>
      </c>
      <c r="U401" s="6" t="s">
        <v>252</v>
      </c>
      <c r="V401" s="6" t="s">
        <v>246</v>
      </c>
      <c r="W401" s="6" t="s">
        <v>158</v>
      </c>
      <c r="X401" s="6" t="s">
        <v>458</v>
      </c>
      <c r="Y401" s="6" t="s">
        <v>162</v>
      </c>
      <c r="Z401" s="6" t="s">
        <v>165</v>
      </c>
      <c r="AA401" s="6" t="s">
        <v>262</v>
      </c>
      <c r="AB401" s="6" t="s">
        <v>521</v>
      </c>
      <c r="AC401" s="6" t="s">
        <v>174</v>
      </c>
      <c r="AD401" s="6" t="s">
        <v>175</v>
      </c>
      <c r="AE401" s="6" t="s">
        <v>271</v>
      </c>
      <c r="AF401" s="6" t="s">
        <v>181</v>
      </c>
      <c r="AG401" s="6" t="s">
        <v>182</v>
      </c>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row>
    <row r="402" ht="22.5" customHeight="1">
      <c r="A402" s="4">
        <v>46229.69913150463</v>
      </c>
      <c r="B402" s="5">
        <v>0.0</v>
      </c>
      <c r="C402" s="6" t="s">
        <v>114</v>
      </c>
      <c r="D402" s="6" t="s">
        <v>966</v>
      </c>
      <c r="E402" s="6" t="s">
        <v>967</v>
      </c>
      <c r="F402" s="6">
        <v>6.9070501212E10</v>
      </c>
      <c r="G402" s="6" t="s">
        <v>228</v>
      </c>
      <c r="H402" s="6" t="s">
        <v>5822</v>
      </c>
      <c r="I402" s="6" t="s">
        <v>5823</v>
      </c>
      <c r="J402" s="6" t="s">
        <v>5824</v>
      </c>
      <c r="K402" s="6" t="s">
        <v>5825</v>
      </c>
      <c r="L402" s="6" t="s">
        <v>5826</v>
      </c>
      <c r="M402" s="6" t="s">
        <v>5827</v>
      </c>
      <c r="N402" s="6" t="s">
        <v>5828</v>
      </c>
      <c r="O402" s="6" t="s">
        <v>5829</v>
      </c>
      <c r="P402" s="6" t="s">
        <v>5830</v>
      </c>
      <c r="Q402" s="6" t="s">
        <v>5831</v>
      </c>
      <c r="R402" s="6" t="s">
        <v>246</v>
      </c>
      <c r="S402" s="6" t="s">
        <v>147</v>
      </c>
      <c r="T402" s="6" t="s">
        <v>250</v>
      </c>
      <c r="U402" s="6" t="s">
        <v>252</v>
      </c>
      <c r="V402" s="6" t="s">
        <v>246</v>
      </c>
      <c r="W402" s="6" t="s">
        <v>158</v>
      </c>
      <c r="X402" s="6" t="s">
        <v>458</v>
      </c>
      <c r="Y402" s="6" t="s">
        <v>162</v>
      </c>
      <c r="Z402" s="6" t="s">
        <v>165</v>
      </c>
      <c r="AA402" s="6" t="s">
        <v>168</v>
      </c>
      <c r="AB402" s="6" t="s">
        <v>171</v>
      </c>
      <c r="AC402" s="6" t="s">
        <v>174</v>
      </c>
      <c r="AD402" s="6" t="s">
        <v>1723</v>
      </c>
      <c r="AE402" s="6" t="s">
        <v>271</v>
      </c>
      <c r="AF402" s="6" t="s">
        <v>181</v>
      </c>
      <c r="AG402" s="6" t="s">
        <v>182</v>
      </c>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row>
    <row r="403" ht="22.5" customHeight="1">
      <c r="A403" s="4">
        <v>46229.69913807871</v>
      </c>
      <c r="B403" s="5">
        <v>0.0</v>
      </c>
      <c r="C403" s="6" t="s">
        <v>114</v>
      </c>
      <c r="D403" s="6" t="s">
        <v>968</v>
      </c>
      <c r="E403" s="6" t="s">
        <v>969</v>
      </c>
      <c r="F403" s="6">
        <v>6.9070501815E10</v>
      </c>
      <c r="G403" s="6" t="s">
        <v>730</v>
      </c>
      <c r="H403" s="7"/>
      <c r="I403" s="6" t="s">
        <v>3202</v>
      </c>
      <c r="J403" s="6" t="s">
        <v>5832</v>
      </c>
      <c r="K403" s="6" t="s">
        <v>5350</v>
      </c>
      <c r="L403" s="6" t="s">
        <v>3338</v>
      </c>
      <c r="M403" s="6" t="s">
        <v>5385</v>
      </c>
      <c r="N403" s="7"/>
      <c r="O403" s="6" t="s">
        <v>5833</v>
      </c>
      <c r="P403" s="6" t="s">
        <v>5834</v>
      </c>
      <c r="Q403" s="6" t="s">
        <v>5835</v>
      </c>
      <c r="R403" s="6" t="s">
        <v>246</v>
      </c>
      <c r="S403" s="6" t="s">
        <v>147</v>
      </c>
      <c r="T403" s="6" t="s">
        <v>250</v>
      </c>
      <c r="U403" s="6" t="s">
        <v>560</v>
      </c>
      <c r="V403" s="6" t="s">
        <v>246</v>
      </c>
      <c r="W403" s="6" t="s">
        <v>158</v>
      </c>
      <c r="X403" s="6" t="s">
        <v>257</v>
      </c>
      <c r="Y403" s="6" t="s">
        <v>162</v>
      </c>
      <c r="Z403" s="6" t="s">
        <v>165</v>
      </c>
      <c r="AA403" s="6" t="s">
        <v>262</v>
      </c>
      <c r="AB403" s="6" t="s">
        <v>171</v>
      </c>
      <c r="AC403" s="6" t="s">
        <v>174</v>
      </c>
      <c r="AD403" s="6" t="s">
        <v>175</v>
      </c>
      <c r="AE403" s="6" t="s">
        <v>271</v>
      </c>
      <c r="AF403" s="6" t="s">
        <v>181</v>
      </c>
      <c r="AG403" s="6" t="s">
        <v>182</v>
      </c>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row>
    <row r="404" ht="22.5" customHeight="1">
      <c r="A404" s="4">
        <v>46229.69914146991</v>
      </c>
      <c r="B404" s="5">
        <v>0.0</v>
      </c>
      <c r="C404" s="6" t="s">
        <v>114</v>
      </c>
      <c r="D404" s="6" t="s">
        <v>970</v>
      </c>
      <c r="E404" s="6" t="s">
        <v>972</v>
      </c>
      <c r="F404" s="6">
        <v>6.9070500823E10</v>
      </c>
      <c r="G404" s="6" t="s">
        <v>496</v>
      </c>
      <c r="H404" s="7"/>
      <c r="I404" s="6" t="s">
        <v>5836</v>
      </c>
      <c r="J404" s="6" t="s">
        <v>5837</v>
      </c>
      <c r="K404" s="6" t="s">
        <v>5818</v>
      </c>
      <c r="L404" s="6" t="s">
        <v>5140</v>
      </c>
      <c r="M404" s="6" t="s">
        <v>4089</v>
      </c>
      <c r="N404" s="7"/>
      <c r="O404" s="6" t="s">
        <v>5838</v>
      </c>
      <c r="P404" s="6" t="s">
        <v>5839</v>
      </c>
      <c r="Q404" s="6" t="s">
        <v>5840</v>
      </c>
      <c r="R404" s="6" t="s">
        <v>4653</v>
      </c>
      <c r="S404" s="6" t="s">
        <v>147</v>
      </c>
      <c r="T404" s="6" t="s">
        <v>250</v>
      </c>
      <c r="U404" s="6" t="s">
        <v>252</v>
      </c>
      <c r="V404" s="6" t="s">
        <v>246</v>
      </c>
      <c r="W404" s="6" t="s">
        <v>158</v>
      </c>
      <c r="X404" s="6" t="s">
        <v>458</v>
      </c>
      <c r="Y404" s="6" t="s">
        <v>162</v>
      </c>
      <c r="Z404" s="6" t="s">
        <v>165</v>
      </c>
      <c r="AA404" s="6" t="s">
        <v>262</v>
      </c>
      <c r="AB404" s="6" t="s">
        <v>521</v>
      </c>
      <c r="AC404" s="6" t="s">
        <v>174</v>
      </c>
      <c r="AD404" s="6" t="s">
        <v>175</v>
      </c>
      <c r="AE404" s="6" t="s">
        <v>271</v>
      </c>
      <c r="AF404" s="6" t="s">
        <v>181</v>
      </c>
      <c r="AG404" s="6" t="s">
        <v>182</v>
      </c>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row>
    <row r="405" ht="22.5" customHeight="1">
      <c r="A405" s="4">
        <v>46229.69914188657</v>
      </c>
      <c r="B405" s="5">
        <v>0.0</v>
      </c>
      <c r="C405" s="6" t="s">
        <v>114</v>
      </c>
      <c r="D405" s="6" t="s">
        <v>975</v>
      </c>
      <c r="E405" s="6" t="s">
        <v>976</v>
      </c>
      <c r="F405" s="6">
        <v>6.9070506417E10</v>
      </c>
      <c r="G405" s="6" t="s">
        <v>599</v>
      </c>
      <c r="H405" s="7"/>
      <c r="I405" s="6" t="s">
        <v>3593</v>
      </c>
      <c r="J405" s="6" t="s">
        <v>3595</v>
      </c>
      <c r="K405" s="6" t="s">
        <v>3594</v>
      </c>
      <c r="L405" s="6" t="s">
        <v>5841</v>
      </c>
      <c r="M405" s="6" t="s">
        <v>5842</v>
      </c>
      <c r="N405" s="7"/>
      <c r="O405" s="6" t="s">
        <v>5843</v>
      </c>
      <c r="P405" s="6" t="s">
        <v>5844</v>
      </c>
      <c r="Q405" s="6" t="s">
        <v>5845</v>
      </c>
      <c r="R405" s="6" t="s">
        <v>246</v>
      </c>
      <c r="S405" s="6" t="s">
        <v>147</v>
      </c>
      <c r="T405" s="6" t="s">
        <v>250</v>
      </c>
      <c r="U405" s="6" t="s">
        <v>252</v>
      </c>
      <c r="V405" s="6" t="s">
        <v>246</v>
      </c>
      <c r="W405" s="6" t="s">
        <v>158</v>
      </c>
      <c r="X405" s="6" t="s">
        <v>257</v>
      </c>
      <c r="Y405" s="6" t="s">
        <v>162</v>
      </c>
      <c r="Z405" s="6" t="s">
        <v>165</v>
      </c>
      <c r="AA405" s="6" t="s">
        <v>262</v>
      </c>
      <c r="AB405" s="6" t="s">
        <v>171</v>
      </c>
      <c r="AC405" s="6" t="s">
        <v>174</v>
      </c>
      <c r="AD405" s="6" t="s">
        <v>175</v>
      </c>
      <c r="AE405" s="6" t="s">
        <v>271</v>
      </c>
      <c r="AF405" s="6" t="s">
        <v>181</v>
      </c>
      <c r="AG405" s="6" t="s">
        <v>182</v>
      </c>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row>
    <row r="406" ht="22.5" customHeight="1">
      <c r="A406" s="4">
        <v>46229.6991524537</v>
      </c>
      <c r="B406" s="5">
        <v>0.0</v>
      </c>
      <c r="C406" s="6" t="s">
        <v>114</v>
      </c>
      <c r="D406" s="6" t="s">
        <v>978</v>
      </c>
      <c r="E406" s="6" t="s">
        <v>979</v>
      </c>
      <c r="F406" s="6">
        <v>6.907050241E10</v>
      </c>
      <c r="G406" s="6" t="s">
        <v>122</v>
      </c>
      <c r="H406" s="7"/>
      <c r="I406" s="6" t="s">
        <v>5846</v>
      </c>
      <c r="J406" s="6" t="s">
        <v>5847</v>
      </c>
      <c r="K406" s="6" t="s">
        <v>5590</v>
      </c>
      <c r="L406" s="6" t="s">
        <v>5848</v>
      </c>
      <c r="M406" s="6" t="s">
        <v>5849</v>
      </c>
      <c r="N406" s="7"/>
      <c r="O406" s="6" t="s">
        <v>5850</v>
      </c>
      <c r="P406" s="6" t="s">
        <v>5851</v>
      </c>
      <c r="Q406" s="6" t="s">
        <v>5852</v>
      </c>
      <c r="R406" s="6" t="s">
        <v>246</v>
      </c>
      <c r="S406" s="6" t="s">
        <v>147</v>
      </c>
      <c r="T406" s="6" t="s">
        <v>250</v>
      </c>
      <c r="U406" s="6" t="s">
        <v>2254</v>
      </c>
      <c r="V406" s="6" t="s">
        <v>246</v>
      </c>
      <c r="W406" s="6" t="s">
        <v>158</v>
      </c>
      <c r="X406" s="6" t="s">
        <v>257</v>
      </c>
      <c r="Y406" s="6" t="s">
        <v>162</v>
      </c>
      <c r="Z406" s="6" t="s">
        <v>165</v>
      </c>
      <c r="AA406" s="6" t="s">
        <v>262</v>
      </c>
      <c r="AB406" s="6" t="s">
        <v>521</v>
      </c>
      <c r="AC406" s="6" t="s">
        <v>174</v>
      </c>
      <c r="AD406" s="6" t="s">
        <v>175</v>
      </c>
      <c r="AE406" s="6" t="s">
        <v>271</v>
      </c>
      <c r="AF406" s="6" t="s">
        <v>181</v>
      </c>
      <c r="AG406" s="6" t="s">
        <v>182</v>
      </c>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row>
    <row r="407" ht="22.5" customHeight="1">
      <c r="A407" s="4">
        <v>46229.69915502315</v>
      </c>
      <c r="B407" s="5">
        <v>0.0</v>
      </c>
      <c r="C407" s="6" t="s">
        <v>114</v>
      </c>
      <c r="D407" s="6" t="s">
        <v>982</v>
      </c>
      <c r="E407" s="6" t="s">
        <v>983</v>
      </c>
      <c r="F407" s="6">
        <v>6.9070502508E10</v>
      </c>
      <c r="G407" s="6" t="s">
        <v>122</v>
      </c>
      <c r="H407" s="7"/>
      <c r="I407" s="6" t="s">
        <v>5853</v>
      </c>
      <c r="J407" s="6" t="s">
        <v>5854</v>
      </c>
      <c r="K407" s="6" t="s">
        <v>5855</v>
      </c>
      <c r="L407" s="6" t="s">
        <v>5856</v>
      </c>
      <c r="M407" s="6" t="s">
        <v>5857</v>
      </c>
      <c r="N407" s="6" t="s">
        <v>5858</v>
      </c>
      <c r="O407" s="6" t="s">
        <v>5859</v>
      </c>
      <c r="P407" s="6" t="s">
        <v>5860</v>
      </c>
      <c r="Q407" s="6" t="s">
        <v>5861</v>
      </c>
      <c r="R407" s="6" t="s">
        <v>246</v>
      </c>
      <c r="S407" s="6" t="s">
        <v>147</v>
      </c>
      <c r="T407" s="6" t="s">
        <v>246</v>
      </c>
      <c r="U407" s="6" t="s">
        <v>686</v>
      </c>
      <c r="V407" s="6" t="s">
        <v>246</v>
      </c>
      <c r="W407" s="6" t="s">
        <v>158</v>
      </c>
      <c r="X407" s="6" t="s">
        <v>257</v>
      </c>
      <c r="Y407" s="6" t="s">
        <v>162</v>
      </c>
      <c r="Z407" s="6" t="s">
        <v>165</v>
      </c>
      <c r="AA407" s="6" t="s">
        <v>262</v>
      </c>
      <c r="AB407" s="6" t="s">
        <v>171</v>
      </c>
      <c r="AC407" s="6" t="s">
        <v>174</v>
      </c>
      <c r="AD407" s="6" t="s">
        <v>175</v>
      </c>
      <c r="AE407" s="6" t="s">
        <v>271</v>
      </c>
      <c r="AF407" s="6" t="s">
        <v>181</v>
      </c>
      <c r="AG407" s="6" t="s">
        <v>182</v>
      </c>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row>
    <row r="408" ht="22.5" customHeight="1">
      <c r="A408" s="4">
        <v>46229.69915800926</v>
      </c>
      <c r="B408" s="5">
        <v>0.0</v>
      </c>
      <c r="C408" s="6" t="s">
        <v>114</v>
      </c>
      <c r="D408" s="6" t="s">
        <v>985</v>
      </c>
      <c r="E408" s="6" t="s">
        <v>986</v>
      </c>
      <c r="F408" s="6">
        <v>6.907050044E10</v>
      </c>
      <c r="G408" s="6" t="s">
        <v>310</v>
      </c>
      <c r="H408" s="7"/>
      <c r="I408" s="6" t="s">
        <v>3207</v>
      </c>
      <c r="J408" s="6" t="s">
        <v>5862</v>
      </c>
      <c r="K408" s="6" t="s">
        <v>5863</v>
      </c>
      <c r="L408" s="6" t="s">
        <v>5864</v>
      </c>
      <c r="M408" s="6" t="s">
        <v>5865</v>
      </c>
      <c r="N408" s="7"/>
      <c r="O408" s="6" t="s">
        <v>5866</v>
      </c>
      <c r="P408" s="6" t="s">
        <v>5867</v>
      </c>
      <c r="Q408" s="6" t="s">
        <v>5868</v>
      </c>
      <c r="R408" s="6" t="s">
        <v>246</v>
      </c>
      <c r="S408" s="6" t="s">
        <v>147</v>
      </c>
      <c r="T408" s="6" t="s">
        <v>250</v>
      </c>
      <c r="U408" s="6" t="s">
        <v>560</v>
      </c>
      <c r="V408" s="6" t="s">
        <v>2302</v>
      </c>
      <c r="W408" s="6" t="s">
        <v>158</v>
      </c>
      <c r="X408" s="6" t="s">
        <v>257</v>
      </c>
      <c r="Y408" s="6" t="s">
        <v>162</v>
      </c>
      <c r="Z408" s="6" t="s">
        <v>165</v>
      </c>
      <c r="AA408" s="6" t="s">
        <v>262</v>
      </c>
      <c r="AB408" s="6" t="s">
        <v>3847</v>
      </c>
      <c r="AC408" s="6" t="s">
        <v>174</v>
      </c>
      <c r="AD408" s="6" t="s">
        <v>175</v>
      </c>
      <c r="AE408" s="6" t="s">
        <v>271</v>
      </c>
      <c r="AF408" s="6" t="s">
        <v>181</v>
      </c>
      <c r="AG408" s="6" t="s">
        <v>182</v>
      </c>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row>
    <row r="409" ht="22.5" customHeight="1">
      <c r="A409" s="4">
        <v>46229.69916392361</v>
      </c>
      <c r="B409" s="5">
        <v>0.0</v>
      </c>
      <c r="C409" s="6" t="s">
        <v>3296</v>
      </c>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6" t="s">
        <v>2650</v>
      </c>
      <c r="AI409" s="6" t="s">
        <v>2651</v>
      </c>
      <c r="AJ409" s="6">
        <v>6.9070507811E10</v>
      </c>
      <c r="AK409" s="6" t="s">
        <v>5236</v>
      </c>
      <c r="AL409" s="6" t="s">
        <v>5869</v>
      </c>
      <c r="AM409" s="6" t="s">
        <v>5870</v>
      </c>
      <c r="AN409" s="6" t="s">
        <v>5871</v>
      </c>
      <c r="AO409" s="6" t="s">
        <v>5872</v>
      </c>
      <c r="AP409" s="6" t="s">
        <v>5873</v>
      </c>
      <c r="AQ409" s="6" t="s">
        <v>5874</v>
      </c>
      <c r="AR409" s="7"/>
      <c r="AS409" s="6" t="s">
        <v>5875</v>
      </c>
      <c r="AT409" s="6" t="s">
        <v>5876</v>
      </c>
      <c r="AU409" s="6" t="s">
        <v>5877</v>
      </c>
      <c r="AV409" s="6" t="s">
        <v>3306</v>
      </c>
      <c r="AW409" s="6" t="s">
        <v>3307</v>
      </c>
      <c r="AX409" s="6" t="s">
        <v>3887</v>
      </c>
      <c r="AY409" s="6" t="s">
        <v>3309</v>
      </c>
      <c r="AZ409" s="6" t="s">
        <v>3306</v>
      </c>
      <c r="BA409" s="6" t="s">
        <v>3311</v>
      </c>
      <c r="BB409" s="6" t="s">
        <v>3312</v>
      </c>
      <c r="BC409" s="6" t="s">
        <v>3313</v>
      </c>
      <c r="BD409" s="6" t="s">
        <v>165</v>
      </c>
      <c r="BE409" s="6" t="s">
        <v>3888</v>
      </c>
      <c r="BF409" s="6" t="s">
        <v>3889</v>
      </c>
      <c r="BG409" s="6" t="s">
        <v>4068</v>
      </c>
      <c r="BH409" s="6" t="s">
        <v>3317</v>
      </c>
      <c r="BI409" s="6" t="s">
        <v>271</v>
      </c>
      <c r="BJ409" s="6" t="s">
        <v>3318</v>
      </c>
      <c r="BK409" s="6" t="s">
        <v>3319</v>
      </c>
    </row>
    <row r="410" ht="22.5" customHeight="1">
      <c r="A410" s="4">
        <v>46229.69917314815</v>
      </c>
      <c r="B410" s="5">
        <v>0.0</v>
      </c>
      <c r="C410" s="6" t="s">
        <v>114</v>
      </c>
      <c r="D410" s="6" t="s">
        <v>987</v>
      </c>
      <c r="E410" s="6" t="s">
        <v>259</v>
      </c>
      <c r="F410" s="6">
        <v>6.9070500452E10</v>
      </c>
      <c r="G410" s="6" t="s">
        <v>310</v>
      </c>
      <c r="H410" s="7"/>
      <c r="I410" s="6" t="s">
        <v>5878</v>
      </c>
      <c r="J410" s="6" t="s">
        <v>5879</v>
      </c>
      <c r="K410" s="6" t="s">
        <v>5880</v>
      </c>
      <c r="L410" s="6" t="s">
        <v>5017</v>
      </c>
      <c r="M410" s="6" t="s">
        <v>5881</v>
      </c>
      <c r="N410" s="7"/>
      <c r="O410" s="6" t="s">
        <v>5882</v>
      </c>
      <c r="P410" s="6" t="s">
        <v>5883</v>
      </c>
      <c r="Q410" s="6" t="s">
        <v>5884</v>
      </c>
      <c r="R410" s="6" t="s">
        <v>246</v>
      </c>
      <c r="S410" s="6" t="s">
        <v>147</v>
      </c>
      <c r="T410" s="6" t="s">
        <v>250</v>
      </c>
      <c r="U410" s="6" t="s">
        <v>560</v>
      </c>
      <c r="V410" s="6" t="s">
        <v>246</v>
      </c>
      <c r="W410" s="6" t="s">
        <v>158</v>
      </c>
      <c r="X410" s="6" t="s">
        <v>257</v>
      </c>
      <c r="Y410" s="6" t="s">
        <v>162</v>
      </c>
      <c r="Z410" s="6" t="s">
        <v>165</v>
      </c>
      <c r="AA410" s="6" t="s">
        <v>262</v>
      </c>
      <c r="AB410" s="6" t="s">
        <v>521</v>
      </c>
      <c r="AC410" s="6" t="s">
        <v>174</v>
      </c>
      <c r="AD410" s="6" t="s">
        <v>175</v>
      </c>
      <c r="AE410" s="6" t="s">
        <v>524</v>
      </c>
      <c r="AF410" s="6" t="s">
        <v>181</v>
      </c>
      <c r="AG410" s="6" t="s">
        <v>182</v>
      </c>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row>
    <row r="411" ht="22.5" customHeight="1">
      <c r="A411" s="4">
        <v>46229.699173877314</v>
      </c>
      <c r="B411" s="5">
        <v>0.0</v>
      </c>
      <c r="C411" s="6" t="s">
        <v>114</v>
      </c>
      <c r="D411" s="6" t="s">
        <v>988</v>
      </c>
      <c r="E411" s="6" t="s">
        <v>989</v>
      </c>
      <c r="F411" s="6">
        <v>6.9070509613E10</v>
      </c>
      <c r="G411" s="6" t="s">
        <v>730</v>
      </c>
      <c r="H411" s="7"/>
      <c r="I411" s="6" t="s">
        <v>5885</v>
      </c>
      <c r="J411" s="6" t="s">
        <v>5886</v>
      </c>
      <c r="K411" s="6" t="s">
        <v>5887</v>
      </c>
      <c r="L411" s="6" t="s">
        <v>5888</v>
      </c>
      <c r="M411" s="6" t="s">
        <v>3450</v>
      </c>
      <c r="N411" s="6" t="s">
        <v>5889</v>
      </c>
      <c r="O411" s="6" t="s">
        <v>5890</v>
      </c>
      <c r="P411" s="6" t="s">
        <v>5891</v>
      </c>
      <c r="Q411" s="6" t="s">
        <v>5892</v>
      </c>
      <c r="R411" s="6" t="s">
        <v>246</v>
      </c>
      <c r="S411" s="6" t="s">
        <v>147</v>
      </c>
      <c r="T411" s="6" t="s">
        <v>250</v>
      </c>
      <c r="U411" s="6" t="s">
        <v>152</v>
      </c>
      <c r="V411" s="6" t="s">
        <v>246</v>
      </c>
      <c r="W411" s="6" t="s">
        <v>158</v>
      </c>
      <c r="X411" s="6" t="s">
        <v>458</v>
      </c>
      <c r="Y411" s="6" t="s">
        <v>162</v>
      </c>
      <c r="Z411" s="6" t="s">
        <v>165</v>
      </c>
      <c r="AA411" s="6" t="s">
        <v>2307</v>
      </c>
      <c r="AB411" s="6" t="s">
        <v>521</v>
      </c>
      <c r="AC411" s="6" t="s">
        <v>174</v>
      </c>
      <c r="AD411" s="6" t="s">
        <v>175</v>
      </c>
      <c r="AE411" s="6" t="s">
        <v>271</v>
      </c>
      <c r="AF411" s="6" t="s">
        <v>181</v>
      </c>
      <c r="AG411" s="6" t="s">
        <v>182</v>
      </c>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row>
    <row r="412" ht="22.5" customHeight="1">
      <c r="A412" s="4">
        <v>46229.69917571759</v>
      </c>
      <c r="B412" s="5">
        <v>0.0</v>
      </c>
      <c r="C412" s="6" t="s">
        <v>114</v>
      </c>
      <c r="D412" s="6" t="s">
        <v>990</v>
      </c>
      <c r="E412" s="6" t="s">
        <v>991</v>
      </c>
      <c r="F412" s="6">
        <v>6.9070501024E10</v>
      </c>
      <c r="G412" s="6" t="s">
        <v>1470</v>
      </c>
      <c r="H412" s="7"/>
      <c r="I412" s="6" t="s">
        <v>5893</v>
      </c>
      <c r="J412" s="6" t="s">
        <v>5894</v>
      </c>
      <c r="K412" s="6" t="s">
        <v>5895</v>
      </c>
      <c r="L412" s="6" t="s">
        <v>5896</v>
      </c>
      <c r="M412" s="6" t="s">
        <v>5897</v>
      </c>
      <c r="N412" s="7"/>
      <c r="O412" s="6" t="s">
        <v>5898</v>
      </c>
      <c r="P412" s="6" t="s">
        <v>5899</v>
      </c>
      <c r="Q412" s="6" t="s">
        <v>5900</v>
      </c>
      <c r="R412" s="6" t="s">
        <v>257</v>
      </c>
      <c r="S412" s="6" t="s">
        <v>147</v>
      </c>
      <c r="T412" s="6" t="s">
        <v>250</v>
      </c>
      <c r="U412" s="6" t="s">
        <v>560</v>
      </c>
      <c r="V412" s="6" t="s">
        <v>246</v>
      </c>
      <c r="W412" s="6" t="s">
        <v>158</v>
      </c>
      <c r="X412" s="6" t="s">
        <v>257</v>
      </c>
      <c r="Y412" s="6" t="s">
        <v>162</v>
      </c>
      <c r="Z412" s="6" t="s">
        <v>165</v>
      </c>
      <c r="AA412" s="6" t="s">
        <v>262</v>
      </c>
      <c r="AB412" s="6" t="s">
        <v>171</v>
      </c>
      <c r="AC412" s="6" t="s">
        <v>174</v>
      </c>
      <c r="AD412" s="6" t="s">
        <v>175</v>
      </c>
      <c r="AE412" s="6" t="s">
        <v>271</v>
      </c>
      <c r="AF412" s="6" t="s">
        <v>181</v>
      </c>
      <c r="AG412" s="6" t="s">
        <v>182</v>
      </c>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row>
    <row r="413" ht="22.5" customHeight="1">
      <c r="A413" s="4">
        <v>46229.69918577546</v>
      </c>
      <c r="B413" s="5">
        <v>0.0</v>
      </c>
      <c r="C413" s="6" t="s">
        <v>114</v>
      </c>
      <c r="D413" s="6" t="s">
        <v>992</v>
      </c>
      <c r="E413" s="6" t="s">
        <v>993</v>
      </c>
      <c r="F413" s="6">
        <v>6.9070508223E10</v>
      </c>
      <c r="G413" s="6" t="s">
        <v>730</v>
      </c>
      <c r="H413" s="6" t="s">
        <v>5901</v>
      </c>
      <c r="I413" s="6" t="s">
        <v>5902</v>
      </c>
      <c r="J413" s="6" t="s">
        <v>5903</v>
      </c>
      <c r="K413" s="6" t="s">
        <v>5904</v>
      </c>
      <c r="L413" s="6" t="s">
        <v>5905</v>
      </c>
      <c r="M413" s="6" t="s">
        <v>5906</v>
      </c>
      <c r="N413" s="6" t="s">
        <v>5907</v>
      </c>
      <c r="O413" s="6" t="s">
        <v>5908</v>
      </c>
      <c r="P413" s="6" t="s">
        <v>5909</v>
      </c>
      <c r="Q413" s="6" t="s">
        <v>5910</v>
      </c>
      <c r="R413" s="6" t="s">
        <v>257</v>
      </c>
      <c r="S413" s="6" t="s">
        <v>147</v>
      </c>
      <c r="T413" s="6" t="s">
        <v>516</v>
      </c>
      <c r="U413" s="6" t="s">
        <v>152</v>
      </c>
      <c r="V413" s="6" t="s">
        <v>246</v>
      </c>
      <c r="W413" s="6" t="s">
        <v>158</v>
      </c>
      <c r="X413" s="6" t="s">
        <v>161</v>
      </c>
      <c r="Y413" s="6" t="s">
        <v>162</v>
      </c>
      <c r="Z413" s="6" t="s">
        <v>165</v>
      </c>
      <c r="AA413" s="6" t="s">
        <v>262</v>
      </c>
      <c r="AB413" s="6" t="s">
        <v>521</v>
      </c>
      <c r="AC413" s="6" t="s">
        <v>174</v>
      </c>
      <c r="AD413" s="6" t="s">
        <v>175</v>
      </c>
      <c r="AE413" s="6" t="s">
        <v>271</v>
      </c>
      <c r="AF413" s="6" t="s">
        <v>181</v>
      </c>
      <c r="AG413" s="6" t="s">
        <v>182</v>
      </c>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row>
    <row r="414" ht="22.5" customHeight="1">
      <c r="A414" s="4">
        <v>46229.69919496527</v>
      </c>
      <c r="B414" s="5">
        <v>0.0</v>
      </c>
      <c r="C414" s="6" t="s">
        <v>114</v>
      </c>
      <c r="D414" s="6" t="s">
        <v>994</v>
      </c>
      <c r="E414" s="6" t="s">
        <v>995</v>
      </c>
      <c r="F414" s="6">
        <v>6.907050022E10</v>
      </c>
      <c r="G414" s="6" t="s">
        <v>599</v>
      </c>
      <c r="H414" s="7"/>
      <c r="I414" s="6" t="s">
        <v>5911</v>
      </c>
      <c r="J414" s="6" t="s">
        <v>5912</v>
      </c>
      <c r="K414" s="6" t="s">
        <v>5913</v>
      </c>
      <c r="L414" s="6" t="s">
        <v>5914</v>
      </c>
      <c r="M414" s="6" t="s">
        <v>5915</v>
      </c>
      <c r="N414" s="7"/>
      <c r="O414" s="6" t="s">
        <v>5916</v>
      </c>
      <c r="P414" s="6" t="s">
        <v>5917</v>
      </c>
      <c r="Q414" s="6" t="s">
        <v>5918</v>
      </c>
      <c r="R414" s="6" t="s">
        <v>246</v>
      </c>
      <c r="S414" s="6" t="s">
        <v>147</v>
      </c>
      <c r="T414" s="6" t="s">
        <v>257</v>
      </c>
      <c r="U414" s="6" t="s">
        <v>152</v>
      </c>
      <c r="V414" s="6" t="s">
        <v>246</v>
      </c>
      <c r="W414" s="6" t="s">
        <v>158</v>
      </c>
      <c r="X414" s="6" t="s">
        <v>257</v>
      </c>
      <c r="Y414" s="6" t="s">
        <v>162</v>
      </c>
      <c r="Z414" s="6" t="s">
        <v>165</v>
      </c>
      <c r="AA414" s="6" t="s">
        <v>262</v>
      </c>
      <c r="AB414" s="6" t="s">
        <v>171</v>
      </c>
      <c r="AC414" s="6" t="s">
        <v>174</v>
      </c>
      <c r="AD414" s="6" t="s">
        <v>175</v>
      </c>
      <c r="AE414" s="6" t="s">
        <v>271</v>
      </c>
      <c r="AF414" s="6" t="s">
        <v>181</v>
      </c>
      <c r="AG414" s="6" t="s">
        <v>182</v>
      </c>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row>
    <row r="415" ht="22.5" customHeight="1">
      <c r="A415" s="4">
        <v>46229.69920787037</v>
      </c>
      <c r="B415" s="5">
        <v>0.0</v>
      </c>
      <c r="C415" s="6" t="s">
        <v>114</v>
      </c>
      <c r="D415" s="6" t="s">
        <v>996</v>
      </c>
      <c r="E415" s="6" t="s">
        <v>997</v>
      </c>
      <c r="F415" s="6">
        <v>6.9070500324E10</v>
      </c>
      <c r="G415" s="6" t="s">
        <v>599</v>
      </c>
      <c r="H415" s="6" t="s">
        <v>5919</v>
      </c>
      <c r="I415" s="6" t="s">
        <v>5920</v>
      </c>
      <c r="J415" s="6" t="s">
        <v>5921</v>
      </c>
      <c r="K415" s="6" t="s">
        <v>5922</v>
      </c>
      <c r="L415" s="6" t="s">
        <v>5923</v>
      </c>
      <c r="M415" s="6" t="s">
        <v>5924</v>
      </c>
      <c r="N415" s="6" t="s">
        <v>2633</v>
      </c>
      <c r="O415" s="6" t="s">
        <v>5925</v>
      </c>
      <c r="P415" s="6" t="s">
        <v>5926</v>
      </c>
      <c r="Q415" s="6" t="s">
        <v>5927</v>
      </c>
      <c r="R415" s="6" t="s">
        <v>246</v>
      </c>
      <c r="S415" s="6" t="s">
        <v>147</v>
      </c>
      <c r="T415" s="6" t="s">
        <v>257</v>
      </c>
      <c r="U415" s="6" t="s">
        <v>252</v>
      </c>
      <c r="V415" s="6" t="s">
        <v>246</v>
      </c>
      <c r="W415" s="6" t="s">
        <v>158</v>
      </c>
      <c r="X415" s="6" t="s">
        <v>257</v>
      </c>
      <c r="Y415" s="6" t="s">
        <v>162</v>
      </c>
      <c r="Z415" s="6" t="s">
        <v>165</v>
      </c>
      <c r="AA415" s="6" t="s">
        <v>262</v>
      </c>
      <c r="AB415" s="6" t="s">
        <v>521</v>
      </c>
      <c r="AC415" s="6" t="s">
        <v>174</v>
      </c>
      <c r="AD415" s="6" t="s">
        <v>175</v>
      </c>
      <c r="AE415" s="6" t="s">
        <v>271</v>
      </c>
      <c r="AF415" s="6" t="s">
        <v>181</v>
      </c>
      <c r="AG415" s="6" t="s">
        <v>182</v>
      </c>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row>
    <row r="416" ht="22.5" customHeight="1">
      <c r="A416" s="4">
        <v>46229.69921665509</v>
      </c>
      <c r="B416" s="5">
        <v>0.0</v>
      </c>
      <c r="C416" s="6" t="s">
        <v>114</v>
      </c>
      <c r="D416" s="6" t="s">
        <v>998</v>
      </c>
      <c r="E416" s="6" t="s">
        <v>999</v>
      </c>
      <c r="F416" s="6">
        <v>6.9070502475E10</v>
      </c>
      <c r="G416" s="6" t="s">
        <v>122</v>
      </c>
      <c r="H416" s="7"/>
      <c r="I416" s="6" t="s">
        <v>5928</v>
      </c>
      <c r="J416" s="6" t="s">
        <v>5929</v>
      </c>
      <c r="K416" s="6" t="s">
        <v>5930</v>
      </c>
      <c r="L416" s="6" t="s">
        <v>5931</v>
      </c>
      <c r="M416" s="6" t="s">
        <v>5932</v>
      </c>
      <c r="N416" s="7"/>
      <c r="O416" s="6" t="s">
        <v>5933</v>
      </c>
      <c r="P416" s="6" t="s">
        <v>5934</v>
      </c>
      <c r="Q416" s="6" t="s">
        <v>5935</v>
      </c>
      <c r="R416" s="6" t="s">
        <v>246</v>
      </c>
      <c r="S416" s="6" t="s">
        <v>147</v>
      </c>
      <c r="T416" s="6" t="s">
        <v>250</v>
      </c>
      <c r="U416" s="6" t="s">
        <v>252</v>
      </c>
      <c r="V416" s="6" t="s">
        <v>246</v>
      </c>
      <c r="W416" s="6" t="s">
        <v>158</v>
      </c>
      <c r="X416" s="6" t="s">
        <v>257</v>
      </c>
      <c r="Y416" s="6" t="s">
        <v>162</v>
      </c>
      <c r="Z416" s="6" t="s">
        <v>165</v>
      </c>
      <c r="AA416" s="6" t="s">
        <v>262</v>
      </c>
      <c r="AB416" s="6" t="s">
        <v>171</v>
      </c>
      <c r="AC416" s="6" t="s">
        <v>174</v>
      </c>
      <c r="AD416" s="6" t="s">
        <v>175</v>
      </c>
      <c r="AE416" s="6" t="s">
        <v>271</v>
      </c>
      <c r="AF416" s="6" t="s">
        <v>181</v>
      </c>
      <c r="AG416" s="6" t="s">
        <v>182</v>
      </c>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row>
    <row r="417" ht="22.5" customHeight="1">
      <c r="A417" s="4">
        <v>46229.69921722222</v>
      </c>
      <c r="B417" s="5">
        <v>0.0</v>
      </c>
      <c r="C417" s="6" t="s">
        <v>114</v>
      </c>
      <c r="D417" s="6" t="s">
        <v>1000</v>
      </c>
      <c r="E417" s="6" t="s">
        <v>1001</v>
      </c>
      <c r="F417" s="6">
        <v>6.9070502416E10</v>
      </c>
      <c r="G417" s="6" t="s">
        <v>122</v>
      </c>
      <c r="H417" s="7"/>
      <c r="I417" s="6" t="s">
        <v>5936</v>
      </c>
      <c r="J417" s="6" t="s">
        <v>5392</v>
      </c>
      <c r="K417" s="6" t="s">
        <v>5937</v>
      </c>
      <c r="L417" s="6" t="s">
        <v>5938</v>
      </c>
      <c r="M417" s="6" t="s">
        <v>5939</v>
      </c>
      <c r="N417" s="7"/>
      <c r="O417" s="6" t="s">
        <v>5940</v>
      </c>
      <c r="P417" s="6" t="s">
        <v>5941</v>
      </c>
      <c r="Q417" s="6" t="s">
        <v>5942</v>
      </c>
      <c r="R417" s="6" t="s">
        <v>246</v>
      </c>
      <c r="S417" s="6" t="s">
        <v>147</v>
      </c>
      <c r="T417" s="6" t="s">
        <v>250</v>
      </c>
      <c r="U417" s="6" t="s">
        <v>152</v>
      </c>
      <c r="V417" s="6" t="s">
        <v>246</v>
      </c>
      <c r="W417" s="6" t="s">
        <v>158</v>
      </c>
      <c r="X417" s="6" t="s">
        <v>257</v>
      </c>
      <c r="Y417" s="6" t="s">
        <v>162</v>
      </c>
      <c r="Z417" s="6" t="s">
        <v>165</v>
      </c>
      <c r="AA417" s="6" t="s">
        <v>262</v>
      </c>
      <c r="AB417" s="6" t="s">
        <v>171</v>
      </c>
      <c r="AC417" s="6" t="s">
        <v>174</v>
      </c>
      <c r="AD417" s="6" t="s">
        <v>175</v>
      </c>
      <c r="AE417" s="6" t="s">
        <v>271</v>
      </c>
      <c r="AF417" s="6" t="s">
        <v>181</v>
      </c>
      <c r="AG417" s="6" t="s">
        <v>182</v>
      </c>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row>
    <row r="418" ht="22.5" customHeight="1">
      <c r="A418" s="4">
        <v>46229.69921839121</v>
      </c>
      <c r="B418" s="5">
        <v>0.0</v>
      </c>
      <c r="C418" s="6" t="s">
        <v>114</v>
      </c>
      <c r="D418" s="6" t="s">
        <v>1002</v>
      </c>
      <c r="E418" s="6" t="s">
        <v>1003</v>
      </c>
      <c r="F418" s="6">
        <v>6.9070500412E10</v>
      </c>
      <c r="G418" s="6" t="s">
        <v>310</v>
      </c>
      <c r="H418" s="6" t="s">
        <v>5943</v>
      </c>
      <c r="I418" s="6" t="s">
        <v>5944</v>
      </c>
      <c r="J418" s="6" t="s">
        <v>5945</v>
      </c>
      <c r="K418" s="6" t="s">
        <v>5946</v>
      </c>
      <c r="L418" s="6" t="s">
        <v>4591</v>
      </c>
      <c r="M418" s="6" t="s">
        <v>5947</v>
      </c>
      <c r="N418" s="7"/>
      <c r="O418" s="6" t="s">
        <v>5948</v>
      </c>
      <c r="P418" s="6" t="s">
        <v>5949</v>
      </c>
      <c r="Q418" s="6" t="s">
        <v>5950</v>
      </c>
      <c r="R418" s="6" t="s">
        <v>246</v>
      </c>
      <c r="S418" s="6" t="s">
        <v>147</v>
      </c>
      <c r="T418" s="6" t="s">
        <v>250</v>
      </c>
      <c r="U418" s="6" t="s">
        <v>252</v>
      </c>
      <c r="V418" s="6" t="s">
        <v>246</v>
      </c>
      <c r="W418" s="6" t="s">
        <v>158</v>
      </c>
      <c r="X418" s="6" t="s">
        <v>257</v>
      </c>
      <c r="Y418" s="6" t="s">
        <v>162</v>
      </c>
      <c r="Z418" s="6" t="s">
        <v>4804</v>
      </c>
      <c r="AA418" s="6" t="s">
        <v>262</v>
      </c>
      <c r="AB418" s="6" t="s">
        <v>521</v>
      </c>
      <c r="AC418" s="6" t="s">
        <v>174</v>
      </c>
      <c r="AD418" s="6" t="s">
        <v>175</v>
      </c>
      <c r="AE418" s="6" t="s">
        <v>271</v>
      </c>
      <c r="AF418" s="6" t="s">
        <v>181</v>
      </c>
      <c r="AG418" s="6" t="s">
        <v>182</v>
      </c>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row>
    <row r="419" ht="22.5" customHeight="1">
      <c r="A419" s="4">
        <v>46229.699219305556</v>
      </c>
      <c r="B419" s="5">
        <v>0.0</v>
      </c>
      <c r="C419" s="6" t="s">
        <v>114</v>
      </c>
      <c r="D419" s="6" t="s">
        <v>1004</v>
      </c>
      <c r="E419" s="6" t="s">
        <v>1005</v>
      </c>
      <c r="F419" s="6">
        <v>6.9070502833E10</v>
      </c>
      <c r="G419" s="6" t="s">
        <v>310</v>
      </c>
      <c r="H419" s="7"/>
      <c r="I419" s="6" t="s">
        <v>4873</v>
      </c>
      <c r="J419" s="6" t="s">
        <v>5951</v>
      </c>
      <c r="K419" s="6" t="s">
        <v>5952</v>
      </c>
      <c r="L419" s="6" t="s">
        <v>5953</v>
      </c>
      <c r="M419" s="6" t="s">
        <v>5954</v>
      </c>
      <c r="N419" s="7"/>
      <c r="O419" s="6" t="s">
        <v>5955</v>
      </c>
      <c r="P419" s="6" t="s">
        <v>5956</v>
      </c>
      <c r="Q419" s="6" t="s">
        <v>5957</v>
      </c>
      <c r="R419" s="6" t="s">
        <v>246</v>
      </c>
      <c r="S419" s="6" t="s">
        <v>147</v>
      </c>
      <c r="T419" s="6" t="s">
        <v>250</v>
      </c>
      <c r="U419" s="6" t="s">
        <v>252</v>
      </c>
      <c r="V419" s="6" t="s">
        <v>246</v>
      </c>
      <c r="W419" s="6" t="s">
        <v>158</v>
      </c>
      <c r="X419" s="6" t="s">
        <v>257</v>
      </c>
      <c r="Y419" s="6" t="s">
        <v>162</v>
      </c>
      <c r="Z419" s="6" t="s">
        <v>165</v>
      </c>
      <c r="AA419" s="6" t="s">
        <v>262</v>
      </c>
      <c r="AB419" s="6" t="s">
        <v>171</v>
      </c>
      <c r="AC419" s="6" t="s">
        <v>174</v>
      </c>
      <c r="AD419" s="6" t="s">
        <v>175</v>
      </c>
      <c r="AE419" s="6" t="s">
        <v>271</v>
      </c>
      <c r="AF419" s="6" t="s">
        <v>181</v>
      </c>
      <c r="AG419" s="6" t="s">
        <v>182</v>
      </c>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row>
    <row r="420" ht="22.5" customHeight="1">
      <c r="A420" s="4">
        <v>46229.69921993055</v>
      </c>
      <c r="B420" s="5">
        <v>0.0</v>
      </c>
      <c r="C420" s="6" t="s">
        <v>114</v>
      </c>
      <c r="D420" s="6" t="s">
        <v>1006</v>
      </c>
      <c r="E420" s="6" t="s">
        <v>1007</v>
      </c>
      <c r="F420" s="6">
        <v>6.9070502231E10</v>
      </c>
      <c r="G420" s="6" t="s">
        <v>496</v>
      </c>
      <c r="H420" s="7"/>
      <c r="I420" s="6" t="s">
        <v>5958</v>
      </c>
      <c r="J420" s="6" t="s">
        <v>5959</v>
      </c>
      <c r="K420" s="6" t="s">
        <v>5960</v>
      </c>
      <c r="L420" s="6" t="s">
        <v>5961</v>
      </c>
      <c r="M420" s="6" t="s">
        <v>5962</v>
      </c>
      <c r="N420" s="6" t="s">
        <v>5963</v>
      </c>
      <c r="O420" s="6" t="s">
        <v>5964</v>
      </c>
      <c r="P420" s="6" t="s">
        <v>5965</v>
      </c>
      <c r="Q420" s="6" t="s">
        <v>5966</v>
      </c>
      <c r="R420" s="6" t="s">
        <v>246</v>
      </c>
      <c r="S420" s="6" t="s">
        <v>147</v>
      </c>
      <c r="T420" s="6" t="s">
        <v>250</v>
      </c>
      <c r="U420" s="6" t="s">
        <v>560</v>
      </c>
      <c r="V420" s="6" t="s">
        <v>246</v>
      </c>
      <c r="W420" s="6" t="s">
        <v>158</v>
      </c>
      <c r="X420" s="6" t="s">
        <v>257</v>
      </c>
      <c r="Y420" s="6" t="s">
        <v>162</v>
      </c>
      <c r="Z420" s="6" t="s">
        <v>165</v>
      </c>
      <c r="AA420" s="6" t="s">
        <v>262</v>
      </c>
      <c r="AB420" s="6" t="s">
        <v>171</v>
      </c>
      <c r="AC420" s="6" t="s">
        <v>174</v>
      </c>
      <c r="AD420" s="6" t="s">
        <v>175</v>
      </c>
      <c r="AE420" s="6" t="s">
        <v>271</v>
      </c>
      <c r="AF420" s="6" t="s">
        <v>181</v>
      </c>
      <c r="AG420" s="6" t="s">
        <v>182</v>
      </c>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row>
    <row r="421" ht="22.5" customHeight="1">
      <c r="A421" s="4">
        <v>46229.699222361116</v>
      </c>
      <c r="B421" s="5">
        <v>0.0</v>
      </c>
      <c r="C421" s="6" t="s">
        <v>114</v>
      </c>
      <c r="D421" s="6" t="s">
        <v>1008</v>
      </c>
      <c r="E421" s="6" t="s">
        <v>1009</v>
      </c>
      <c r="F421" s="6">
        <v>6.9070505206E10</v>
      </c>
      <c r="G421" s="6" t="s">
        <v>1470</v>
      </c>
      <c r="H421" s="7"/>
      <c r="I421" s="6" t="s">
        <v>5967</v>
      </c>
      <c r="J421" s="6" t="s">
        <v>5968</v>
      </c>
      <c r="K421" s="6" t="s">
        <v>5969</v>
      </c>
      <c r="L421" s="6" t="s">
        <v>5970</v>
      </c>
      <c r="M421" s="6" t="s">
        <v>5971</v>
      </c>
      <c r="N421" s="7"/>
      <c r="O421" s="6" t="s">
        <v>5972</v>
      </c>
      <c r="P421" s="6" t="s">
        <v>5973</v>
      </c>
      <c r="Q421" s="6" t="s">
        <v>5974</v>
      </c>
      <c r="R421" s="6" t="s">
        <v>246</v>
      </c>
      <c r="S421" s="6" t="s">
        <v>147</v>
      </c>
      <c r="T421" s="6" t="s">
        <v>516</v>
      </c>
      <c r="U421" s="6" t="s">
        <v>252</v>
      </c>
      <c r="V421" s="6" t="s">
        <v>155</v>
      </c>
      <c r="W421" s="6" t="s">
        <v>158</v>
      </c>
      <c r="X421" s="6" t="s">
        <v>250</v>
      </c>
      <c r="Y421" s="6" t="s">
        <v>162</v>
      </c>
      <c r="Z421" s="6" t="s">
        <v>165</v>
      </c>
      <c r="AA421" s="6" t="s">
        <v>262</v>
      </c>
      <c r="AB421" s="6" t="s">
        <v>171</v>
      </c>
      <c r="AC421" s="6" t="s">
        <v>174</v>
      </c>
      <c r="AD421" s="6" t="s">
        <v>175</v>
      </c>
      <c r="AE421" s="6" t="s">
        <v>271</v>
      </c>
      <c r="AF421" s="6" t="s">
        <v>181</v>
      </c>
      <c r="AG421" s="6" t="s">
        <v>182</v>
      </c>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row>
    <row r="422" ht="22.5" customHeight="1">
      <c r="A422" s="4">
        <v>46229.699235023145</v>
      </c>
      <c r="B422" s="5">
        <v>0.0</v>
      </c>
      <c r="C422" s="6" t="s">
        <v>114</v>
      </c>
      <c r="D422" s="6" t="s">
        <v>1010</v>
      </c>
      <c r="E422" s="6" t="s">
        <v>1011</v>
      </c>
      <c r="F422" s="6">
        <v>6.9070502825E10</v>
      </c>
      <c r="G422" s="6" t="s">
        <v>310</v>
      </c>
      <c r="H422" s="7"/>
      <c r="I422" s="6" t="s">
        <v>5975</v>
      </c>
      <c r="J422" s="6" t="s">
        <v>5976</v>
      </c>
      <c r="K422" s="6" t="s">
        <v>4732</v>
      </c>
      <c r="L422" s="6" t="s">
        <v>446</v>
      </c>
      <c r="M422" s="6" t="s">
        <v>5977</v>
      </c>
      <c r="N422" s="7"/>
      <c r="O422" s="6" t="s">
        <v>5978</v>
      </c>
      <c r="P422" s="6" t="s">
        <v>5979</v>
      </c>
      <c r="Q422" s="6" t="s">
        <v>5980</v>
      </c>
      <c r="R422" s="6" t="s">
        <v>246</v>
      </c>
      <c r="S422" s="6" t="s">
        <v>147</v>
      </c>
      <c r="T422" s="6" t="s">
        <v>250</v>
      </c>
      <c r="U422" s="6" t="s">
        <v>686</v>
      </c>
      <c r="V422" s="6" t="s">
        <v>155</v>
      </c>
      <c r="W422" s="6" t="s">
        <v>158</v>
      </c>
      <c r="X422" s="6" t="s">
        <v>257</v>
      </c>
      <c r="Y422" s="6" t="s">
        <v>162</v>
      </c>
      <c r="Z422" s="6" t="s">
        <v>165</v>
      </c>
      <c r="AA422" s="6" t="s">
        <v>262</v>
      </c>
      <c r="AB422" s="6" t="s">
        <v>521</v>
      </c>
      <c r="AC422" s="6" t="s">
        <v>1210</v>
      </c>
      <c r="AD422" s="6" t="s">
        <v>175</v>
      </c>
      <c r="AE422" s="6" t="s">
        <v>524</v>
      </c>
      <c r="AF422" s="6" t="s">
        <v>181</v>
      </c>
      <c r="AG422" s="6" t="s">
        <v>182</v>
      </c>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row>
    <row r="423" ht="22.5" customHeight="1">
      <c r="A423" s="4">
        <v>46229.69923684028</v>
      </c>
      <c r="B423" s="5">
        <v>0.0</v>
      </c>
      <c r="C423" s="6" t="s">
        <v>114</v>
      </c>
      <c r="D423" s="6" t="s">
        <v>987</v>
      </c>
      <c r="E423" s="6" t="s">
        <v>1012</v>
      </c>
      <c r="F423" s="6">
        <v>6.9070508227E10</v>
      </c>
      <c r="G423" s="6" t="s">
        <v>730</v>
      </c>
      <c r="H423" s="7"/>
      <c r="I423" s="6" t="s">
        <v>3875</v>
      </c>
      <c r="J423" s="6" t="s">
        <v>3874</v>
      </c>
      <c r="K423" s="6" t="s">
        <v>5981</v>
      </c>
      <c r="L423" s="6" t="s">
        <v>5982</v>
      </c>
      <c r="M423" s="6" t="s">
        <v>5983</v>
      </c>
      <c r="N423" s="7"/>
      <c r="O423" s="6" t="s">
        <v>5984</v>
      </c>
      <c r="P423" s="6" t="s">
        <v>5985</v>
      </c>
      <c r="Q423" s="6" t="s">
        <v>5986</v>
      </c>
      <c r="R423" s="6" t="s">
        <v>257</v>
      </c>
      <c r="S423" s="6" t="s">
        <v>147</v>
      </c>
      <c r="T423" s="6" t="s">
        <v>246</v>
      </c>
      <c r="U423" s="6" t="s">
        <v>686</v>
      </c>
      <c r="V423" s="6" t="s">
        <v>246</v>
      </c>
      <c r="W423" s="6" t="s">
        <v>158</v>
      </c>
      <c r="X423" s="6" t="s">
        <v>257</v>
      </c>
      <c r="Y423" s="6" t="s">
        <v>162</v>
      </c>
      <c r="Z423" s="6" t="s">
        <v>165</v>
      </c>
      <c r="AA423" s="6" t="s">
        <v>262</v>
      </c>
      <c r="AB423" s="6" t="s">
        <v>171</v>
      </c>
      <c r="AC423" s="6" t="s">
        <v>174</v>
      </c>
      <c r="AD423" s="6" t="s">
        <v>175</v>
      </c>
      <c r="AE423" s="6" t="s">
        <v>178</v>
      </c>
      <c r="AF423" s="6" t="s">
        <v>181</v>
      </c>
      <c r="AG423" s="6" t="s">
        <v>182</v>
      </c>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row>
    <row r="424" ht="22.5" customHeight="1">
      <c r="A424" s="4">
        <v>46229.699243877316</v>
      </c>
      <c r="B424" s="5">
        <v>0.0</v>
      </c>
      <c r="C424" s="6" t="s">
        <v>114</v>
      </c>
      <c r="D424" s="6" t="s">
        <v>1013</v>
      </c>
      <c r="E424" s="6" t="s">
        <v>1014</v>
      </c>
      <c r="F424" s="6">
        <v>6.9070502403E10</v>
      </c>
      <c r="G424" s="6" t="s">
        <v>122</v>
      </c>
      <c r="H424" s="7"/>
      <c r="I424" s="6" t="s">
        <v>5987</v>
      </c>
      <c r="J424" s="6" t="s">
        <v>5988</v>
      </c>
      <c r="K424" s="6" t="s">
        <v>5989</v>
      </c>
      <c r="L424" s="6" t="s">
        <v>5990</v>
      </c>
      <c r="M424" s="6" t="s">
        <v>5991</v>
      </c>
      <c r="N424" s="7"/>
      <c r="O424" s="6" t="s">
        <v>5992</v>
      </c>
      <c r="P424" s="6" t="s">
        <v>5993</v>
      </c>
      <c r="Q424" s="6" t="s">
        <v>5994</v>
      </c>
      <c r="R424" s="6" t="s">
        <v>246</v>
      </c>
      <c r="S424" s="6" t="s">
        <v>147</v>
      </c>
      <c r="T424" s="6" t="s">
        <v>250</v>
      </c>
      <c r="U424" s="6" t="s">
        <v>686</v>
      </c>
      <c r="V424" s="6" t="s">
        <v>246</v>
      </c>
      <c r="W424" s="6" t="s">
        <v>158</v>
      </c>
      <c r="X424" s="6" t="s">
        <v>161</v>
      </c>
      <c r="Y424" s="6" t="s">
        <v>162</v>
      </c>
      <c r="Z424" s="6" t="s">
        <v>165</v>
      </c>
      <c r="AA424" s="6" t="s">
        <v>262</v>
      </c>
      <c r="AB424" s="6" t="s">
        <v>521</v>
      </c>
      <c r="AC424" s="6" t="s">
        <v>174</v>
      </c>
      <c r="AD424" s="6" t="s">
        <v>175</v>
      </c>
      <c r="AE424" s="6" t="s">
        <v>271</v>
      </c>
      <c r="AF424" s="6" t="s">
        <v>181</v>
      </c>
      <c r="AG424" s="6" t="s">
        <v>182</v>
      </c>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row>
    <row r="425" ht="22.5" customHeight="1">
      <c r="A425" s="4">
        <v>46229.6992449074</v>
      </c>
      <c r="B425" s="5">
        <v>0.0</v>
      </c>
      <c r="C425" s="6" t="s">
        <v>114</v>
      </c>
      <c r="D425" s="6" t="s">
        <v>1015</v>
      </c>
      <c r="E425" s="6" t="s">
        <v>1016</v>
      </c>
      <c r="F425" s="6">
        <v>6.9070501245E10</v>
      </c>
      <c r="G425" s="6" t="s">
        <v>228</v>
      </c>
      <c r="H425" s="7"/>
      <c r="I425" s="6" t="s">
        <v>5995</v>
      </c>
      <c r="J425" s="6" t="s">
        <v>5996</v>
      </c>
      <c r="K425" s="6" t="s">
        <v>5997</v>
      </c>
      <c r="L425" s="6" t="s">
        <v>4892</v>
      </c>
      <c r="M425" s="6" t="s">
        <v>5998</v>
      </c>
      <c r="N425" s="7"/>
      <c r="O425" s="6" t="s">
        <v>5999</v>
      </c>
      <c r="P425" s="6" t="s">
        <v>6000</v>
      </c>
      <c r="Q425" s="6" t="s">
        <v>6001</v>
      </c>
      <c r="R425" s="6" t="s">
        <v>246</v>
      </c>
      <c r="S425" s="6" t="s">
        <v>147</v>
      </c>
      <c r="T425" s="6" t="s">
        <v>250</v>
      </c>
      <c r="U425" s="6" t="s">
        <v>152</v>
      </c>
      <c r="V425" s="6" t="s">
        <v>246</v>
      </c>
      <c r="W425" s="6" t="s">
        <v>158</v>
      </c>
      <c r="X425" s="6" t="s">
        <v>246</v>
      </c>
      <c r="Y425" s="6" t="s">
        <v>162</v>
      </c>
      <c r="Z425" s="6" t="s">
        <v>165</v>
      </c>
      <c r="AA425" s="6" t="s">
        <v>262</v>
      </c>
      <c r="AB425" s="6" t="s">
        <v>171</v>
      </c>
      <c r="AC425" s="6" t="s">
        <v>174</v>
      </c>
      <c r="AD425" s="6" t="s">
        <v>175</v>
      </c>
      <c r="AE425" s="6" t="s">
        <v>271</v>
      </c>
      <c r="AF425" s="6" t="s">
        <v>181</v>
      </c>
      <c r="AG425" s="6" t="s">
        <v>182</v>
      </c>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row>
    <row r="426" ht="22.5" customHeight="1">
      <c r="A426" s="4">
        <v>46229.69925351852</v>
      </c>
      <c r="B426" s="5">
        <v>0.0</v>
      </c>
      <c r="C426" s="6" t="s">
        <v>114</v>
      </c>
      <c r="D426" s="6" t="s">
        <v>1017</v>
      </c>
      <c r="E426" s="6" t="s">
        <v>1018</v>
      </c>
      <c r="F426" s="6">
        <v>6.9070505203E10</v>
      </c>
      <c r="G426" s="6" t="s">
        <v>1470</v>
      </c>
      <c r="H426" s="7"/>
      <c r="I426" s="6" t="s">
        <v>2180</v>
      </c>
      <c r="J426" s="6" t="s">
        <v>3206</v>
      </c>
      <c r="K426" s="6" t="s">
        <v>6002</v>
      </c>
      <c r="L426" s="6" t="s">
        <v>6003</v>
      </c>
      <c r="M426" s="6" t="s">
        <v>6004</v>
      </c>
      <c r="N426" s="7"/>
      <c r="O426" s="6" t="s">
        <v>6005</v>
      </c>
      <c r="P426" s="6" t="s">
        <v>6006</v>
      </c>
      <c r="Q426" s="6" t="s">
        <v>6007</v>
      </c>
      <c r="R426" s="6" t="s">
        <v>246</v>
      </c>
      <c r="S426" s="6" t="s">
        <v>147</v>
      </c>
      <c r="T426" s="6" t="s">
        <v>250</v>
      </c>
      <c r="U426" s="6" t="s">
        <v>686</v>
      </c>
      <c r="V426" s="6" t="s">
        <v>246</v>
      </c>
      <c r="W426" s="6" t="s">
        <v>158</v>
      </c>
      <c r="X426" s="6" t="s">
        <v>257</v>
      </c>
      <c r="Y426" s="6" t="s">
        <v>162</v>
      </c>
      <c r="Z426" s="6" t="s">
        <v>165</v>
      </c>
      <c r="AA426" s="6" t="s">
        <v>262</v>
      </c>
      <c r="AB426" s="6" t="s">
        <v>171</v>
      </c>
      <c r="AC426" s="6" t="s">
        <v>174</v>
      </c>
      <c r="AD426" s="6" t="s">
        <v>175</v>
      </c>
      <c r="AE426" s="6" t="s">
        <v>271</v>
      </c>
      <c r="AF426" s="6" t="s">
        <v>181</v>
      </c>
      <c r="AG426" s="6" t="s">
        <v>182</v>
      </c>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row>
    <row r="427" ht="22.5" customHeight="1">
      <c r="A427" s="4">
        <v>46229.69925395833</v>
      </c>
      <c r="B427" s="5">
        <v>0.0</v>
      </c>
      <c r="C427" s="6" t="s">
        <v>114</v>
      </c>
      <c r="D427" s="6" t="s">
        <v>1019</v>
      </c>
      <c r="E427" s="6" t="s">
        <v>1020</v>
      </c>
      <c r="F427" s="6">
        <v>6.9070500243E10</v>
      </c>
      <c r="G427" s="6" t="s">
        <v>599</v>
      </c>
      <c r="H427" s="7"/>
      <c r="I427" s="6" t="s">
        <v>5455</v>
      </c>
      <c r="J427" s="6" t="s">
        <v>6008</v>
      </c>
      <c r="K427" s="6" t="s">
        <v>6009</v>
      </c>
      <c r="L427" s="6" t="s">
        <v>5457</v>
      </c>
      <c r="M427" s="6" t="s">
        <v>6010</v>
      </c>
      <c r="N427" s="6" t="s">
        <v>6011</v>
      </c>
      <c r="O427" s="6" t="s">
        <v>6012</v>
      </c>
      <c r="P427" s="6" t="s">
        <v>6013</v>
      </c>
      <c r="Q427" s="6" t="s">
        <v>6014</v>
      </c>
      <c r="R427" s="6" t="s">
        <v>246</v>
      </c>
      <c r="S427" s="6" t="s">
        <v>147</v>
      </c>
      <c r="T427" s="6" t="s">
        <v>250</v>
      </c>
      <c r="U427" s="6" t="s">
        <v>252</v>
      </c>
      <c r="V427" s="6" t="s">
        <v>246</v>
      </c>
      <c r="W427" s="6" t="s">
        <v>158</v>
      </c>
      <c r="X427" s="6" t="s">
        <v>257</v>
      </c>
      <c r="Y427" s="6" t="s">
        <v>162</v>
      </c>
      <c r="Z427" s="6" t="s">
        <v>165</v>
      </c>
      <c r="AA427" s="6" t="s">
        <v>262</v>
      </c>
      <c r="AB427" s="6" t="s">
        <v>521</v>
      </c>
      <c r="AC427" s="6" t="s">
        <v>174</v>
      </c>
      <c r="AD427" s="6" t="s">
        <v>175</v>
      </c>
      <c r="AE427" s="6" t="s">
        <v>271</v>
      </c>
      <c r="AF427" s="6" t="s">
        <v>181</v>
      </c>
      <c r="AG427" s="6" t="s">
        <v>182</v>
      </c>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row>
    <row r="428" ht="22.5" customHeight="1">
      <c r="A428" s="4">
        <v>46229.69925796296</v>
      </c>
      <c r="B428" s="5">
        <v>0.0</v>
      </c>
      <c r="C428" s="6" t="s">
        <v>114</v>
      </c>
      <c r="D428" s="6" t="s">
        <v>1021</v>
      </c>
      <c r="E428" s="6" t="s">
        <v>1022</v>
      </c>
      <c r="F428" s="6">
        <v>6.9070500447E10</v>
      </c>
      <c r="G428" s="6" t="s">
        <v>310</v>
      </c>
      <c r="H428" s="7"/>
      <c r="I428" s="6" t="s">
        <v>3483</v>
      </c>
      <c r="J428" s="6" t="s">
        <v>6015</v>
      </c>
      <c r="K428" s="6" t="s">
        <v>6016</v>
      </c>
      <c r="L428" s="6" t="s">
        <v>6017</v>
      </c>
      <c r="M428" s="6" t="s">
        <v>6018</v>
      </c>
      <c r="N428" s="7"/>
      <c r="O428" s="6" t="s">
        <v>6019</v>
      </c>
      <c r="P428" s="6" t="s">
        <v>4643</v>
      </c>
      <c r="Q428" s="6" t="s">
        <v>6020</v>
      </c>
      <c r="R428" s="6" t="s">
        <v>246</v>
      </c>
      <c r="S428" s="6" t="s">
        <v>147</v>
      </c>
      <c r="T428" s="6" t="s">
        <v>250</v>
      </c>
      <c r="U428" s="6" t="s">
        <v>560</v>
      </c>
      <c r="V428" s="6" t="s">
        <v>246</v>
      </c>
      <c r="W428" s="6" t="s">
        <v>158</v>
      </c>
      <c r="X428" s="6" t="s">
        <v>257</v>
      </c>
      <c r="Y428" s="6" t="s">
        <v>162</v>
      </c>
      <c r="Z428" s="6" t="s">
        <v>165</v>
      </c>
      <c r="AA428" s="6" t="s">
        <v>262</v>
      </c>
      <c r="AB428" s="6" t="s">
        <v>171</v>
      </c>
      <c r="AC428" s="6" t="s">
        <v>174</v>
      </c>
      <c r="AD428" s="6" t="s">
        <v>175</v>
      </c>
      <c r="AE428" s="6" t="s">
        <v>271</v>
      </c>
      <c r="AF428" s="6" t="s">
        <v>181</v>
      </c>
      <c r="AG428" s="6" t="s">
        <v>182</v>
      </c>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row>
    <row r="429" ht="22.5" customHeight="1">
      <c r="A429" s="4">
        <v>46229.699265567135</v>
      </c>
      <c r="B429" s="5">
        <v>0.0</v>
      </c>
      <c r="C429" s="6" t="s">
        <v>114</v>
      </c>
      <c r="D429" s="6" t="s">
        <v>1023</v>
      </c>
      <c r="E429" s="6" t="s">
        <v>1024</v>
      </c>
      <c r="F429" s="6">
        <v>6.907050181E10</v>
      </c>
      <c r="G429" s="6" t="s">
        <v>730</v>
      </c>
      <c r="H429" s="7"/>
      <c r="I429" s="6" t="s">
        <v>6021</v>
      </c>
      <c r="J429" s="6" t="s">
        <v>6022</v>
      </c>
      <c r="K429" s="6" t="s">
        <v>6023</v>
      </c>
      <c r="L429" s="6" t="s">
        <v>6024</v>
      </c>
      <c r="M429" s="6" t="s">
        <v>6025</v>
      </c>
      <c r="N429" s="7"/>
      <c r="O429" s="6" t="s">
        <v>6026</v>
      </c>
      <c r="P429" s="6" t="s">
        <v>6027</v>
      </c>
      <c r="Q429" s="6" t="s">
        <v>6028</v>
      </c>
      <c r="R429" s="6" t="s">
        <v>246</v>
      </c>
      <c r="S429" s="6" t="s">
        <v>147</v>
      </c>
      <c r="T429" s="6" t="s">
        <v>250</v>
      </c>
      <c r="U429" s="6" t="s">
        <v>686</v>
      </c>
      <c r="V429" s="6" t="s">
        <v>246</v>
      </c>
      <c r="W429" s="6" t="s">
        <v>158</v>
      </c>
      <c r="X429" s="6" t="s">
        <v>257</v>
      </c>
      <c r="Y429" s="6" t="s">
        <v>162</v>
      </c>
      <c r="Z429" s="6" t="s">
        <v>165</v>
      </c>
      <c r="AA429" s="6" t="s">
        <v>262</v>
      </c>
      <c r="AB429" s="6" t="s">
        <v>521</v>
      </c>
      <c r="AC429" s="6" t="s">
        <v>174</v>
      </c>
      <c r="AD429" s="6" t="s">
        <v>175</v>
      </c>
      <c r="AE429" s="6" t="s">
        <v>271</v>
      </c>
      <c r="AF429" s="6" t="s">
        <v>181</v>
      </c>
      <c r="AG429" s="6" t="s">
        <v>182</v>
      </c>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row>
    <row r="430" ht="22.5" customHeight="1">
      <c r="A430" s="4">
        <v>46229.69926934028</v>
      </c>
      <c r="B430" s="5">
        <v>0.0</v>
      </c>
      <c r="C430" s="6" t="s">
        <v>114</v>
      </c>
      <c r="D430" s="6" t="s">
        <v>1027</v>
      </c>
      <c r="E430" s="6" t="s">
        <v>1028</v>
      </c>
      <c r="F430" s="6">
        <v>6.9070500441E10</v>
      </c>
      <c r="G430" s="6" t="s">
        <v>310</v>
      </c>
      <c r="H430" s="7"/>
      <c r="I430" s="6" t="s">
        <v>4755</v>
      </c>
      <c r="J430" s="6" t="s">
        <v>1798</v>
      </c>
      <c r="K430" s="6" t="s">
        <v>6029</v>
      </c>
      <c r="L430" s="6" t="s">
        <v>4865</v>
      </c>
      <c r="M430" s="6" t="s">
        <v>6030</v>
      </c>
      <c r="N430" s="7"/>
      <c r="O430" s="6" t="s">
        <v>6031</v>
      </c>
      <c r="P430" s="6" t="s">
        <v>6032</v>
      </c>
      <c r="Q430" s="6" t="s">
        <v>6031</v>
      </c>
      <c r="R430" s="6" t="s">
        <v>246</v>
      </c>
      <c r="S430" s="6" t="s">
        <v>147</v>
      </c>
      <c r="T430" s="6" t="s">
        <v>250</v>
      </c>
      <c r="U430" s="6" t="s">
        <v>686</v>
      </c>
      <c r="V430" s="6" t="s">
        <v>246</v>
      </c>
      <c r="W430" s="6" t="s">
        <v>158</v>
      </c>
      <c r="X430" s="6" t="s">
        <v>257</v>
      </c>
      <c r="Y430" s="6" t="s">
        <v>162</v>
      </c>
      <c r="Z430" s="6" t="s">
        <v>165</v>
      </c>
      <c r="AA430" s="6" t="s">
        <v>262</v>
      </c>
      <c r="AB430" s="6" t="s">
        <v>521</v>
      </c>
      <c r="AC430" s="6" t="s">
        <v>174</v>
      </c>
      <c r="AD430" s="6" t="s">
        <v>175</v>
      </c>
      <c r="AE430" s="6" t="s">
        <v>524</v>
      </c>
      <c r="AF430" s="6" t="s">
        <v>181</v>
      </c>
      <c r="AG430" s="6" t="s">
        <v>182</v>
      </c>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row>
    <row r="431" ht="22.5" customHeight="1">
      <c r="A431" s="4">
        <v>46229.69928380787</v>
      </c>
      <c r="B431" s="5">
        <v>0.0</v>
      </c>
      <c r="C431" s="6" t="s">
        <v>114</v>
      </c>
      <c r="D431" s="6" t="s">
        <v>1031</v>
      </c>
      <c r="E431" s="6" t="s">
        <v>1032</v>
      </c>
      <c r="F431" s="6">
        <v>6.9070502477E10</v>
      </c>
      <c r="G431" s="6" t="s">
        <v>122</v>
      </c>
      <c r="H431" s="7"/>
      <c r="I431" s="6" t="s">
        <v>6033</v>
      </c>
      <c r="J431" s="6" t="s">
        <v>6034</v>
      </c>
      <c r="K431" s="6" t="s">
        <v>5988</v>
      </c>
      <c r="L431" s="6" t="s">
        <v>6035</v>
      </c>
      <c r="M431" s="6" t="s">
        <v>1186</v>
      </c>
      <c r="N431" s="6" t="s">
        <v>6036</v>
      </c>
      <c r="O431" s="6" t="s">
        <v>6037</v>
      </c>
      <c r="P431" s="6" t="s">
        <v>6038</v>
      </c>
      <c r="Q431" s="6" t="s">
        <v>6039</v>
      </c>
      <c r="R431" s="6" t="s">
        <v>246</v>
      </c>
      <c r="S431" s="6" t="s">
        <v>147</v>
      </c>
      <c r="T431" s="6" t="s">
        <v>250</v>
      </c>
      <c r="U431" s="6" t="s">
        <v>252</v>
      </c>
      <c r="V431" s="6" t="s">
        <v>246</v>
      </c>
      <c r="W431" s="6" t="s">
        <v>158</v>
      </c>
      <c r="X431" s="6" t="s">
        <v>257</v>
      </c>
      <c r="Y431" s="6" t="s">
        <v>162</v>
      </c>
      <c r="Z431" s="6" t="s">
        <v>165</v>
      </c>
      <c r="AA431" s="6" t="s">
        <v>262</v>
      </c>
      <c r="AB431" s="6" t="s">
        <v>1266</v>
      </c>
      <c r="AC431" s="6" t="s">
        <v>174</v>
      </c>
      <c r="AD431" s="6" t="s">
        <v>1723</v>
      </c>
      <c r="AE431" s="6" t="s">
        <v>524</v>
      </c>
      <c r="AF431" s="6" t="s">
        <v>181</v>
      </c>
      <c r="AG431" s="6" t="s">
        <v>182</v>
      </c>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row>
    <row r="432" ht="22.5" customHeight="1">
      <c r="A432" s="4">
        <v>46229.69929457176</v>
      </c>
      <c r="B432" s="5">
        <v>0.0</v>
      </c>
      <c r="C432" s="6" t="s">
        <v>114</v>
      </c>
      <c r="D432" s="6" t="s">
        <v>1000</v>
      </c>
      <c r="E432" s="6" t="s">
        <v>1035</v>
      </c>
      <c r="F432" s="6">
        <v>6.9070500215E10</v>
      </c>
      <c r="G432" s="6" t="s">
        <v>599</v>
      </c>
      <c r="H432" s="7"/>
      <c r="I432" s="6" t="s">
        <v>6040</v>
      </c>
      <c r="J432" s="6" t="s">
        <v>4003</v>
      </c>
      <c r="K432" s="6" t="s">
        <v>4004</v>
      </c>
      <c r="L432" s="6" t="s">
        <v>4608</v>
      </c>
      <c r="M432" s="6" t="s">
        <v>3564</v>
      </c>
      <c r="N432" s="7"/>
      <c r="O432" s="6" t="s">
        <v>6041</v>
      </c>
      <c r="P432" s="6" t="s">
        <v>6042</v>
      </c>
      <c r="Q432" s="6" t="s">
        <v>6043</v>
      </c>
      <c r="R432" s="6" t="s">
        <v>246</v>
      </c>
      <c r="S432" s="6" t="s">
        <v>147</v>
      </c>
      <c r="T432" s="6" t="s">
        <v>246</v>
      </c>
      <c r="U432" s="6" t="s">
        <v>686</v>
      </c>
      <c r="V432" s="6" t="s">
        <v>155</v>
      </c>
      <c r="W432" s="6" t="s">
        <v>158</v>
      </c>
      <c r="X432" s="6" t="s">
        <v>161</v>
      </c>
      <c r="Y432" s="6" t="s">
        <v>162</v>
      </c>
      <c r="Z432" s="6" t="s">
        <v>165</v>
      </c>
      <c r="AA432" s="6" t="s">
        <v>262</v>
      </c>
      <c r="AB432" s="6" t="s">
        <v>521</v>
      </c>
      <c r="AC432" s="6" t="s">
        <v>174</v>
      </c>
      <c r="AD432" s="6" t="s">
        <v>175</v>
      </c>
      <c r="AE432" s="6" t="s">
        <v>271</v>
      </c>
      <c r="AF432" s="6" t="s">
        <v>181</v>
      </c>
      <c r="AG432" s="6" t="s">
        <v>182</v>
      </c>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row>
    <row r="433" ht="22.5" customHeight="1">
      <c r="A433" s="4">
        <v>46229.69929655093</v>
      </c>
      <c r="B433" s="5">
        <v>0.0</v>
      </c>
      <c r="C433" s="6" t="s">
        <v>114</v>
      </c>
      <c r="D433" s="6" t="s">
        <v>1038</v>
      </c>
      <c r="E433" s="6" t="s">
        <v>1039</v>
      </c>
      <c r="F433" s="6">
        <v>6.9070505211E10</v>
      </c>
      <c r="G433" s="6" t="s">
        <v>1470</v>
      </c>
      <c r="H433" s="7"/>
      <c r="I433" s="6" t="s">
        <v>6044</v>
      </c>
      <c r="J433" s="6" t="s">
        <v>6045</v>
      </c>
      <c r="K433" s="6" t="s">
        <v>6046</v>
      </c>
      <c r="L433" s="6" t="s">
        <v>6047</v>
      </c>
      <c r="M433" s="6" t="s">
        <v>3207</v>
      </c>
      <c r="N433" s="7"/>
      <c r="O433" s="6" t="s">
        <v>6048</v>
      </c>
      <c r="P433" s="6" t="s">
        <v>6049</v>
      </c>
      <c r="Q433" s="6" t="s">
        <v>6050</v>
      </c>
      <c r="R433" s="6" t="s">
        <v>246</v>
      </c>
      <c r="S433" s="6" t="s">
        <v>147</v>
      </c>
      <c r="T433" s="6" t="s">
        <v>250</v>
      </c>
      <c r="U433" s="6" t="s">
        <v>686</v>
      </c>
      <c r="V433" s="6" t="s">
        <v>246</v>
      </c>
      <c r="W433" s="6" t="s">
        <v>158</v>
      </c>
      <c r="X433" s="6" t="s">
        <v>257</v>
      </c>
      <c r="Y433" s="6" t="s">
        <v>162</v>
      </c>
      <c r="Z433" s="6" t="s">
        <v>165</v>
      </c>
      <c r="AA433" s="6" t="s">
        <v>262</v>
      </c>
      <c r="AB433" s="6" t="s">
        <v>521</v>
      </c>
      <c r="AC433" s="6" t="s">
        <v>174</v>
      </c>
      <c r="AD433" s="6" t="s">
        <v>175</v>
      </c>
      <c r="AE433" s="6" t="s">
        <v>271</v>
      </c>
      <c r="AF433" s="6" t="s">
        <v>181</v>
      </c>
      <c r="AG433" s="6" t="s">
        <v>182</v>
      </c>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row>
    <row r="434" ht="22.5" customHeight="1">
      <c r="A434" s="4">
        <v>46229.69930231481</v>
      </c>
      <c r="B434" s="5">
        <v>0.0</v>
      </c>
      <c r="C434" s="6" t="s">
        <v>114</v>
      </c>
      <c r="D434" s="6" t="s">
        <v>655</v>
      </c>
      <c r="E434" s="6" t="s">
        <v>1040</v>
      </c>
      <c r="F434" s="6">
        <v>6.9070502511E10</v>
      </c>
      <c r="G434" s="6" t="s">
        <v>122</v>
      </c>
      <c r="H434" s="7"/>
      <c r="I434" s="6" t="s">
        <v>3100</v>
      </c>
      <c r="J434" s="6" t="s">
        <v>6051</v>
      </c>
      <c r="K434" s="6" t="s">
        <v>6052</v>
      </c>
      <c r="L434" s="6" t="s">
        <v>6033</v>
      </c>
      <c r="M434" s="6" t="s">
        <v>5988</v>
      </c>
      <c r="N434" s="6" t="s">
        <v>6053</v>
      </c>
      <c r="O434" s="6" t="s">
        <v>6054</v>
      </c>
      <c r="P434" s="6" t="s">
        <v>6055</v>
      </c>
      <c r="Q434" s="6" t="s">
        <v>6056</v>
      </c>
      <c r="R434" s="6" t="s">
        <v>257</v>
      </c>
      <c r="S434" s="6" t="s">
        <v>147</v>
      </c>
      <c r="T434" s="6" t="s">
        <v>250</v>
      </c>
      <c r="U434" s="6" t="s">
        <v>252</v>
      </c>
      <c r="V434" s="6" t="s">
        <v>246</v>
      </c>
      <c r="W434" s="6" t="s">
        <v>158</v>
      </c>
      <c r="X434" s="6" t="s">
        <v>257</v>
      </c>
      <c r="Y434" s="6" t="s">
        <v>162</v>
      </c>
      <c r="Z434" s="6" t="s">
        <v>165</v>
      </c>
      <c r="AA434" s="6" t="s">
        <v>262</v>
      </c>
      <c r="AB434" s="6" t="s">
        <v>171</v>
      </c>
      <c r="AC434" s="6" t="s">
        <v>174</v>
      </c>
      <c r="AD434" s="6" t="s">
        <v>1723</v>
      </c>
      <c r="AE434" s="6" t="s">
        <v>524</v>
      </c>
      <c r="AF434" s="6" t="s">
        <v>181</v>
      </c>
      <c r="AG434" s="6" t="s">
        <v>182</v>
      </c>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row>
    <row r="435" ht="22.5" customHeight="1">
      <c r="A435" s="4">
        <v>46229.69930612268</v>
      </c>
      <c r="B435" s="5">
        <v>0.0</v>
      </c>
      <c r="C435" s="6" t="s">
        <v>114</v>
      </c>
      <c r="D435" s="6" t="s">
        <v>1041</v>
      </c>
      <c r="E435" s="6" t="s">
        <v>1042</v>
      </c>
      <c r="F435" s="6">
        <v>6.9070500858E10</v>
      </c>
      <c r="G435" s="6" t="s">
        <v>496</v>
      </c>
      <c r="H435" s="7"/>
      <c r="I435" s="6" t="s">
        <v>6057</v>
      </c>
      <c r="J435" s="6" t="s">
        <v>6058</v>
      </c>
      <c r="K435" s="6" t="s">
        <v>6059</v>
      </c>
      <c r="L435" s="6" t="s">
        <v>6060</v>
      </c>
      <c r="M435" s="6" t="s">
        <v>6059</v>
      </c>
      <c r="N435" s="7"/>
      <c r="O435" s="6" t="s">
        <v>6061</v>
      </c>
      <c r="P435" s="6" t="s">
        <v>6062</v>
      </c>
      <c r="Q435" s="6" t="s">
        <v>6063</v>
      </c>
      <c r="R435" s="6" t="s">
        <v>246</v>
      </c>
      <c r="S435" s="6" t="s">
        <v>147</v>
      </c>
      <c r="T435" s="6" t="s">
        <v>250</v>
      </c>
      <c r="U435" s="6" t="s">
        <v>252</v>
      </c>
      <c r="V435" s="6" t="s">
        <v>155</v>
      </c>
      <c r="W435" s="6" t="s">
        <v>158</v>
      </c>
      <c r="X435" s="6" t="s">
        <v>257</v>
      </c>
      <c r="Y435" s="6" t="s">
        <v>162</v>
      </c>
      <c r="Z435" s="6" t="s">
        <v>165</v>
      </c>
      <c r="AA435" s="6" t="s">
        <v>262</v>
      </c>
      <c r="AB435" s="6" t="s">
        <v>171</v>
      </c>
      <c r="AC435" s="6" t="s">
        <v>174</v>
      </c>
      <c r="AD435" s="6" t="s">
        <v>175</v>
      </c>
      <c r="AE435" s="6" t="s">
        <v>271</v>
      </c>
      <c r="AF435" s="6" t="s">
        <v>181</v>
      </c>
      <c r="AG435" s="6" t="s">
        <v>182</v>
      </c>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row>
    <row r="436" ht="22.5" customHeight="1">
      <c r="A436" s="4">
        <v>46229.69930623843</v>
      </c>
      <c r="B436" s="5">
        <v>0.0</v>
      </c>
      <c r="C436" s="6" t="s">
        <v>3296</v>
      </c>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6" t="s">
        <v>2652</v>
      </c>
      <c r="AI436" s="6" t="s">
        <v>2653</v>
      </c>
      <c r="AJ436" s="6">
        <v>6.9070503403E10</v>
      </c>
      <c r="AK436" s="6" t="s">
        <v>3297</v>
      </c>
      <c r="AL436" s="6" t="s">
        <v>6064</v>
      </c>
      <c r="AM436" s="6" t="s">
        <v>6065</v>
      </c>
      <c r="AN436" s="6" t="s">
        <v>6066</v>
      </c>
      <c r="AO436" s="6" t="s">
        <v>6067</v>
      </c>
      <c r="AP436" s="6" t="s">
        <v>6067</v>
      </c>
      <c r="AQ436" s="6" t="s">
        <v>6067</v>
      </c>
      <c r="AR436" s="7"/>
      <c r="AS436" s="6" t="s">
        <v>6068</v>
      </c>
      <c r="AT436" s="6" t="s">
        <v>6069</v>
      </c>
      <c r="AU436" s="6" t="s">
        <v>6070</v>
      </c>
      <c r="AV436" s="6" t="s">
        <v>3312</v>
      </c>
      <c r="AW436" s="6" t="s">
        <v>3307</v>
      </c>
      <c r="AX436" s="6" t="s">
        <v>3887</v>
      </c>
      <c r="AY436" s="6" t="s">
        <v>3309</v>
      </c>
      <c r="AZ436" s="6" t="s">
        <v>3306</v>
      </c>
      <c r="BA436" s="6" t="s">
        <v>3311</v>
      </c>
      <c r="BB436" s="6" t="s">
        <v>4693</v>
      </c>
      <c r="BC436" s="6" t="s">
        <v>3313</v>
      </c>
      <c r="BD436" s="6" t="s">
        <v>165</v>
      </c>
      <c r="BE436" s="6" t="s">
        <v>3888</v>
      </c>
      <c r="BF436" s="6" t="s">
        <v>3315</v>
      </c>
      <c r="BG436" s="6" t="s">
        <v>3316</v>
      </c>
      <c r="BH436" s="6" t="s">
        <v>3317</v>
      </c>
      <c r="BI436" s="6" t="s">
        <v>271</v>
      </c>
      <c r="BJ436" s="6" t="s">
        <v>3318</v>
      </c>
      <c r="BK436" s="6" t="s">
        <v>3319</v>
      </c>
    </row>
    <row r="437" ht="22.5" customHeight="1">
      <c r="A437" s="4">
        <v>46229.699307048606</v>
      </c>
      <c r="B437" s="5">
        <v>0.0</v>
      </c>
      <c r="C437" s="6" t="s">
        <v>114</v>
      </c>
      <c r="D437" s="6" t="s">
        <v>1043</v>
      </c>
      <c r="E437" s="6" t="s">
        <v>1044</v>
      </c>
      <c r="F437" s="6">
        <v>6.9070500424E10</v>
      </c>
      <c r="G437" s="6" t="s">
        <v>310</v>
      </c>
      <c r="H437" s="6" t="s">
        <v>6071</v>
      </c>
      <c r="I437" s="6" t="s">
        <v>3200</v>
      </c>
      <c r="J437" s="6" t="s">
        <v>4718</v>
      </c>
      <c r="K437" s="6" t="s">
        <v>4719</v>
      </c>
      <c r="L437" s="6" t="s">
        <v>2604</v>
      </c>
      <c r="M437" s="6" t="s">
        <v>6072</v>
      </c>
      <c r="N437" s="7"/>
      <c r="O437" s="6" t="s">
        <v>6073</v>
      </c>
      <c r="P437" s="6" t="s">
        <v>6074</v>
      </c>
      <c r="Q437" s="6" t="s">
        <v>6075</v>
      </c>
      <c r="R437" s="6" t="s">
        <v>246</v>
      </c>
      <c r="S437" s="6" t="s">
        <v>147</v>
      </c>
      <c r="T437" s="6" t="s">
        <v>250</v>
      </c>
      <c r="U437" s="6" t="s">
        <v>152</v>
      </c>
      <c r="V437" s="6" t="s">
        <v>246</v>
      </c>
      <c r="W437" s="6" t="s">
        <v>158</v>
      </c>
      <c r="X437" s="6" t="s">
        <v>257</v>
      </c>
      <c r="Y437" s="6" t="s">
        <v>162</v>
      </c>
      <c r="Z437" s="6" t="s">
        <v>165</v>
      </c>
      <c r="AA437" s="6" t="s">
        <v>262</v>
      </c>
      <c r="AB437" s="6" t="s">
        <v>521</v>
      </c>
      <c r="AC437" s="6" t="s">
        <v>174</v>
      </c>
      <c r="AD437" s="6" t="s">
        <v>175</v>
      </c>
      <c r="AE437" s="6" t="s">
        <v>271</v>
      </c>
      <c r="AF437" s="6" t="s">
        <v>181</v>
      </c>
      <c r="AG437" s="6" t="s">
        <v>182</v>
      </c>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row>
    <row r="438" ht="22.5" customHeight="1">
      <c r="A438" s="4">
        <v>46229.69931766204</v>
      </c>
      <c r="B438" s="5">
        <v>0.0</v>
      </c>
      <c r="C438" s="6" t="s">
        <v>114</v>
      </c>
      <c r="D438" s="6" t="s">
        <v>588</v>
      </c>
      <c r="E438" s="6" t="s">
        <v>1045</v>
      </c>
      <c r="F438" s="6">
        <v>6.9070502442E10</v>
      </c>
      <c r="G438" s="6" t="s">
        <v>122</v>
      </c>
      <c r="H438" s="7"/>
      <c r="I438" s="6" t="s">
        <v>5202</v>
      </c>
      <c r="J438" s="6" t="s">
        <v>6076</v>
      </c>
      <c r="K438" s="6" t="s">
        <v>6076</v>
      </c>
      <c r="L438" s="6" t="s">
        <v>6077</v>
      </c>
      <c r="M438" s="6" t="s">
        <v>6078</v>
      </c>
      <c r="N438" s="7"/>
      <c r="O438" s="6" t="s">
        <v>6079</v>
      </c>
      <c r="P438" s="6" t="s">
        <v>6080</v>
      </c>
      <c r="Q438" s="6" t="s">
        <v>6081</v>
      </c>
      <c r="R438" s="6" t="s">
        <v>246</v>
      </c>
      <c r="S438" s="6" t="s">
        <v>147</v>
      </c>
      <c r="T438" s="6" t="s">
        <v>250</v>
      </c>
      <c r="U438" s="6" t="s">
        <v>560</v>
      </c>
      <c r="V438" s="6" t="s">
        <v>246</v>
      </c>
      <c r="W438" s="6" t="s">
        <v>158</v>
      </c>
      <c r="X438" s="6" t="s">
        <v>257</v>
      </c>
      <c r="Y438" s="6" t="s">
        <v>162</v>
      </c>
      <c r="Z438" s="6" t="s">
        <v>165</v>
      </c>
      <c r="AA438" s="6" t="s">
        <v>262</v>
      </c>
      <c r="AB438" s="6" t="s">
        <v>171</v>
      </c>
      <c r="AC438" s="6" t="s">
        <v>174</v>
      </c>
      <c r="AD438" s="6" t="s">
        <v>175</v>
      </c>
      <c r="AE438" s="6" t="s">
        <v>1211</v>
      </c>
      <c r="AF438" s="6" t="s">
        <v>181</v>
      </c>
      <c r="AG438" s="6" t="s">
        <v>182</v>
      </c>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row>
    <row r="439" ht="22.5" customHeight="1">
      <c r="A439" s="4">
        <v>46229.69932767361</v>
      </c>
      <c r="B439" s="5">
        <v>0.0</v>
      </c>
      <c r="C439" s="6" t="s">
        <v>114</v>
      </c>
      <c r="D439" s="6" t="s">
        <v>1046</v>
      </c>
      <c r="E439" s="6" t="s">
        <v>1047</v>
      </c>
      <c r="F439" s="6">
        <v>6.9070500221E10</v>
      </c>
      <c r="G439" s="6" t="s">
        <v>599</v>
      </c>
      <c r="H439" s="7"/>
      <c r="I439" s="6" t="s">
        <v>6082</v>
      </c>
      <c r="J439" s="6" t="s">
        <v>6083</v>
      </c>
      <c r="K439" s="6" t="s">
        <v>6084</v>
      </c>
      <c r="L439" s="6" t="s">
        <v>6085</v>
      </c>
      <c r="M439" s="6" t="s">
        <v>6086</v>
      </c>
      <c r="N439" s="7"/>
      <c r="O439" s="6" t="s">
        <v>6087</v>
      </c>
      <c r="P439" s="6" t="s">
        <v>6088</v>
      </c>
      <c r="Q439" s="6" t="s">
        <v>6089</v>
      </c>
      <c r="R439" s="6" t="s">
        <v>246</v>
      </c>
      <c r="S439" s="6" t="s">
        <v>147</v>
      </c>
      <c r="T439" s="6" t="s">
        <v>250</v>
      </c>
      <c r="U439" s="6" t="s">
        <v>252</v>
      </c>
      <c r="V439" s="6" t="s">
        <v>246</v>
      </c>
      <c r="W439" s="6" t="s">
        <v>158</v>
      </c>
      <c r="X439" s="6" t="s">
        <v>161</v>
      </c>
      <c r="Y439" s="6" t="s">
        <v>162</v>
      </c>
      <c r="Z439" s="6" t="s">
        <v>165</v>
      </c>
      <c r="AA439" s="6" t="s">
        <v>262</v>
      </c>
      <c r="AB439" s="6" t="s">
        <v>171</v>
      </c>
      <c r="AC439" s="6" t="s">
        <v>174</v>
      </c>
      <c r="AD439" s="6" t="s">
        <v>175</v>
      </c>
      <c r="AE439" s="6" t="s">
        <v>271</v>
      </c>
      <c r="AF439" s="6" t="s">
        <v>181</v>
      </c>
      <c r="AG439" s="6" t="s">
        <v>182</v>
      </c>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row>
    <row r="440" ht="22.5" customHeight="1">
      <c r="A440" s="4">
        <v>46229.69933715278</v>
      </c>
      <c r="B440" s="5">
        <v>0.0</v>
      </c>
      <c r="C440" s="6" t="s">
        <v>3296</v>
      </c>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6" t="s">
        <v>2654</v>
      </c>
      <c r="AI440" s="6" t="s">
        <v>2655</v>
      </c>
      <c r="AJ440" s="6">
        <v>6.907050343E10</v>
      </c>
      <c r="AK440" s="6" t="s">
        <v>3297</v>
      </c>
      <c r="AL440" s="7"/>
      <c r="AM440" s="6" t="s">
        <v>4215</v>
      </c>
      <c r="AN440" s="6" t="s">
        <v>6090</v>
      </c>
      <c r="AO440" s="6" t="s">
        <v>6091</v>
      </c>
      <c r="AP440" s="6" t="s">
        <v>6092</v>
      </c>
      <c r="AQ440" s="6" t="s">
        <v>6093</v>
      </c>
      <c r="AR440" s="6" t="s">
        <v>6094</v>
      </c>
      <c r="AS440" s="6" t="s">
        <v>6095</v>
      </c>
      <c r="AT440" s="6" t="s">
        <v>6096</v>
      </c>
      <c r="AU440" s="6" t="s">
        <v>6097</v>
      </c>
      <c r="AV440" s="6" t="s">
        <v>3312</v>
      </c>
      <c r="AW440" s="6" t="s">
        <v>3307</v>
      </c>
      <c r="AX440" s="6" t="s">
        <v>3887</v>
      </c>
      <c r="AY440" s="6" t="s">
        <v>5759</v>
      </c>
      <c r="AZ440" s="6" t="s">
        <v>3306</v>
      </c>
      <c r="BA440" s="6" t="s">
        <v>3311</v>
      </c>
      <c r="BB440" s="6" t="s">
        <v>6098</v>
      </c>
      <c r="BC440" s="6" t="s">
        <v>3313</v>
      </c>
      <c r="BD440" s="6" t="s">
        <v>165</v>
      </c>
      <c r="BE440" s="6" t="s">
        <v>3888</v>
      </c>
      <c r="BF440" s="6" t="s">
        <v>3315</v>
      </c>
      <c r="BG440" s="6" t="s">
        <v>4068</v>
      </c>
      <c r="BH440" s="6" t="s">
        <v>3317</v>
      </c>
      <c r="BI440" s="6" t="s">
        <v>271</v>
      </c>
      <c r="BJ440" s="6" t="s">
        <v>3318</v>
      </c>
      <c r="BK440" s="6" t="s">
        <v>3319</v>
      </c>
    </row>
    <row r="441" ht="22.5" customHeight="1">
      <c r="A441" s="4">
        <v>46229.69934207176</v>
      </c>
      <c r="B441" s="5">
        <v>0.0</v>
      </c>
      <c r="C441" s="6" t="s">
        <v>114</v>
      </c>
      <c r="D441" s="6" t="s">
        <v>1048</v>
      </c>
      <c r="E441" s="6" t="s">
        <v>1049</v>
      </c>
      <c r="F441" s="6">
        <v>6.9070500228E10</v>
      </c>
      <c r="G441" s="6" t="s">
        <v>599</v>
      </c>
      <c r="H441" s="7"/>
      <c r="I441" s="6" t="s">
        <v>6099</v>
      </c>
      <c r="J441" s="6" t="s">
        <v>5148</v>
      </c>
      <c r="K441" s="6" t="s">
        <v>6100</v>
      </c>
      <c r="L441" s="6" t="s">
        <v>6101</v>
      </c>
      <c r="M441" s="6" t="s">
        <v>6102</v>
      </c>
      <c r="N441" s="7"/>
      <c r="O441" s="6" t="s">
        <v>6103</v>
      </c>
      <c r="P441" s="6" t="s">
        <v>6104</v>
      </c>
      <c r="Q441" s="6" t="s">
        <v>6105</v>
      </c>
      <c r="R441" s="6" t="s">
        <v>246</v>
      </c>
      <c r="S441" s="6" t="s">
        <v>147</v>
      </c>
      <c r="T441" s="6" t="s">
        <v>250</v>
      </c>
      <c r="U441" s="6" t="s">
        <v>252</v>
      </c>
      <c r="V441" s="6" t="s">
        <v>246</v>
      </c>
      <c r="W441" s="6" t="s">
        <v>158</v>
      </c>
      <c r="X441" s="6" t="s">
        <v>257</v>
      </c>
      <c r="Y441" s="6" t="s">
        <v>162</v>
      </c>
      <c r="Z441" s="6" t="s">
        <v>165</v>
      </c>
      <c r="AA441" s="6" t="s">
        <v>262</v>
      </c>
      <c r="AB441" s="6" t="s">
        <v>171</v>
      </c>
      <c r="AC441" s="6" t="s">
        <v>174</v>
      </c>
      <c r="AD441" s="6" t="s">
        <v>175</v>
      </c>
      <c r="AE441" s="6" t="s">
        <v>271</v>
      </c>
      <c r="AF441" s="6" t="s">
        <v>181</v>
      </c>
      <c r="AG441" s="6" t="s">
        <v>182</v>
      </c>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row>
    <row r="442" ht="22.5" customHeight="1">
      <c r="A442" s="4">
        <v>46229.69934835648</v>
      </c>
      <c r="B442" s="5">
        <v>0.0</v>
      </c>
      <c r="C442" s="6" t="s">
        <v>114</v>
      </c>
      <c r="D442" s="6" t="s">
        <v>1027</v>
      </c>
      <c r="E442" s="6" t="s">
        <v>1050</v>
      </c>
      <c r="F442" s="6">
        <v>6.907050822E10</v>
      </c>
      <c r="G442" s="6" t="s">
        <v>730</v>
      </c>
      <c r="H442" s="7"/>
      <c r="I442" s="6" t="s">
        <v>6106</v>
      </c>
      <c r="J442" s="6" t="s">
        <v>6107</v>
      </c>
      <c r="K442" s="6" t="s">
        <v>6108</v>
      </c>
      <c r="L442" s="6" t="s">
        <v>6109</v>
      </c>
      <c r="M442" s="6" t="s">
        <v>4541</v>
      </c>
      <c r="N442" s="6" t="s">
        <v>6110</v>
      </c>
      <c r="O442" s="6" t="s">
        <v>6111</v>
      </c>
      <c r="P442" s="6" t="s">
        <v>6112</v>
      </c>
      <c r="Q442" s="6" t="s">
        <v>6113</v>
      </c>
      <c r="R442" s="6" t="s">
        <v>246</v>
      </c>
      <c r="S442" s="6" t="s">
        <v>147</v>
      </c>
      <c r="T442" s="6" t="s">
        <v>516</v>
      </c>
      <c r="U442" s="6" t="s">
        <v>252</v>
      </c>
      <c r="V442" s="6" t="s">
        <v>246</v>
      </c>
      <c r="W442" s="6" t="s">
        <v>158</v>
      </c>
      <c r="X442" s="6" t="s">
        <v>257</v>
      </c>
      <c r="Y442" s="6" t="s">
        <v>162</v>
      </c>
      <c r="Z442" s="6" t="s">
        <v>629</v>
      </c>
      <c r="AA442" s="6" t="s">
        <v>262</v>
      </c>
      <c r="AB442" s="6" t="s">
        <v>171</v>
      </c>
      <c r="AC442" s="6" t="s">
        <v>174</v>
      </c>
      <c r="AD442" s="6" t="s">
        <v>175</v>
      </c>
      <c r="AE442" s="6" t="s">
        <v>271</v>
      </c>
      <c r="AF442" s="6" t="s">
        <v>181</v>
      </c>
      <c r="AG442" s="6" t="s">
        <v>182</v>
      </c>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row>
    <row r="443" ht="22.5" customHeight="1">
      <c r="A443" s="4">
        <v>46229.69937232639</v>
      </c>
      <c r="B443" s="5">
        <v>0.0</v>
      </c>
      <c r="C443" s="6" t="s">
        <v>114</v>
      </c>
      <c r="D443" s="6" t="s">
        <v>1051</v>
      </c>
      <c r="E443" s="6" t="s">
        <v>1052</v>
      </c>
      <c r="F443" s="6">
        <v>6.9070500409E10</v>
      </c>
      <c r="G443" s="6" t="s">
        <v>310</v>
      </c>
      <c r="H443" s="6">
        <v>5.0</v>
      </c>
      <c r="I443" s="6" t="s">
        <v>3840</v>
      </c>
      <c r="J443" s="6" t="s">
        <v>4505</v>
      </c>
      <c r="K443" s="6" t="s">
        <v>4355</v>
      </c>
      <c r="L443" s="6" t="s">
        <v>6114</v>
      </c>
      <c r="M443" s="6" t="s">
        <v>5202</v>
      </c>
      <c r="N443" s="7"/>
      <c r="O443" s="6" t="s">
        <v>6115</v>
      </c>
      <c r="P443" s="6" t="s">
        <v>6116</v>
      </c>
      <c r="Q443" s="6" t="s">
        <v>6117</v>
      </c>
      <c r="R443" s="6" t="s">
        <v>246</v>
      </c>
      <c r="S443" s="6" t="s">
        <v>1148</v>
      </c>
      <c r="T443" s="6" t="s">
        <v>246</v>
      </c>
      <c r="U443" s="6" t="s">
        <v>252</v>
      </c>
      <c r="V443" s="6" t="s">
        <v>246</v>
      </c>
      <c r="W443" s="6" t="s">
        <v>158</v>
      </c>
      <c r="X443" s="6" t="s">
        <v>250</v>
      </c>
      <c r="Y443" s="6" t="s">
        <v>1205</v>
      </c>
      <c r="Z443" s="6" t="s">
        <v>804</v>
      </c>
      <c r="AA443" s="6" t="s">
        <v>168</v>
      </c>
      <c r="AB443" s="6" t="s">
        <v>4010</v>
      </c>
      <c r="AC443" s="6" t="s">
        <v>2718</v>
      </c>
      <c r="AD443" s="6" t="s">
        <v>635</v>
      </c>
      <c r="AE443" s="6" t="s">
        <v>271</v>
      </c>
      <c r="AF443" s="6" t="s">
        <v>181</v>
      </c>
      <c r="AG443" s="6" t="s">
        <v>812</v>
      </c>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row>
    <row r="444" ht="22.5" customHeight="1">
      <c r="A444" s="4">
        <v>46229.6993752662</v>
      </c>
      <c r="B444" s="5">
        <v>0.0</v>
      </c>
      <c r="C444" s="6" t="s">
        <v>114</v>
      </c>
      <c r="D444" s="6" t="s">
        <v>1053</v>
      </c>
      <c r="E444" s="6" t="s">
        <v>1054</v>
      </c>
      <c r="F444" s="6">
        <v>6.9070500214E10</v>
      </c>
      <c r="G444" s="6" t="s">
        <v>599</v>
      </c>
      <c r="H444" s="6" t="s">
        <v>2633</v>
      </c>
      <c r="I444" s="6" t="s">
        <v>6118</v>
      </c>
      <c r="J444" s="6" t="s">
        <v>6083</v>
      </c>
      <c r="K444" s="6" t="s">
        <v>6119</v>
      </c>
      <c r="L444" s="6" t="s">
        <v>4606</v>
      </c>
      <c r="M444" s="6" t="s">
        <v>6120</v>
      </c>
      <c r="N444" s="6" t="s">
        <v>6040</v>
      </c>
      <c r="O444" s="6" t="s">
        <v>6121</v>
      </c>
      <c r="P444" s="6" t="s">
        <v>6122</v>
      </c>
      <c r="Q444" s="6" t="s">
        <v>6123</v>
      </c>
      <c r="R444" s="6" t="s">
        <v>246</v>
      </c>
      <c r="S444" s="6" t="s">
        <v>147</v>
      </c>
      <c r="T444" s="6" t="s">
        <v>246</v>
      </c>
      <c r="U444" s="6" t="s">
        <v>560</v>
      </c>
      <c r="V444" s="6" t="s">
        <v>246</v>
      </c>
      <c r="W444" s="6" t="s">
        <v>158</v>
      </c>
      <c r="X444" s="6" t="s">
        <v>257</v>
      </c>
      <c r="Y444" s="6" t="s">
        <v>162</v>
      </c>
      <c r="Z444" s="6" t="s">
        <v>165</v>
      </c>
      <c r="AA444" s="6" t="s">
        <v>262</v>
      </c>
      <c r="AB444" s="6" t="s">
        <v>171</v>
      </c>
      <c r="AC444" s="6" t="s">
        <v>174</v>
      </c>
      <c r="AD444" s="6" t="s">
        <v>175</v>
      </c>
      <c r="AE444" s="6" t="s">
        <v>271</v>
      </c>
      <c r="AF444" s="6" t="s">
        <v>181</v>
      </c>
      <c r="AG444" s="6" t="s">
        <v>182</v>
      </c>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row>
    <row r="445" ht="22.5" customHeight="1">
      <c r="A445" s="4">
        <v>46229.69937621528</v>
      </c>
      <c r="B445" s="5">
        <v>0.0</v>
      </c>
      <c r="C445" s="6" t="s">
        <v>114</v>
      </c>
      <c r="D445" s="6" t="s">
        <v>1055</v>
      </c>
      <c r="E445" s="6" t="s">
        <v>1056</v>
      </c>
      <c r="F445" s="6">
        <v>6.9070500004E10</v>
      </c>
      <c r="G445" s="6" t="s">
        <v>4580</v>
      </c>
      <c r="H445" s="7"/>
      <c r="I445" s="6" t="s">
        <v>6124</v>
      </c>
      <c r="J445" s="6" t="s">
        <v>6125</v>
      </c>
      <c r="K445" s="6" t="s">
        <v>6126</v>
      </c>
      <c r="L445" s="6" t="s">
        <v>6127</v>
      </c>
      <c r="M445" s="6" t="s">
        <v>6128</v>
      </c>
      <c r="N445" s="7"/>
      <c r="O445" s="6" t="s">
        <v>6129</v>
      </c>
      <c r="P445" s="6" t="s">
        <v>6130</v>
      </c>
      <c r="Q445" s="6" t="s">
        <v>6131</v>
      </c>
      <c r="R445" s="6" t="s">
        <v>246</v>
      </c>
      <c r="S445" s="6" t="s">
        <v>147</v>
      </c>
      <c r="T445" s="6" t="s">
        <v>250</v>
      </c>
      <c r="U445" s="6" t="s">
        <v>560</v>
      </c>
      <c r="V445" s="6" t="s">
        <v>246</v>
      </c>
      <c r="W445" s="6" t="s">
        <v>158</v>
      </c>
      <c r="X445" s="6" t="s">
        <v>458</v>
      </c>
      <c r="Y445" s="6" t="s">
        <v>162</v>
      </c>
      <c r="Z445" s="6" t="s">
        <v>629</v>
      </c>
      <c r="AA445" s="6" t="s">
        <v>641</v>
      </c>
      <c r="AB445" s="6" t="s">
        <v>4010</v>
      </c>
      <c r="AC445" s="6" t="s">
        <v>1210</v>
      </c>
      <c r="AD445" s="6" t="s">
        <v>175</v>
      </c>
      <c r="AE445" s="6" t="s">
        <v>271</v>
      </c>
      <c r="AF445" s="6" t="s">
        <v>181</v>
      </c>
      <c r="AG445" s="6" t="s">
        <v>182</v>
      </c>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row>
    <row r="446" ht="22.5" customHeight="1">
      <c r="A446" s="4">
        <v>46229.69937798611</v>
      </c>
      <c r="B446" s="5">
        <v>0.0</v>
      </c>
      <c r="C446" s="6" t="s">
        <v>114</v>
      </c>
      <c r="D446" s="6" t="s">
        <v>1057</v>
      </c>
      <c r="E446" s="6" t="s">
        <v>1058</v>
      </c>
      <c r="F446" s="6">
        <v>6.9070500007E10</v>
      </c>
      <c r="G446" s="6" t="s">
        <v>4580</v>
      </c>
      <c r="H446" s="6" t="s">
        <v>6132</v>
      </c>
      <c r="I446" s="6" t="s">
        <v>6133</v>
      </c>
      <c r="J446" s="6" t="s">
        <v>6134</v>
      </c>
      <c r="K446" s="6" t="s">
        <v>6135</v>
      </c>
      <c r="L446" s="6" t="s">
        <v>6136</v>
      </c>
      <c r="M446" s="6" t="s">
        <v>1078</v>
      </c>
      <c r="N446" s="7"/>
      <c r="O446" s="6" t="s">
        <v>6137</v>
      </c>
      <c r="P446" s="6" t="s">
        <v>6138</v>
      </c>
      <c r="Q446" s="6" t="s">
        <v>6139</v>
      </c>
      <c r="R446" s="6" t="s">
        <v>246</v>
      </c>
      <c r="S446" s="6" t="s">
        <v>147</v>
      </c>
      <c r="T446" s="6" t="s">
        <v>250</v>
      </c>
      <c r="U446" s="6" t="s">
        <v>252</v>
      </c>
      <c r="V446" s="6" t="s">
        <v>246</v>
      </c>
      <c r="W446" s="6" t="s">
        <v>158</v>
      </c>
      <c r="X446" s="6" t="s">
        <v>161</v>
      </c>
      <c r="Y446" s="6" t="s">
        <v>162</v>
      </c>
      <c r="Z446" s="6" t="s">
        <v>165</v>
      </c>
      <c r="AA446" s="6" t="s">
        <v>262</v>
      </c>
      <c r="AB446" s="6" t="s">
        <v>1266</v>
      </c>
      <c r="AC446" s="6" t="s">
        <v>1210</v>
      </c>
      <c r="AD446" s="6" t="s">
        <v>175</v>
      </c>
      <c r="AE446" s="6" t="s">
        <v>271</v>
      </c>
      <c r="AF446" s="6" t="s">
        <v>181</v>
      </c>
      <c r="AG446" s="6" t="s">
        <v>182</v>
      </c>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row>
    <row r="447" ht="22.5" customHeight="1">
      <c r="A447" s="4">
        <v>46229.699385405096</v>
      </c>
      <c r="B447" s="5">
        <v>0.0</v>
      </c>
      <c r="C447" s="6" t="s">
        <v>114</v>
      </c>
      <c r="D447" s="6" t="s">
        <v>1059</v>
      </c>
      <c r="E447" s="6" t="s">
        <v>1060</v>
      </c>
      <c r="F447" s="6">
        <v>6.907050064E10</v>
      </c>
      <c r="G447" s="6" t="s">
        <v>6140</v>
      </c>
      <c r="H447" s="7"/>
      <c r="I447" s="6" t="s">
        <v>2506</v>
      </c>
      <c r="J447" s="6" t="s">
        <v>6141</v>
      </c>
      <c r="K447" s="6" t="s">
        <v>6142</v>
      </c>
      <c r="L447" s="6" t="s">
        <v>6143</v>
      </c>
      <c r="M447" s="6" t="s">
        <v>6144</v>
      </c>
      <c r="N447" s="7"/>
      <c r="O447" s="6" t="s">
        <v>6145</v>
      </c>
      <c r="P447" s="6" t="s">
        <v>6146</v>
      </c>
      <c r="Q447" s="6" t="s">
        <v>6147</v>
      </c>
      <c r="R447" s="6" t="s">
        <v>861</v>
      </c>
      <c r="S447" s="6" t="s">
        <v>147</v>
      </c>
      <c r="T447" s="6" t="s">
        <v>250</v>
      </c>
      <c r="U447" s="6" t="s">
        <v>560</v>
      </c>
      <c r="V447" s="6" t="s">
        <v>246</v>
      </c>
      <c r="W447" s="6" t="s">
        <v>158</v>
      </c>
      <c r="X447" s="6" t="s">
        <v>257</v>
      </c>
      <c r="Y447" s="6" t="s">
        <v>162</v>
      </c>
      <c r="Z447" s="6" t="s">
        <v>165</v>
      </c>
      <c r="AA447" s="6" t="s">
        <v>262</v>
      </c>
      <c r="AB447" s="6" t="s">
        <v>171</v>
      </c>
      <c r="AC447" s="6" t="s">
        <v>174</v>
      </c>
      <c r="AD447" s="6" t="s">
        <v>175</v>
      </c>
      <c r="AE447" s="6" t="s">
        <v>271</v>
      </c>
      <c r="AF447" s="6" t="s">
        <v>181</v>
      </c>
      <c r="AG447" s="6" t="s">
        <v>182</v>
      </c>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row>
    <row r="448" ht="22.5" customHeight="1">
      <c r="A448" s="4">
        <v>46229.69938769676</v>
      </c>
      <c r="B448" s="5">
        <v>0.0</v>
      </c>
      <c r="C448" s="6" t="s">
        <v>114</v>
      </c>
      <c r="D448" s="6" t="s">
        <v>1061</v>
      </c>
      <c r="E448" s="6" t="s">
        <v>1062</v>
      </c>
      <c r="F448" s="6">
        <v>6.9070501838E10</v>
      </c>
      <c r="G448" s="6" t="s">
        <v>730</v>
      </c>
      <c r="H448" s="6" t="s">
        <v>6148</v>
      </c>
      <c r="I448" s="6" t="s">
        <v>6149</v>
      </c>
      <c r="J448" s="6" t="s">
        <v>6150</v>
      </c>
      <c r="K448" s="6" t="s">
        <v>6151</v>
      </c>
      <c r="L448" s="6" t="s">
        <v>6152</v>
      </c>
      <c r="M448" s="6" t="s">
        <v>6153</v>
      </c>
      <c r="N448" s="6" t="s">
        <v>2633</v>
      </c>
      <c r="O448" s="6" t="s">
        <v>6154</v>
      </c>
      <c r="P448" s="6" t="s">
        <v>6155</v>
      </c>
      <c r="Q448" s="6" t="s">
        <v>6156</v>
      </c>
      <c r="R448" s="6" t="s">
        <v>246</v>
      </c>
      <c r="S448" s="6" t="s">
        <v>147</v>
      </c>
      <c r="T448" s="6" t="s">
        <v>250</v>
      </c>
      <c r="U448" s="6" t="s">
        <v>2254</v>
      </c>
      <c r="V448" s="6" t="s">
        <v>246</v>
      </c>
      <c r="W448" s="6" t="s">
        <v>158</v>
      </c>
      <c r="X448" s="6" t="s">
        <v>161</v>
      </c>
      <c r="Y448" s="6" t="s">
        <v>162</v>
      </c>
      <c r="Z448" s="6" t="s">
        <v>165</v>
      </c>
      <c r="AA448" s="6" t="s">
        <v>262</v>
      </c>
      <c r="AB448" s="6" t="s">
        <v>171</v>
      </c>
      <c r="AC448" s="6" t="s">
        <v>174</v>
      </c>
      <c r="AD448" s="6" t="s">
        <v>175</v>
      </c>
      <c r="AE448" s="6" t="s">
        <v>271</v>
      </c>
      <c r="AF448" s="6" t="s">
        <v>181</v>
      </c>
      <c r="AG448" s="6" t="s">
        <v>182</v>
      </c>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row>
    <row r="449" ht="22.5" customHeight="1">
      <c r="A449" s="4">
        <v>46229.6993921875</v>
      </c>
      <c r="B449" s="5">
        <v>0.0</v>
      </c>
      <c r="C449" s="6" t="s">
        <v>114</v>
      </c>
      <c r="D449" s="6" t="s">
        <v>1063</v>
      </c>
      <c r="E449" s="6" t="s">
        <v>1064</v>
      </c>
      <c r="F449" s="6">
        <v>6.9070501823E10</v>
      </c>
      <c r="G449" s="6" t="s">
        <v>730</v>
      </c>
      <c r="H449" s="7"/>
      <c r="I449" s="6" t="s">
        <v>6157</v>
      </c>
      <c r="J449" s="6" t="s">
        <v>6107</v>
      </c>
      <c r="K449" s="6" t="s">
        <v>6158</v>
      </c>
      <c r="L449" s="6" t="s">
        <v>6159</v>
      </c>
      <c r="M449" s="6" t="s">
        <v>6160</v>
      </c>
      <c r="N449" s="7"/>
      <c r="O449" s="6" t="s">
        <v>6161</v>
      </c>
      <c r="P449" s="6" t="s">
        <v>6162</v>
      </c>
      <c r="Q449" s="6" t="s">
        <v>6163</v>
      </c>
      <c r="R449" s="6" t="s">
        <v>246</v>
      </c>
      <c r="S449" s="6" t="s">
        <v>147</v>
      </c>
      <c r="T449" s="6" t="s">
        <v>250</v>
      </c>
      <c r="U449" s="6" t="s">
        <v>560</v>
      </c>
      <c r="V449" s="6" t="s">
        <v>246</v>
      </c>
      <c r="W449" s="6" t="s">
        <v>158</v>
      </c>
      <c r="X449" s="6" t="s">
        <v>257</v>
      </c>
      <c r="Y449" s="6" t="s">
        <v>162</v>
      </c>
      <c r="Z449" s="6" t="s">
        <v>165</v>
      </c>
      <c r="AA449" s="6" t="s">
        <v>262</v>
      </c>
      <c r="AB449" s="6" t="s">
        <v>171</v>
      </c>
      <c r="AC449" s="6" t="s">
        <v>174</v>
      </c>
      <c r="AD449" s="6" t="s">
        <v>175</v>
      </c>
      <c r="AE449" s="6" t="s">
        <v>271</v>
      </c>
      <c r="AF449" s="6" t="s">
        <v>181</v>
      </c>
      <c r="AG449" s="6" t="s">
        <v>182</v>
      </c>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row>
    <row r="450" ht="22.5" customHeight="1">
      <c r="A450" s="4">
        <v>46229.69939369213</v>
      </c>
      <c r="B450" s="5">
        <v>0.0</v>
      </c>
      <c r="C450" s="6" t="s">
        <v>114</v>
      </c>
      <c r="D450" s="6" t="s">
        <v>1065</v>
      </c>
      <c r="E450" s="6" t="s">
        <v>1066</v>
      </c>
      <c r="F450" s="6">
        <v>6.9070505214E10</v>
      </c>
      <c r="G450" s="6" t="s">
        <v>1470</v>
      </c>
      <c r="H450" s="7"/>
      <c r="I450" s="6" t="s">
        <v>6164</v>
      </c>
      <c r="J450" s="6" t="s">
        <v>6165</v>
      </c>
      <c r="K450" s="6" t="s">
        <v>3657</v>
      </c>
      <c r="L450" s="6" t="s">
        <v>6166</v>
      </c>
      <c r="M450" s="6" t="s">
        <v>6167</v>
      </c>
      <c r="N450" s="7"/>
      <c r="O450" s="6" t="s">
        <v>6168</v>
      </c>
      <c r="P450" s="6" t="s">
        <v>6169</v>
      </c>
      <c r="Q450" s="6" t="s">
        <v>6170</v>
      </c>
      <c r="R450" s="6" t="s">
        <v>246</v>
      </c>
      <c r="S450" s="6" t="s">
        <v>147</v>
      </c>
      <c r="T450" s="6" t="s">
        <v>516</v>
      </c>
      <c r="U450" s="6" t="s">
        <v>252</v>
      </c>
      <c r="V450" s="6" t="s">
        <v>155</v>
      </c>
      <c r="W450" s="6" t="s">
        <v>158</v>
      </c>
      <c r="X450" s="6" t="s">
        <v>250</v>
      </c>
      <c r="Y450" s="6" t="s">
        <v>162</v>
      </c>
      <c r="Z450" s="6" t="s">
        <v>165</v>
      </c>
      <c r="AA450" s="6" t="s">
        <v>168</v>
      </c>
      <c r="AB450" s="6" t="s">
        <v>171</v>
      </c>
      <c r="AC450" s="6" t="s">
        <v>1669</v>
      </c>
      <c r="AD450" s="6" t="s">
        <v>175</v>
      </c>
      <c r="AE450" s="6" t="s">
        <v>271</v>
      </c>
      <c r="AF450" s="6" t="s">
        <v>181</v>
      </c>
      <c r="AG450" s="6" t="s">
        <v>182</v>
      </c>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row>
    <row r="451" ht="22.5" customHeight="1">
      <c r="A451" s="4">
        <v>46229.69939998843</v>
      </c>
      <c r="B451" s="5">
        <v>0.0</v>
      </c>
      <c r="C451" s="6" t="s">
        <v>114</v>
      </c>
      <c r="D451" s="6" t="s">
        <v>1067</v>
      </c>
      <c r="E451" s="6" t="s">
        <v>1068</v>
      </c>
      <c r="F451" s="6">
        <v>6.9070501043E10</v>
      </c>
      <c r="G451" s="6" t="s">
        <v>1470</v>
      </c>
      <c r="H451" s="7"/>
      <c r="I451" s="6" t="s">
        <v>6171</v>
      </c>
      <c r="J451" s="6" t="s">
        <v>6172</v>
      </c>
      <c r="K451" s="6" t="s">
        <v>6173</v>
      </c>
      <c r="L451" s="6" t="s">
        <v>6174</v>
      </c>
      <c r="M451" s="6" t="s">
        <v>6175</v>
      </c>
      <c r="N451" s="6" t="s">
        <v>5375</v>
      </c>
      <c r="O451" s="6" t="s">
        <v>6176</v>
      </c>
      <c r="P451" s="6" t="s">
        <v>5558</v>
      </c>
      <c r="Q451" s="6" t="s">
        <v>6177</v>
      </c>
      <c r="R451" s="6" t="s">
        <v>246</v>
      </c>
      <c r="S451" s="6" t="s">
        <v>147</v>
      </c>
      <c r="T451" s="6" t="s">
        <v>250</v>
      </c>
      <c r="U451" s="6" t="s">
        <v>560</v>
      </c>
      <c r="V451" s="6" t="s">
        <v>246</v>
      </c>
      <c r="W451" s="6" t="s">
        <v>158</v>
      </c>
      <c r="X451" s="6" t="s">
        <v>458</v>
      </c>
      <c r="Y451" s="6" t="s">
        <v>162</v>
      </c>
      <c r="Z451" s="6" t="s">
        <v>165</v>
      </c>
      <c r="AA451" s="6" t="s">
        <v>262</v>
      </c>
      <c r="AB451" s="6" t="s">
        <v>171</v>
      </c>
      <c r="AC451" s="6" t="s">
        <v>174</v>
      </c>
      <c r="AD451" s="6" t="s">
        <v>175</v>
      </c>
      <c r="AE451" s="6" t="s">
        <v>271</v>
      </c>
      <c r="AF451" s="6" t="s">
        <v>811</v>
      </c>
      <c r="AG451" s="6" t="s">
        <v>182</v>
      </c>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row>
    <row r="452" ht="22.5" customHeight="1">
      <c r="A452" s="4">
        <v>46229.69941959491</v>
      </c>
      <c r="B452" s="5">
        <v>0.0</v>
      </c>
      <c r="C452" s="6" t="s">
        <v>114</v>
      </c>
      <c r="D452" s="6" t="s">
        <v>1069</v>
      </c>
      <c r="E452" s="6" t="s">
        <v>1070</v>
      </c>
      <c r="F452" s="6">
        <v>6.9070501262E10</v>
      </c>
      <c r="G452" s="6" t="s">
        <v>228</v>
      </c>
      <c r="H452" s="6" t="s">
        <v>6178</v>
      </c>
      <c r="I452" s="6" t="s">
        <v>6179</v>
      </c>
      <c r="J452" s="6" t="s">
        <v>6180</v>
      </c>
      <c r="K452" s="6" t="s">
        <v>6181</v>
      </c>
      <c r="L452" s="6" t="s">
        <v>6182</v>
      </c>
      <c r="M452" s="6" t="s">
        <v>6183</v>
      </c>
      <c r="N452" s="6" t="s">
        <v>6184</v>
      </c>
      <c r="O452" s="6" t="s">
        <v>6185</v>
      </c>
      <c r="P452" s="6" t="s">
        <v>6186</v>
      </c>
      <c r="Q452" s="6" t="s">
        <v>6187</v>
      </c>
      <c r="R452" s="6" t="s">
        <v>861</v>
      </c>
      <c r="S452" s="6" t="s">
        <v>147</v>
      </c>
      <c r="T452" s="6" t="s">
        <v>257</v>
      </c>
      <c r="U452" s="6" t="s">
        <v>252</v>
      </c>
      <c r="V452" s="6" t="s">
        <v>155</v>
      </c>
      <c r="W452" s="6" t="s">
        <v>158</v>
      </c>
      <c r="X452" s="6" t="s">
        <v>458</v>
      </c>
      <c r="Y452" s="6" t="s">
        <v>162</v>
      </c>
      <c r="Z452" s="6" t="s">
        <v>152</v>
      </c>
      <c r="AA452" s="6" t="s">
        <v>641</v>
      </c>
      <c r="AB452" s="6" t="s">
        <v>521</v>
      </c>
      <c r="AC452" s="6" t="s">
        <v>1210</v>
      </c>
      <c r="AD452" s="6" t="s">
        <v>1723</v>
      </c>
      <c r="AE452" s="6" t="s">
        <v>271</v>
      </c>
      <c r="AF452" s="6" t="s">
        <v>638</v>
      </c>
      <c r="AG452" s="6" t="s">
        <v>812</v>
      </c>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row>
    <row r="453" ht="22.5" customHeight="1">
      <c r="A453" s="4">
        <v>46229.699424108796</v>
      </c>
      <c r="B453" s="5">
        <v>0.0</v>
      </c>
      <c r="C453" s="6" t="s">
        <v>114</v>
      </c>
      <c r="D453" s="6" t="s">
        <v>957</v>
      </c>
      <c r="E453" s="6" t="s">
        <v>1071</v>
      </c>
      <c r="F453" s="6">
        <v>6.9070501263E10</v>
      </c>
      <c r="G453" s="6" t="s">
        <v>228</v>
      </c>
      <c r="H453" s="7"/>
      <c r="I453" s="6" t="s">
        <v>6188</v>
      </c>
      <c r="J453" s="6" t="s">
        <v>6189</v>
      </c>
      <c r="K453" s="6" t="s">
        <v>6190</v>
      </c>
      <c r="L453" s="6" t="s">
        <v>6191</v>
      </c>
      <c r="M453" s="6" t="s">
        <v>3228</v>
      </c>
      <c r="N453" s="6" t="s">
        <v>6192</v>
      </c>
      <c r="O453" s="6" t="s">
        <v>6193</v>
      </c>
      <c r="P453" s="6" t="s">
        <v>6194</v>
      </c>
      <c r="Q453" s="6" t="s">
        <v>6195</v>
      </c>
      <c r="R453" s="6" t="s">
        <v>246</v>
      </c>
      <c r="S453" s="6" t="s">
        <v>147</v>
      </c>
      <c r="T453" s="6" t="s">
        <v>250</v>
      </c>
      <c r="U453" s="6" t="s">
        <v>252</v>
      </c>
      <c r="V453" s="6" t="s">
        <v>246</v>
      </c>
      <c r="W453" s="6" t="s">
        <v>158</v>
      </c>
      <c r="X453" s="6" t="s">
        <v>257</v>
      </c>
      <c r="Y453" s="6" t="s">
        <v>162</v>
      </c>
      <c r="Z453" s="6" t="s">
        <v>165</v>
      </c>
      <c r="AA453" s="6" t="s">
        <v>262</v>
      </c>
      <c r="AB453" s="6" t="s">
        <v>171</v>
      </c>
      <c r="AC453" s="6" t="s">
        <v>174</v>
      </c>
      <c r="AD453" s="6" t="s">
        <v>175</v>
      </c>
      <c r="AE453" s="6" t="s">
        <v>271</v>
      </c>
      <c r="AF453" s="6" t="s">
        <v>181</v>
      </c>
      <c r="AG453" s="6" t="s">
        <v>182</v>
      </c>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row>
    <row r="454" ht="22.5" customHeight="1">
      <c r="A454" s="4">
        <v>46229.69942424769</v>
      </c>
      <c r="B454" s="5">
        <v>0.0</v>
      </c>
      <c r="C454" s="6" t="s">
        <v>114</v>
      </c>
      <c r="D454" s="6" t="s">
        <v>323</v>
      </c>
      <c r="E454" s="6" t="s">
        <v>1072</v>
      </c>
      <c r="F454" s="6">
        <v>6.9070509601E10</v>
      </c>
      <c r="G454" s="6" t="s">
        <v>730</v>
      </c>
      <c r="H454" s="7"/>
      <c r="I454" s="6" t="s">
        <v>6196</v>
      </c>
      <c r="J454" s="6" t="s">
        <v>235</v>
      </c>
      <c r="K454" s="6" t="s">
        <v>6197</v>
      </c>
      <c r="L454" s="6" t="s">
        <v>6198</v>
      </c>
      <c r="M454" s="6" t="s">
        <v>6199</v>
      </c>
      <c r="N454" s="6" t="s">
        <v>6200</v>
      </c>
      <c r="O454" s="6" t="s">
        <v>6201</v>
      </c>
      <c r="P454" s="6" t="s">
        <v>6202</v>
      </c>
      <c r="Q454" s="6" t="s">
        <v>6203</v>
      </c>
      <c r="R454" s="6" t="s">
        <v>246</v>
      </c>
      <c r="S454" s="6" t="s">
        <v>147</v>
      </c>
      <c r="T454" s="6" t="s">
        <v>250</v>
      </c>
      <c r="U454" s="6" t="s">
        <v>686</v>
      </c>
      <c r="V454" s="6" t="s">
        <v>246</v>
      </c>
      <c r="W454" s="6" t="s">
        <v>158</v>
      </c>
      <c r="X454" s="6" t="s">
        <v>257</v>
      </c>
      <c r="Y454" s="6" t="s">
        <v>162</v>
      </c>
      <c r="Z454" s="6" t="s">
        <v>165</v>
      </c>
      <c r="AA454" s="6" t="s">
        <v>262</v>
      </c>
      <c r="AB454" s="6" t="s">
        <v>521</v>
      </c>
      <c r="AC454" s="6" t="s">
        <v>174</v>
      </c>
      <c r="AD454" s="6" t="s">
        <v>175</v>
      </c>
      <c r="AE454" s="6" t="s">
        <v>271</v>
      </c>
      <c r="AF454" s="6" t="s">
        <v>181</v>
      </c>
      <c r="AG454" s="6" t="s">
        <v>182</v>
      </c>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row>
    <row r="455" ht="22.5" customHeight="1">
      <c r="A455" s="4">
        <v>46229.69943253472</v>
      </c>
      <c r="B455" s="5">
        <v>0.0</v>
      </c>
      <c r="C455" s="6" t="s">
        <v>114</v>
      </c>
      <c r="D455" s="6" t="s">
        <v>1073</v>
      </c>
      <c r="E455" s="6" t="s">
        <v>1074</v>
      </c>
      <c r="F455" s="6">
        <v>6.9070501218E10</v>
      </c>
      <c r="G455" s="6" t="s">
        <v>228</v>
      </c>
      <c r="H455" s="7"/>
      <c r="I455" s="6" t="s">
        <v>5995</v>
      </c>
      <c r="J455" s="6" t="s">
        <v>3329</v>
      </c>
      <c r="K455" s="6" t="s">
        <v>6204</v>
      </c>
      <c r="L455" s="6" t="s">
        <v>6205</v>
      </c>
      <c r="M455" s="6" t="s">
        <v>5998</v>
      </c>
      <c r="N455" s="6" t="s">
        <v>6206</v>
      </c>
      <c r="O455" s="6" t="s">
        <v>6207</v>
      </c>
      <c r="P455" s="6" t="s">
        <v>6208</v>
      </c>
      <c r="Q455" s="6" t="s">
        <v>6209</v>
      </c>
      <c r="R455" s="6" t="s">
        <v>246</v>
      </c>
      <c r="S455" s="6" t="s">
        <v>147</v>
      </c>
      <c r="T455" s="6" t="s">
        <v>250</v>
      </c>
      <c r="U455" s="6" t="s">
        <v>152</v>
      </c>
      <c r="V455" s="6" t="s">
        <v>246</v>
      </c>
      <c r="W455" s="6" t="s">
        <v>158</v>
      </c>
      <c r="X455" s="6" t="s">
        <v>246</v>
      </c>
      <c r="Y455" s="6" t="s">
        <v>162</v>
      </c>
      <c r="Z455" s="6" t="s">
        <v>165</v>
      </c>
      <c r="AA455" s="6" t="s">
        <v>262</v>
      </c>
      <c r="AB455" s="6" t="s">
        <v>171</v>
      </c>
      <c r="AC455" s="6" t="s">
        <v>174</v>
      </c>
      <c r="AD455" s="6" t="s">
        <v>175</v>
      </c>
      <c r="AE455" s="6" t="s">
        <v>271</v>
      </c>
      <c r="AF455" s="6" t="s">
        <v>181</v>
      </c>
      <c r="AG455" s="6" t="s">
        <v>182</v>
      </c>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row>
    <row r="456" ht="22.5" customHeight="1">
      <c r="A456" s="4">
        <v>46229.69943605324</v>
      </c>
      <c r="B456" s="5">
        <v>0.0</v>
      </c>
      <c r="C456" s="6" t="s">
        <v>114</v>
      </c>
      <c r="D456" s="6" t="s">
        <v>358</v>
      </c>
      <c r="E456" s="6" t="s">
        <v>1075</v>
      </c>
      <c r="F456" s="6">
        <v>6.9070506405E10</v>
      </c>
      <c r="G456" s="6" t="s">
        <v>599</v>
      </c>
      <c r="H456" s="7"/>
      <c r="I456" s="6" t="s">
        <v>6210</v>
      </c>
      <c r="J456" s="6" t="s">
        <v>6211</v>
      </c>
      <c r="K456" s="6" t="s">
        <v>6212</v>
      </c>
      <c r="L456" s="6" t="s">
        <v>6213</v>
      </c>
      <c r="M456" s="6" t="s">
        <v>6214</v>
      </c>
      <c r="N456" s="6" t="s">
        <v>6215</v>
      </c>
      <c r="O456" s="6" t="s">
        <v>6216</v>
      </c>
      <c r="P456" s="6" t="s">
        <v>6217</v>
      </c>
      <c r="Q456" s="6" t="s">
        <v>6218</v>
      </c>
      <c r="R456" s="6" t="s">
        <v>246</v>
      </c>
      <c r="S456" s="6" t="s">
        <v>147</v>
      </c>
      <c r="T456" s="6" t="s">
        <v>250</v>
      </c>
      <c r="U456" s="6" t="s">
        <v>252</v>
      </c>
      <c r="V456" s="6" t="s">
        <v>246</v>
      </c>
      <c r="W456" s="6" t="s">
        <v>158</v>
      </c>
      <c r="X456" s="6" t="s">
        <v>246</v>
      </c>
      <c r="Y456" s="6" t="s">
        <v>162</v>
      </c>
      <c r="Z456" s="6" t="s">
        <v>165</v>
      </c>
      <c r="AA456" s="6" t="s">
        <v>262</v>
      </c>
      <c r="AB456" s="6" t="s">
        <v>171</v>
      </c>
      <c r="AC456" s="6" t="s">
        <v>174</v>
      </c>
      <c r="AD456" s="6" t="s">
        <v>175</v>
      </c>
      <c r="AE456" s="6" t="s">
        <v>271</v>
      </c>
      <c r="AF456" s="6" t="s">
        <v>181</v>
      </c>
      <c r="AG456" s="6" t="s">
        <v>182</v>
      </c>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row>
    <row r="457" ht="22.5" customHeight="1">
      <c r="A457" s="4">
        <v>46229.69944048611</v>
      </c>
      <c r="B457" s="5">
        <v>0.0</v>
      </c>
      <c r="C457" s="6" t="s">
        <v>114</v>
      </c>
      <c r="D457" s="6" t="s">
        <v>1076</v>
      </c>
      <c r="E457" s="6" t="s">
        <v>1077</v>
      </c>
      <c r="F457" s="6">
        <v>6.9070501009E10</v>
      </c>
      <c r="G457" s="6" t="s">
        <v>1470</v>
      </c>
      <c r="H457" s="7"/>
      <c r="I457" s="6" t="s">
        <v>6219</v>
      </c>
      <c r="J457" s="6" t="s">
        <v>6220</v>
      </c>
      <c r="K457" s="6" t="s">
        <v>6221</v>
      </c>
      <c r="L457" s="6" t="s">
        <v>6222</v>
      </c>
      <c r="M457" s="6" t="s">
        <v>6223</v>
      </c>
      <c r="N457" s="6" t="s">
        <v>6224</v>
      </c>
      <c r="O457" s="6" t="s">
        <v>6225</v>
      </c>
      <c r="P457" s="6" t="s">
        <v>6226</v>
      </c>
      <c r="Q457" s="6" t="s">
        <v>6227</v>
      </c>
      <c r="R457" s="6" t="s">
        <v>246</v>
      </c>
      <c r="S457" s="6" t="s">
        <v>147</v>
      </c>
      <c r="T457" s="6" t="s">
        <v>250</v>
      </c>
      <c r="U457" s="6" t="s">
        <v>560</v>
      </c>
      <c r="V457" s="6" t="s">
        <v>246</v>
      </c>
      <c r="W457" s="6" t="s">
        <v>158</v>
      </c>
      <c r="X457" s="6" t="s">
        <v>257</v>
      </c>
      <c r="Y457" s="6" t="s">
        <v>162</v>
      </c>
      <c r="Z457" s="6" t="s">
        <v>165</v>
      </c>
      <c r="AA457" s="6" t="s">
        <v>262</v>
      </c>
      <c r="AB457" s="6" t="s">
        <v>171</v>
      </c>
      <c r="AC457" s="6" t="s">
        <v>174</v>
      </c>
      <c r="AD457" s="6" t="s">
        <v>175</v>
      </c>
      <c r="AE457" s="6" t="s">
        <v>271</v>
      </c>
      <c r="AF457" s="6" t="s">
        <v>181</v>
      </c>
      <c r="AG457" s="6" t="s">
        <v>182</v>
      </c>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row>
    <row r="458" ht="22.5" customHeight="1">
      <c r="A458" s="4">
        <v>46229.69944684028</v>
      </c>
      <c r="B458" s="5">
        <v>0.0</v>
      </c>
      <c r="C458" s="6" t="s">
        <v>114</v>
      </c>
      <c r="D458" s="6" t="s">
        <v>1079</v>
      </c>
      <c r="E458" s="6" t="s">
        <v>1081</v>
      </c>
      <c r="F458" s="6">
        <v>6.907050247E10</v>
      </c>
      <c r="G458" s="6" t="s">
        <v>122</v>
      </c>
      <c r="H458" s="6" t="s">
        <v>3100</v>
      </c>
      <c r="I458" s="6" t="s">
        <v>5988</v>
      </c>
      <c r="J458" s="6" t="s">
        <v>6228</v>
      </c>
      <c r="K458" s="6" t="s">
        <v>6035</v>
      </c>
      <c r="L458" s="6" t="s">
        <v>5581</v>
      </c>
      <c r="M458" s="6" t="s">
        <v>6034</v>
      </c>
      <c r="N458" s="6" t="s">
        <v>3099</v>
      </c>
      <c r="O458" s="6" t="s">
        <v>6229</v>
      </c>
      <c r="P458" s="6" t="s">
        <v>6230</v>
      </c>
      <c r="Q458" s="6" t="s">
        <v>6231</v>
      </c>
      <c r="R458" s="6" t="s">
        <v>246</v>
      </c>
      <c r="S458" s="6" t="s">
        <v>147</v>
      </c>
      <c r="T458" s="6" t="s">
        <v>250</v>
      </c>
      <c r="U458" s="6" t="s">
        <v>2254</v>
      </c>
      <c r="V458" s="6" t="s">
        <v>458</v>
      </c>
      <c r="W458" s="6" t="s">
        <v>158</v>
      </c>
      <c r="X458" s="6" t="s">
        <v>458</v>
      </c>
      <c r="Y458" s="6" t="s">
        <v>162</v>
      </c>
      <c r="Z458" s="6" t="s">
        <v>165</v>
      </c>
      <c r="AA458" s="6" t="s">
        <v>641</v>
      </c>
      <c r="AB458" s="6" t="s">
        <v>3847</v>
      </c>
      <c r="AC458" s="6" t="s">
        <v>633</v>
      </c>
      <c r="AD458" s="6" t="s">
        <v>641</v>
      </c>
      <c r="AE458" s="6" t="s">
        <v>524</v>
      </c>
      <c r="AF458" s="6" t="s">
        <v>181</v>
      </c>
      <c r="AG458" s="6" t="s">
        <v>641</v>
      </c>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row>
    <row r="459" ht="22.5" customHeight="1">
      <c r="A459" s="4">
        <v>46229.69945638889</v>
      </c>
      <c r="B459" s="5">
        <v>0.0</v>
      </c>
      <c r="C459" s="6" t="s">
        <v>114</v>
      </c>
      <c r="D459" s="6" t="s">
        <v>1084</v>
      </c>
      <c r="E459" s="6" t="s">
        <v>1085</v>
      </c>
      <c r="F459" s="6">
        <v>6.9070500209E10</v>
      </c>
      <c r="G459" s="6" t="s">
        <v>599</v>
      </c>
      <c r="H459" s="7"/>
      <c r="I459" s="6" t="s">
        <v>6232</v>
      </c>
      <c r="J459" s="6" t="s">
        <v>6233</v>
      </c>
      <c r="K459" s="6" t="s">
        <v>6234</v>
      </c>
      <c r="L459" s="6" t="s">
        <v>6235</v>
      </c>
      <c r="M459" s="6" t="s">
        <v>6236</v>
      </c>
      <c r="N459" s="6" t="s">
        <v>6237</v>
      </c>
      <c r="O459" s="6" t="s">
        <v>6238</v>
      </c>
      <c r="P459" s="6" t="s">
        <v>6239</v>
      </c>
      <c r="Q459" s="6" t="s">
        <v>6240</v>
      </c>
      <c r="R459" s="6" t="s">
        <v>246</v>
      </c>
      <c r="S459" s="6" t="s">
        <v>147</v>
      </c>
      <c r="T459" s="6" t="s">
        <v>250</v>
      </c>
      <c r="U459" s="6" t="s">
        <v>152</v>
      </c>
      <c r="V459" s="6" t="s">
        <v>246</v>
      </c>
      <c r="W459" s="6" t="s">
        <v>158</v>
      </c>
      <c r="X459" s="6" t="s">
        <v>458</v>
      </c>
      <c r="Y459" s="6" t="s">
        <v>162</v>
      </c>
      <c r="Z459" s="6" t="s">
        <v>165</v>
      </c>
      <c r="AA459" s="6" t="s">
        <v>262</v>
      </c>
      <c r="AB459" s="6" t="s">
        <v>171</v>
      </c>
      <c r="AC459" s="6" t="s">
        <v>174</v>
      </c>
      <c r="AD459" s="6" t="s">
        <v>175</v>
      </c>
      <c r="AE459" s="6" t="s">
        <v>271</v>
      </c>
      <c r="AF459" s="6" t="s">
        <v>181</v>
      </c>
      <c r="AG459" s="6" t="s">
        <v>182</v>
      </c>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row>
    <row r="460" ht="22.5" customHeight="1">
      <c r="A460" s="4">
        <v>46229.6994638426</v>
      </c>
      <c r="B460" s="5">
        <v>0.0</v>
      </c>
      <c r="C460" s="6" t="s">
        <v>114</v>
      </c>
      <c r="D460" s="6" t="s">
        <v>1087</v>
      </c>
      <c r="E460" s="6" t="s">
        <v>1089</v>
      </c>
      <c r="F460" s="6">
        <v>6.9070501258E10</v>
      </c>
      <c r="G460" s="6" t="s">
        <v>228</v>
      </c>
      <c r="H460" s="7"/>
      <c r="I460" s="6" t="s">
        <v>6192</v>
      </c>
      <c r="J460" s="6" t="s">
        <v>3182</v>
      </c>
      <c r="K460" s="6" t="s">
        <v>3052</v>
      </c>
      <c r="L460" s="6" t="s">
        <v>5424</v>
      </c>
      <c r="M460" s="6" t="s">
        <v>6241</v>
      </c>
      <c r="N460" s="7"/>
      <c r="O460" s="6" t="s">
        <v>6242</v>
      </c>
      <c r="P460" s="6" t="s">
        <v>6243</v>
      </c>
      <c r="Q460" s="6" t="s">
        <v>6244</v>
      </c>
      <c r="R460" s="6" t="s">
        <v>246</v>
      </c>
      <c r="S460" s="6" t="s">
        <v>147</v>
      </c>
      <c r="T460" s="6" t="s">
        <v>246</v>
      </c>
      <c r="U460" s="6" t="s">
        <v>686</v>
      </c>
      <c r="V460" s="6" t="s">
        <v>246</v>
      </c>
      <c r="W460" s="6" t="s">
        <v>158</v>
      </c>
      <c r="X460" s="6" t="s">
        <v>458</v>
      </c>
      <c r="Y460" s="6" t="s">
        <v>162</v>
      </c>
      <c r="Z460" s="6" t="s">
        <v>165</v>
      </c>
      <c r="AA460" s="6" t="s">
        <v>262</v>
      </c>
      <c r="AB460" s="6" t="s">
        <v>171</v>
      </c>
      <c r="AC460" s="6" t="s">
        <v>174</v>
      </c>
      <c r="AD460" s="6" t="s">
        <v>1723</v>
      </c>
      <c r="AE460" s="6" t="s">
        <v>178</v>
      </c>
      <c r="AF460" s="6" t="s">
        <v>181</v>
      </c>
      <c r="AG460" s="6" t="s">
        <v>182</v>
      </c>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row>
    <row r="461" ht="22.5" customHeight="1">
      <c r="A461" s="4">
        <v>46229.69946909722</v>
      </c>
      <c r="B461" s="5">
        <v>0.0</v>
      </c>
      <c r="C461" s="6" t="s">
        <v>114</v>
      </c>
      <c r="D461" s="6" t="s">
        <v>1092</v>
      </c>
      <c r="E461" s="6" t="s">
        <v>1093</v>
      </c>
      <c r="F461" s="6">
        <v>6.907050005E10</v>
      </c>
      <c r="G461" s="6" t="s">
        <v>4580</v>
      </c>
      <c r="H461" s="7"/>
      <c r="I461" s="6" t="s">
        <v>6245</v>
      </c>
      <c r="J461" s="6" t="s">
        <v>6246</v>
      </c>
      <c r="K461" s="6" t="s">
        <v>6247</v>
      </c>
      <c r="L461" s="6" t="s">
        <v>4108</v>
      </c>
      <c r="M461" s="6" t="s">
        <v>6248</v>
      </c>
      <c r="N461" s="7"/>
      <c r="O461" s="6" t="s">
        <v>6249</v>
      </c>
      <c r="P461" s="6" t="s">
        <v>6250</v>
      </c>
      <c r="Q461" s="6" t="s">
        <v>6251</v>
      </c>
      <c r="R461" s="6" t="s">
        <v>246</v>
      </c>
      <c r="S461" s="6" t="s">
        <v>147</v>
      </c>
      <c r="T461" s="6" t="s">
        <v>250</v>
      </c>
      <c r="U461" s="6" t="s">
        <v>252</v>
      </c>
      <c r="V461" s="6" t="s">
        <v>246</v>
      </c>
      <c r="W461" s="6" t="s">
        <v>158</v>
      </c>
      <c r="X461" s="6" t="s">
        <v>257</v>
      </c>
      <c r="Y461" s="6" t="s">
        <v>162</v>
      </c>
      <c r="Z461" s="6" t="s">
        <v>165</v>
      </c>
      <c r="AA461" s="6" t="s">
        <v>262</v>
      </c>
      <c r="AB461" s="6" t="s">
        <v>171</v>
      </c>
      <c r="AC461" s="6" t="s">
        <v>174</v>
      </c>
      <c r="AD461" s="6" t="s">
        <v>175</v>
      </c>
      <c r="AE461" s="6" t="s">
        <v>271</v>
      </c>
      <c r="AF461" s="6" t="s">
        <v>181</v>
      </c>
      <c r="AG461" s="6" t="s">
        <v>182</v>
      </c>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row>
    <row r="462" ht="22.5" customHeight="1">
      <c r="A462" s="4">
        <v>46229.69946916666</v>
      </c>
      <c r="B462" s="5">
        <v>0.0</v>
      </c>
      <c r="C462" s="6" t="s">
        <v>114</v>
      </c>
      <c r="D462" s="6" t="s">
        <v>1094</v>
      </c>
      <c r="E462" s="6" t="s">
        <v>1095</v>
      </c>
      <c r="F462" s="6">
        <v>6.9070500244E10</v>
      </c>
      <c r="G462" s="6" t="s">
        <v>599</v>
      </c>
      <c r="H462" s="7"/>
      <c r="I462" s="6" t="s">
        <v>3975</v>
      </c>
      <c r="J462" s="6" t="s">
        <v>6252</v>
      </c>
      <c r="K462" s="6" t="s">
        <v>6253</v>
      </c>
      <c r="L462" s="6" t="s">
        <v>6254</v>
      </c>
      <c r="M462" s="6" t="s">
        <v>5567</v>
      </c>
      <c r="N462" s="6" t="s">
        <v>3156</v>
      </c>
      <c r="O462" s="6" t="s">
        <v>6255</v>
      </c>
      <c r="P462" s="6" t="s">
        <v>6256</v>
      </c>
      <c r="Q462" s="6" t="s">
        <v>6257</v>
      </c>
      <c r="R462" s="6" t="s">
        <v>246</v>
      </c>
      <c r="S462" s="6" t="s">
        <v>147</v>
      </c>
      <c r="T462" s="6" t="s">
        <v>250</v>
      </c>
      <c r="U462" s="6" t="s">
        <v>252</v>
      </c>
      <c r="V462" s="6" t="s">
        <v>155</v>
      </c>
      <c r="W462" s="6" t="s">
        <v>158</v>
      </c>
      <c r="X462" s="6" t="s">
        <v>257</v>
      </c>
      <c r="Y462" s="6" t="s">
        <v>162</v>
      </c>
      <c r="Z462" s="6" t="s">
        <v>165</v>
      </c>
      <c r="AA462" s="6" t="s">
        <v>262</v>
      </c>
      <c r="AB462" s="6" t="s">
        <v>171</v>
      </c>
      <c r="AC462" s="6" t="s">
        <v>174</v>
      </c>
      <c r="AD462" s="6" t="s">
        <v>175</v>
      </c>
      <c r="AE462" s="6" t="s">
        <v>271</v>
      </c>
      <c r="AF462" s="6" t="s">
        <v>181</v>
      </c>
      <c r="AG462" s="6" t="s">
        <v>182</v>
      </c>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row>
    <row r="463" ht="22.5" customHeight="1">
      <c r="A463" s="4">
        <v>46229.69947319444</v>
      </c>
      <c r="B463" s="5">
        <v>0.0</v>
      </c>
      <c r="C463" s="6" t="s">
        <v>114</v>
      </c>
      <c r="D463" s="6" t="s">
        <v>540</v>
      </c>
      <c r="E463" s="6" t="s">
        <v>1096</v>
      </c>
      <c r="F463" s="6">
        <v>6.907050123E10</v>
      </c>
      <c r="G463" s="6" t="s">
        <v>228</v>
      </c>
      <c r="H463" s="6" t="s">
        <v>6258</v>
      </c>
      <c r="I463" s="6" t="s">
        <v>6259</v>
      </c>
      <c r="J463" s="6" t="s">
        <v>6260</v>
      </c>
      <c r="K463" s="6" t="s">
        <v>6261</v>
      </c>
      <c r="L463" s="6" t="s">
        <v>6262</v>
      </c>
      <c r="M463" s="6" t="s">
        <v>6263</v>
      </c>
      <c r="N463" s="6" t="s">
        <v>6264</v>
      </c>
      <c r="O463" s="6" t="s">
        <v>6265</v>
      </c>
      <c r="P463" s="6" t="s">
        <v>6266</v>
      </c>
      <c r="Q463" s="6" t="s">
        <v>6267</v>
      </c>
      <c r="R463" s="6" t="s">
        <v>246</v>
      </c>
      <c r="S463" s="6" t="s">
        <v>147</v>
      </c>
      <c r="T463" s="6" t="s">
        <v>250</v>
      </c>
      <c r="U463" s="6" t="s">
        <v>252</v>
      </c>
      <c r="V463" s="6" t="s">
        <v>246</v>
      </c>
      <c r="W463" s="6" t="s">
        <v>158</v>
      </c>
      <c r="X463" s="6" t="s">
        <v>257</v>
      </c>
      <c r="Y463" s="6" t="s">
        <v>162</v>
      </c>
      <c r="Z463" s="6" t="s">
        <v>165</v>
      </c>
      <c r="AA463" s="6" t="s">
        <v>262</v>
      </c>
      <c r="AB463" s="6" t="s">
        <v>3847</v>
      </c>
      <c r="AC463" s="6" t="s">
        <v>174</v>
      </c>
      <c r="AD463" s="6" t="s">
        <v>175</v>
      </c>
      <c r="AE463" s="6" t="s">
        <v>271</v>
      </c>
      <c r="AF463" s="6" t="s">
        <v>181</v>
      </c>
      <c r="AG463" s="6" t="s">
        <v>182</v>
      </c>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row>
    <row r="464" ht="22.5" customHeight="1">
      <c r="A464" s="4">
        <v>46229.69947934028</v>
      </c>
      <c r="B464" s="5">
        <v>0.0</v>
      </c>
      <c r="C464" s="6" t="s">
        <v>114</v>
      </c>
      <c r="D464" s="6" t="s">
        <v>1097</v>
      </c>
      <c r="E464" s="6" t="s">
        <v>1098</v>
      </c>
      <c r="F464" s="6">
        <v>6.9070500449E10</v>
      </c>
      <c r="G464" s="6" t="s">
        <v>310</v>
      </c>
      <c r="H464" s="7"/>
      <c r="I464" s="6" t="s">
        <v>6268</v>
      </c>
      <c r="J464" s="6" t="s">
        <v>6269</v>
      </c>
      <c r="K464" s="6" t="s">
        <v>6270</v>
      </c>
      <c r="L464" s="6" t="s">
        <v>6271</v>
      </c>
      <c r="M464" s="6" t="s">
        <v>6272</v>
      </c>
      <c r="N464" s="6" t="s">
        <v>3554</v>
      </c>
      <c r="O464" s="6" t="s">
        <v>6273</v>
      </c>
      <c r="P464" s="6" t="s">
        <v>6274</v>
      </c>
      <c r="Q464" s="6" t="s">
        <v>6275</v>
      </c>
      <c r="R464" s="6" t="s">
        <v>257</v>
      </c>
      <c r="S464" s="6" t="s">
        <v>147</v>
      </c>
      <c r="T464" s="6" t="s">
        <v>250</v>
      </c>
      <c r="U464" s="6" t="s">
        <v>686</v>
      </c>
      <c r="V464" s="6" t="s">
        <v>246</v>
      </c>
      <c r="W464" s="6" t="s">
        <v>158</v>
      </c>
      <c r="X464" s="6" t="s">
        <v>246</v>
      </c>
      <c r="Y464" s="6" t="s">
        <v>162</v>
      </c>
      <c r="Z464" s="6" t="s">
        <v>165</v>
      </c>
      <c r="AA464" s="6" t="s">
        <v>262</v>
      </c>
      <c r="AB464" s="6" t="s">
        <v>171</v>
      </c>
      <c r="AC464" s="6" t="s">
        <v>174</v>
      </c>
      <c r="AD464" s="6" t="s">
        <v>175</v>
      </c>
      <c r="AE464" s="6" t="s">
        <v>1211</v>
      </c>
      <c r="AF464" s="6" t="s">
        <v>181</v>
      </c>
      <c r="AG464" s="6" t="s">
        <v>641</v>
      </c>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row>
    <row r="465" ht="22.5" customHeight="1">
      <c r="A465" s="4">
        <v>46229.69949254629</v>
      </c>
      <c r="B465" s="5">
        <v>0.0</v>
      </c>
      <c r="C465" s="6" t="s">
        <v>114</v>
      </c>
      <c r="D465" s="6" t="s">
        <v>1099</v>
      </c>
      <c r="E465" s="6" t="s">
        <v>1100</v>
      </c>
      <c r="F465" s="6">
        <v>6.9070502492E10</v>
      </c>
      <c r="G465" s="6" t="s">
        <v>122</v>
      </c>
      <c r="H465" s="6" t="s">
        <v>6276</v>
      </c>
      <c r="I465" s="6" t="s">
        <v>6277</v>
      </c>
      <c r="J465" s="6" t="s">
        <v>6278</v>
      </c>
      <c r="K465" s="6" t="s">
        <v>6279</v>
      </c>
      <c r="L465" s="6" t="s">
        <v>6280</v>
      </c>
      <c r="M465" s="6" t="s">
        <v>5574</v>
      </c>
      <c r="N465" s="7"/>
      <c r="O465" s="6" t="s">
        <v>6281</v>
      </c>
      <c r="P465" s="6" t="s">
        <v>6282</v>
      </c>
      <c r="Q465" s="6" t="s">
        <v>6283</v>
      </c>
      <c r="R465" s="6" t="s">
        <v>246</v>
      </c>
      <c r="S465" s="6" t="s">
        <v>147</v>
      </c>
      <c r="T465" s="6" t="s">
        <v>250</v>
      </c>
      <c r="U465" s="6" t="s">
        <v>560</v>
      </c>
      <c r="V465" s="6" t="s">
        <v>246</v>
      </c>
      <c r="W465" s="6" t="s">
        <v>158</v>
      </c>
      <c r="X465" s="6" t="s">
        <v>458</v>
      </c>
      <c r="Y465" s="6" t="s">
        <v>162</v>
      </c>
      <c r="Z465" s="6" t="s">
        <v>165</v>
      </c>
      <c r="AA465" s="6" t="s">
        <v>262</v>
      </c>
      <c r="AB465" s="6" t="s">
        <v>171</v>
      </c>
      <c r="AC465" s="6" t="s">
        <v>174</v>
      </c>
      <c r="AD465" s="6" t="s">
        <v>175</v>
      </c>
      <c r="AE465" s="6" t="s">
        <v>271</v>
      </c>
      <c r="AF465" s="6" t="s">
        <v>181</v>
      </c>
      <c r="AG465" s="6" t="s">
        <v>182</v>
      </c>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row>
    <row r="466" ht="22.5" customHeight="1">
      <c r="A466" s="4">
        <v>46229.69950545139</v>
      </c>
      <c r="B466" s="5">
        <v>0.0</v>
      </c>
      <c r="C466" s="6" t="s">
        <v>114</v>
      </c>
      <c r="D466" s="6" t="s">
        <v>1101</v>
      </c>
      <c r="E466" s="6" t="s">
        <v>1102</v>
      </c>
      <c r="F466" s="6">
        <v>6.9070502243E10</v>
      </c>
      <c r="G466" s="6" t="s">
        <v>496</v>
      </c>
      <c r="H466" s="7"/>
      <c r="I466" s="6" t="s">
        <v>6284</v>
      </c>
      <c r="J466" s="6" t="s">
        <v>6285</v>
      </c>
      <c r="K466" s="6" t="s">
        <v>6286</v>
      </c>
      <c r="L466" s="6" t="s">
        <v>6287</v>
      </c>
      <c r="M466" s="6" t="s">
        <v>6287</v>
      </c>
      <c r="N466" s="7"/>
      <c r="O466" s="6" t="s">
        <v>6288</v>
      </c>
      <c r="P466" s="6" t="s">
        <v>6289</v>
      </c>
      <c r="Q466" s="6" t="s">
        <v>6290</v>
      </c>
      <c r="R466" s="6" t="s">
        <v>257</v>
      </c>
      <c r="S466" s="6" t="s">
        <v>147</v>
      </c>
      <c r="T466" s="6" t="s">
        <v>250</v>
      </c>
      <c r="U466" s="6" t="s">
        <v>252</v>
      </c>
      <c r="V466" s="6" t="s">
        <v>246</v>
      </c>
      <c r="W466" s="6" t="s">
        <v>158</v>
      </c>
      <c r="X466" s="6" t="s">
        <v>257</v>
      </c>
      <c r="Y466" s="6" t="s">
        <v>162</v>
      </c>
      <c r="Z466" s="6" t="s">
        <v>165</v>
      </c>
      <c r="AA466" s="6" t="s">
        <v>262</v>
      </c>
      <c r="AB466" s="6" t="s">
        <v>171</v>
      </c>
      <c r="AC466" s="6" t="s">
        <v>174</v>
      </c>
      <c r="AD466" s="6" t="s">
        <v>175</v>
      </c>
      <c r="AE466" s="6" t="s">
        <v>271</v>
      </c>
      <c r="AF466" s="6" t="s">
        <v>181</v>
      </c>
      <c r="AG466" s="6" t="s">
        <v>182</v>
      </c>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row>
    <row r="467" ht="22.5" customHeight="1">
      <c r="A467" s="4">
        <v>46229.69951457176</v>
      </c>
      <c r="B467" s="5">
        <v>0.0</v>
      </c>
      <c r="C467" s="6" t="s">
        <v>114</v>
      </c>
      <c r="D467" s="6" t="s">
        <v>1103</v>
      </c>
      <c r="E467" s="6" t="s">
        <v>1104</v>
      </c>
      <c r="F467" s="6">
        <v>6.9070506452E10</v>
      </c>
      <c r="G467" s="6" t="s">
        <v>599</v>
      </c>
      <c r="H467" s="7"/>
      <c r="I467" s="6" t="s">
        <v>5037</v>
      </c>
      <c r="J467" s="6" t="s">
        <v>4368</v>
      </c>
      <c r="K467" s="6" t="s">
        <v>6291</v>
      </c>
      <c r="L467" s="6" t="s">
        <v>6292</v>
      </c>
      <c r="M467" s="6" t="s">
        <v>4608</v>
      </c>
      <c r="N467" s="6" t="s">
        <v>6293</v>
      </c>
      <c r="O467" s="6" t="s">
        <v>6294</v>
      </c>
      <c r="P467" s="6" t="s">
        <v>6295</v>
      </c>
      <c r="Q467" s="6" t="s">
        <v>6296</v>
      </c>
      <c r="R467" s="6" t="s">
        <v>257</v>
      </c>
      <c r="S467" s="6" t="s">
        <v>147</v>
      </c>
      <c r="T467" s="6" t="s">
        <v>246</v>
      </c>
      <c r="U467" s="6" t="s">
        <v>2254</v>
      </c>
      <c r="V467" s="6" t="s">
        <v>155</v>
      </c>
      <c r="W467" s="6" t="s">
        <v>158</v>
      </c>
      <c r="X467" s="6" t="s">
        <v>257</v>
      </c>
      <c r="Y467" s="6" t="s">
        <v>162</v>
      </c>
      <c r="Z467" s="6" t="s">
        <v>165</v>
      </c>
      <c r="AA467" s="6" t="s">
        <v>1322</v>
      </c>
      <c r="AB467" s="6" t="s">
        <v>171</v>
      </c>
      <c r="AC467" s="6" t="s">
        <v>633</v>
      </c>
      <c r="AD467" s="6" t="s">
        <v>175</v>
      </c>
      <c r="AE467" s="6" t="s">
        <v>271</v>
      </c>
      <c r="AF467" s="6" t="s">
        <v>174</v>
      </c>
      <c r="AG467" s="6" t="s">
        <v>182</v>
      </c>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row>
    <row r="468" ht="22.5" customHeight="1">
      <c r="A468" s="4">
        <v>46229.69951502315</v>
      </c>
      <c r="B468" s="5">
        <v>0.0</v>
      </c>
      <c r="C468" s="6" t="s">
        <v>114</v>
      </c>
      <c r="D468" s="6" t="s">
        <v>1105</v>
      </c>
      <c r="E468" s="6" t="s">
        <v>1106</v>
      </c>
      <c r="F468" s="6">
        <v>6.907050242E10</v>
      </c>
      <c r="G468" s="6" t="s">
        <v>122</v>
      </c>
      <c r="H468" s="6" t="s">
        <v>6297</v>
      </c>
      <c r="I468" s="6" t="s">
        <v>6298</v>
      </c>
      <c r="J468" s="6" t="s">
        <v>6204</v>
      </c>
      <c r="K468" s="6" t="s">
        <v>6299</v>
      </c>
      <c r="L468" s="6" t="s">
        <v>6300</v>
      </c>
      <c r="M468" s="6" t="s">
        <v>6301</v>
      </c>
      <c r="N468" s="7"/>
      <c r="O468" s="6" t="s">
        <v>6302</v>
      </c>
      <c r="P468" s="6" t="s">
        <v>6303</v>
      </c>
      <c r="Q468" s="6" t="s">
        <v>6304</v>
      </c>
      <c r="R468" s="6" t="s">
        <v>246</v>
      </c>
      <c r="S468" s="6" t="s">
        <v>147</v>
      </c>
      <c r="T468" s="6" t="s">
        <v>250</v>
      </c>
      <c r="U468" s="6" t="s">
        <v>252</v>
      </c>
      <c r="V468" s="6" t="s">
        <v>246</v>
      </c>
      <c r="W468" s="6" t="s">
        <v>158</v>
      </c>
      <c r="X468" s="6" t="s">
        <v>257</v>
      </c>
      <c r="Y468" s="6" t="s">
        <v>162</v>
      </c>
      <c r="Z468" s="6" t="s">
        <v>165</v>
      </c>
      <c r="AA468" s="6" t="s">
        <v>262</v>
      </c>
      <c r="AB468" s="6" t="s">
        <v>1266</v>
      </c>
      <c r="AC468" s="6" t="s">
        <v>174</v>
      </c>
      <c r="AD468" s="6" t="s">
        <v>175</v>
      </c>
      <c r="AE468" s="6" t="s">
        <v>271</v>
      </c>
      <c r="AF468" s="6" t="s">
        <v>181</v>
      </c>
      <c r="AG468" s="6" t="s">
        <v>182</v>
      </c>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row>
    <row r="469" ht="22.5" customHeight="1">
      <c r="A469" s="4">
        <v>46229.699516747685</v>
      </c>
      <c r="B469" s="5">
        <v>0.0</v>
      </c>
      <c r="C469" s="6" t="s">
        <v>114</v>
      </c>
      <c r="D469" s="6" t="s">
        <v>1107</v>
      </c>
      <c r="E469" s="6" t="s">
        <v>1108</v>
      </c>
      <c r="F469" s="6">
        <v>6.9070500211E10</v>
      </c>
      <c r="G469" s="6" t="s">
        <v>599</v>
      </c>
      <c r="H469" s="7"/>
      <c r="I469" s="6" t="s">
        <v>5745</v>
      </c>
      <c r="J469" s="6" t="s">
        <v>3657</v>
      </c>
      <c r="K469" s="6" t="s">
        <v>6118</v>
      </c>
      <c r="L469" s="6" t="s">
        <v>6305</v>
      </c>
      <c r="M469" s="6" t="s">
        <v>6306</v>
      </c>
      <c r="N469" s="7"/>
      <c r="O469" s="6" t="s">
        <v>6307</v>
      </c>
      <c r="P469" s="6" t="s">
        <v>6308</v>
      </c>
      <c r="Q469" s="6" t="s">
        <v>6309</v>
      </c>
      <c r="R469" s="6" t="s">
        <v>246</v>
      </c>
      <c r="S469" s="6" t="s">
        <v>147</v>
      </c>
      <c r="T469" s="6" t="s">
        <v>250</v>
      </c>
      <c r="U469" s="6" t="s">
        <v>560</v>
      </c>
      <c r="V469" s="6" t="s">
        <v>246</v>
      </c>
      <c r="W469" s="6" t="s">
        <v>158</v>
      </c>
      <c r="X469" s="6" t="s">
        <v>257</v>
      </c>
      <c r="Y469" s="6" t="s">
        <v>162</v>
      </c>
      <c r="Z469" s="6" t="s">
        <v>165</v>
      </c>
      <c r="AA469" s="6" t="s">
        <v>262</v>
      </c>
      <c r="AB469" s="6" t="s">
        <v>171</v>
      </c>
      <c r="AC469" s="6" t="s">
        <v>174</v>
      </c>
      <c r="AD469" s="6" t="s">
        <v>175</v>
      </c>
      <c r="AE469" s="6" t="s">
        <v>271</v>
      </c>
      <c r="AF469" s="6" t="s">
        <v>181</v>
      </c>
      <c r="AG469" s="6" t="s">
        <v>182</v>
      </c>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row>
    <row r="470" ht="22.5" customHeight="1">
      <c r="A470" s="4">
        <v>46229.699521111106</v>
      </c>
      <c r="B470" s="5">
        <v>0.0</v>
      </c>
      <c r="C470" s="6" t="s">
        <v>3296</v>
      </c>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6" t="s">
        <v>2656</v>
      </c>
      <c r="AI470" s="6" t="s">
        <v>2657</v>
      </c>
      <c r="AJ470" s="6">
        <v>6.9070509007E10</v>
      </c>
      <c r="AK470" s="6" t="s">
        <v>5042</v>
      </c>
      <c r="AL470" s="6" t="s">
        <v>6310</v>
      </c>
      <c r="AM470" s="6" t="s">
        <v>6311</v>
      </c>
      <c r="AN470" s="6" t="s">
        <v>6312</v>
      </c>
      <c r="AO470" s="6" t="s">
        <v>6313</v>
      </c>
      <c r="AP470" s="6" t="s">
        <v>6313</v>
      </c>
      <c r="AQ470" s="6" t="s">
        <v>6314</v>
      </c>
      <c r="AR470" s="6" t="s">
        <v>6315</v>
      </c>
      <c r="AS470" s="6" t="s">
        <v>6316</v>
      </c>
      <c r="AT470" s="6" t="s">
        <v>6317</v>
      </c>
      <c r="AU470" s="6" t="s">
        <v>6317</v>
      </c>
      <c r="AV470" s="6" t="s">
        <v>3312</v>
      </c>
      <c r="AW470" s="6" t="s">
        <v>3307</v>
      </c>
      <c r="AX470" s="6" t="s">
        <v>3308</v>
      </c>
      <c r="AY470" s="6" t="s">
        <v>804</v>
      </c>
      <c r="AZ470" s="6" t="s">
        <v>3306</v>
      </c>
      <c r="BA470" s="6" t="s">
        <v>3311</v>
      </c>
      <c r="BB470" s="6" t="s">
        <v>4693</v>
      </c>
      <c r="BC470" s="6" t="s">
        <v>3313</v>
      </c>
      <c r="BD470" s="6" t="s">
        <v>165</v>
      </c>
      <c r="BE470" s="6" t="s">
        <v>3888</v>
      </c>
      <c r="BF470" s="6" t="s">
        <v>3889</v>
      </c>
      <c r="BG470" s="6" t="s">
        <v>3316</v>
      </c>
      <c r="BH470" s="6" t="s">
        <v>5246</v>
      </c>
      <c r="BI470" s="6" t="s">
        <v>3105</v>
      </c>
      <c r="BJ470" s="6" t="s">
        <v>3318</v>
      </c>
      <c r="BK470" s="6" t="s">
        <v>3319</v>
      </c>
    </row>
    <row r="471" ht="22.5" customHeight="1">
      <c r="A471" s="4">
        <v>46229.699522939816</v>
      </c>
      <c r="B471" s="5">
        <v>0.0</v>
      </c>
      <c r="C471" s="6" t="s">
        <v>114</v>
      </c>
      <c r="D471" s="6" t="s">
        <v>1109</v>
      </c>
      <c r="E471" s="6" t="s">
        <v>1110</v>
      </c>
      <c r="F471" s="6">
        <v>6.9070501047E10</v>
      </c>
      <c r="G471" s="6" t="s">
        <v>1470</v>
      </c>
      <c r="H471" s="6" t="s">
        <v>6318</v>
      </c>
      <c r="I471" s="6" t="s">
        <v>6319</v>
      </c>
      <c r="J471" s="6" t="s">
        <v>6320</v>
      </c>
      <c r="K471" s="6" t="s">
        <v>6321</v>
      </c>
      <c r="L471" s="6" t="s">
        <v>6322</v>
      </c>
      <c r="M471" s="6" t="s">
        <v>6323</v>
      </c>
      <c r="N471" s="7"/>
      <c r="O471" s="6" t="s">
        <v>6324</v>
      </c>
      <c r="P471" s="6" t="s">
        <v>6325</v>
      </c>
      <c r="Q471" s="6" t="s">
        <v>6326</v>
      </c>
      <c r="R471" s="6" t="s">
        <v>246</v>
      </c>
      <c r="S471" s="6" t="s">
        <v>147</v>
      </c>
      <c r="T471" s="6" t="s">
        <v>250</v>
      </c>
      <c r="U471" s="6" t="s">
        <v>252</v>
      </c>
      <c r="V471" s="6" t="s">
        <v>246</v>
      </c>
      <c r="W471" s="6" t="s">
        <v>158</v>
      </c>
      <c r="X471" s="6" t="s">
        <v>257</v>
      </c>
      <c r="Y471" s="6" t="s">
        <v>162</v>
      </c>
      <c r="Z471" s="6" t="s">
        <v>165</v>
      </c>
      <c r="AA471" s="6" t="s">
        <v>262</v>
      </c>
      <c r="AB471" s="6" t="s">
        <v>1266</v>
      </c>
      <c r="AC471" s="6" t="s">
        <v>174</v>
      </c>
      <c r="AD471" s="6" t="s">
        <v>175</v>
      </c>
      <c r="AE471" s="6" t="s">
        <v>271</v>
      </c>
      <c r="AF471" s="6" t="s">
        <v>181</v>
      </c>
      <c r="AG471" s="6" t="s">
        <v>182</v>
      </c>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row>
    <row r="472" ht="22.5" customHeight="1">
      <c r="A472" s="4">
        <v>46229.699527199075</v>
      </c>
      <c r="B472" s="5">
        <v>0.0</v>
      </c>
      <c r="C472" s="6" t="s">
        <v>114</v>
      </c>
      <c r="D472" s="6" t="s">
        <v>1111</v>
      </c>
      <c r="E472" s="6" t="s">
        <v>1112</v>
      </c>
      <c r="F472" s="6">
        <v>6.9070500238E10</v>
      </c>
      <c r="G472" s="6" t="s">
        <v>599</v>
      </c>
      <c r="H472" s="6" t="s">
        <v>2633</v>
      </c>
      <c r="I472" s="6" t="s">
        <v>5140</v>
      </c>
      <c r="J472" s="6" t="s">
        <v>6327</v>
      </c>
      <c r="K472" s="6" t="s">
        <v>6328</v>
      </c>
      <c r="L472" s="6" t="s">
        <v>6329</v>
      </c>
      <c r="M472" s="6" t="s">
        <v>6330</v>
      </c>
      <c r="N472" s="7"/>
      <c r="O472" s="6" t="s">
        <v>6331</v>
      </c>
      <c r="P472" s="6" t="s">
        <v>6332</v>
      </c>
      <c r="Q472" s="6" t="s">
        <v>6333</v>
      </c>
      <c r="R472" s="6" t="s">
        <v>246</v>
      </c>
      <c r="S472" s="6" t="s">
        <v>147</v>
      </c>
      <c r="T472" s="6" t="s">
        <v>250</v>
      </c>
      <c r="U472" s="6" t="s">
        <v>252</v>
      </c>
      <c r="V472" s="6" t="s">
        <v>246</v>
      </c>
      <c r="W472" s="6" t="s">
        <v>158</v>
      </c>
      <c r="X472" s="6" t="s">
        <v>257</v>
      </c>
      <c r="Y472" s="6" t="s">
        <v>162</v>
      </c>
      <c r="Z472" s="6" t="s">
        <v>165</v>
      </c>
      <c r="AA472" s="6" t="s">
        <v>262</v>
      </c>
      <c r="AB472" s="6" t="s">
        <v>171</v>
      </c>
      <c r="AC472" s="6" t="s">
        <v>174</v>
      </c>
      <c r="AD472" s="6" t="s">
        <v>175</v>
      </c>
      <c r="AE472" s="6" t="s">
        <v>271</v>
      </c>
      <c r="AF472" s="6" t="s">
        <v>181</v>
      </c>
      <c r="AG472" s="6" t="s">
        <v>182</v>
      </c>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row>
    <row r="473" ht="22.5" customHeight="1">
      <c r="A473" s="4">
        <v>46229.69953697917</v>
      </c>
      <c r="B473" s="5">
        <v>0.0</v>
      </c>
      <c r="C473" s="6" t="s">
        <v>114</v>
      </c>
      <c r="D473" s="6" t="s">
        <v>1113</v>
      </c>
      <c r="E473" s="6" t="s">
        <v>1114</v>
      </c>
      <c r="F473" s="6">
        <v>6.9070500499E10</v>
      </c>
      <c r="G473" s="6" t="s">
        <v>310</v>
      </c>
      <c r="H473" s="7"/>
      <c r="I473" s="6" t="s">
        <v>6334</v>
      </c>
      <c r="J473" s="6" t="s">
        <v>6335</v>
      </c>
      <c r="K473" s="6" t="s">
        <v>6336</v>
      </c>
      <c r="L473" s="6" t="s">
        <v>6337</v>
      </c>
      <c r="M473" s="6" t="s">
        <v>6338</v>
      </c>
      <c r="N473" s="7"/>
      <c r="O473" s="6" t="s">
        <v>6339</v>
      </c>
      <c r="P473" s="6" t="s">
        <v>6340</v>
      </c>
      <c r="Q473" s="6" t="s">
        <v>6341</v>
      </c>
      <c r="R473" s="6" t="s">
        <v>246</v>
      </c>
      <c r="S473" s="6" t="s">
        <v>147</v>
      </c>
      <c r="T473" s="6" t="s">
        <v>250</v>
      </c>
      <c r="U473" s="6" t="s">
        <v>152</v>
      </c>
      <c r="V473" s="6" t="s">
        <v>246</v>
      </c>
      <c r="W473" s="6" t="s">
        <v>158</v>
      </c>
      <c r="X473" s="6" t="s">
        <v>257</v>
      </c>
      <c r="Y473" s="6" t="s">
        <v>162</v>
      </c>
      <c r="Z473" s="6" t="s">
        <v>165</v>
      </c>
      <c r="AA473" s="6" t="s">
        <v>262</v>
      </c>
      <c r="AB473" s="6" t="s">
        <v>1266</v>
      </c>
      <c r="AC473" s="6" t="s">
        <v>174</v>
      </c>
      <c r="AD473" s="6" t="s">
        <v>175</v>
      </c>
      <c r="AE473" s="6" t="s">
        <v>271</v>
      </c>
      <c r="AF473" s="6" t="s">
        <v>181</v>
      </c>
      <c r="AG473" s="6" t="s">
        <v>182</v>
      </c>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row>
    <row r="474" ht="22.5" customHeight="1">
      <c r="A474" s="4">
        <v>46229.69954346065</v>
      </c>
      <c r="B474" s="5">
        <v>0.0</v>
      </c>
      <c r="C474" s="6" t="s">
        <v>114</v>
      </c>
      <c r="D474" s="6" t="s">
        <v>1115</v>
      </c>
      <c r="E474" s="6" t="s">
        <v>1116</v>
      </c>
      <c r="F474" s="6">
        <v>6.9070500487E10</v>
      </c>
      <c r="G474" s="6" t="s">
        <v>310</v>
      </c>
      <c r="H474" s="7"/>
      <c r="I474" s="6" t="s">
        <v>6342</v>
      </c>
      <c r="J474" s="6" t="s">
        <v>6343</v>
      </c>
      <c r="K474" s="6" t="s">
        <v>6344</v>
      </c>
      <c r="L474" s="6" t="s">
        <v>4669</v>
      </c>
      <c r="M474" s="6" t="s">
        <v>6345</v>
      </c>
      <c r="N474" s="7"/>
      <c r="O474" s="6" t="s">
        <v>6346</v>
      </c>
      <c r="P474" s="6" t="s">
        <v>6347</v>
      </c>
      <c r="Q474" s="6" t="s">
        <v>6348</v>
      </c>
      <c r="R474" s="6" t="s">
        <v>246</v>
      </c>
      <c r="S474" s="6" t="s">
        <v>147</v>
      </c>
      <c r="T474" s="6" t="s">
        <v>250</v>
      </c>
      <c r="U474" s="6" t="s">
        <v>152</v>
      </c>
      <c r="V474" s="6" t="s">
        <v>246</v>
      </c>
      <c r="W474" s="6" t="s">
        <v>158</v>
      </c>
      <c r="X474" s="6" t="s">
        <v>257</v>
      </c>
      <c r="Y474" s="6" t="s">
        <v>162</v>
      </c>
      <c r="Z474" s="6" t="s">
        <v>165</v>
      </c>
      <c r="AA474" s="6" t="s">
        <v>262</v>
      </c>
      <c r="AB474" s="6" t="s">
        <v>171</v>
      </c>
      <c r="AC474" s="6" t="s">
        <v>174</v>
      </c>
      <c r="AD474" s="6" t="s">
        <v>175</v>
      </c>
      <c r="AE474" s="6" t="s">
        <v>271</v>
      </c>
      <c r="AF474" s="6" t="s">
        <v>181</v>
      </c>
      <c r="AG474" s="6" t="s">
        <v>182</v>
      </c>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row>
    <row r="475" ht="22.5" customHeight="1">
      <c r="A475" s="4">
        <v>46229.699550474535</v>
      </c>
      <c r="B475" s="5">
        <v>0.0</v>
      </c>
      <c r="C475" s="6" t="s">
        <v>114</v>
      </c>
      <c r="D475" s="6" t="s">
        <v>1117</v>
      </c>
      <c r="E475" s="6" t="s">
        <v>1118</v>
      </c>
      <c r="F475" s="6">
        <v>6.9070500432E10</v>
      </c>
      <c r="G475" s="6" t="s">
        <v>310</v>
      </c>
      <c r="H475" s="7"/>
      <c r="I475" s="6" t="s">
        <v>6349</v>
      </c>
      <c r="J475" s="6" t="s">
        <v>6350</v>
      </c>
      <c r="K475" s="6" t="s">
        <v>6351</v>
      </c>
      <c r="L475" s="6" t="s">
        <v>6352</v>
      </c>
      <c r="M475" s="6" t="s">
        <v>6353</v>
      </c>
      <c r="N475" s="7"/>
      <c r="O475" s="6" t="s">
        <v>6354</v>
      </c>
      <c r="P475" s="6" t="s">
        <v>6355</v>
      </c>
      <c r="Q475" s="6" t="s">
        <v>6356</v>
      </c>
      <c r="R475" s="6" t="s">
        <v>246</v>
      </c>
      <c r="S475" s="6" t="s">
        <v>147</v>
      </c>
      <c r="T475" s="6" t="s">
        <v>250</v>
      </c>
      <c r="U475" s="6" t="s">
        <v>560</v>
      </c>
      <c r="V475" s="6" t="s">
        <v>246</v>
      </c>
      <c r="W475" s="6" t="s">
        <v>158</v>
      </c>
      <c r="X475" s="6" t="s">
        <v>257</v>
      </c>
      <c r="Y475" s="6" t="s">
        <v>162</v>
      </c>
      <c r="Z475" s="6" t="s">
        <v>165</v>
      </c>
      <c r="AA475" s="6" t="s">
        <v>262</v>
      </c>
      <c r="AB475" s="6" t="s">
        <v>171</v>
      </c>
      <c r="AC475" s="6" t="s">
        <v>174</v>
      </c>
      <c r="AD475" s="6" t="s">
        <v>175</v>
      </c>
      <c r="AE475" s="6" t="s">
        <v>271</v>
      </c>
      <c r="AF475" s="6" t="s">
        <v>181</v>
      </c>
      <c r="AG475" s="6" t="s">
        <v>182</v>
      </c>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row>
    <row r="476" ht="22.5" customHeight="1">
      <c r="A476" s="4">
        <v>46229.69956335648</v>
      </c>
      <c r="B476" s="5">
        <v>0.0</v>
      </c>
      <c r="C476" s="6" t="s">
        <v>114</v>
      </c>
      <c r="D476" s="6" t="s">
        <v>1119</v>
      </c>
      <c r="E476" s="6" t="s">
        <v>1120</v>
      </c>
      <c r="F476" s="6">
        <v>6.9070509625E10</v>
      </c>
      <c r="G476" s="6" t="s">
        <v>730</v>
      </c>
      <c r="H476" s="6" t="s">
        <v>6357</v>
      </c>
      <c r="I476" s="6" t="s">
        <v>5385</v>
      </c>
      <c r="J476" s="6" t="s">
        <v>3338</v>
      </c>
      <c r="K476" s="6" t="s">
        <v>5350</v>
      </c>
      <c r="L476" s="6" t="s">
        <v>6358</v>
      </c>
      <c r="M476" s="6" t="s">
        <v>6359</v>
      </c>
      <c r="N476" s="6" t="s">
        <v>6360</v>
      </c>
      <c r="O476" s="6" t="s">
        <v>6361</v>
      </c>
      <c r="P476" s="6" t="s">
        <v>6362</v>
      </c>
      <c r="Q476" s="6" t="s">
        <v>6363</v>
      </c>
      <c r="R476" s="6" t="s">
        <v>246</v>
      </c>
      <c r="S476" s="6" t="s">
        <v>147</v>
      </c>
      <c r="T476" s="6" t="s">
        <v>246</v>
      </c>
      <c r="U476" s="6" t="s">
        <v>560</v>
      </c>
      <c r="V476" s="6" t="s">
        <v>246</v>
      </c>
      <c r="W476" s="6" t="s">
        <v>158</v>
      </c>
      <c r="X476" s="6" t="s">
        <v>257</v>
      </c>
      <c r="Y476" s="6" t="s">
        <v>162</v>
      </c>
      <c r="Z476" s="6" t="s">
        <v>165</v>
      </c>
      <c r="AA476" s="6" t="s">
        <v>262</v>
      </c>
      <c r="AB476" s="6" t="s">
        <v>171</v>
      </c>
      <c r="AC476" s="6" t="s">
        <v>174</v>
      </c>
      <c r="AD476" s="6" t="s">
        <v>175</v>
      </c>
      <c r="AE476" s="6" t="s">
        <v>271</v>
      </c>
      <c r="AF476" s="6" t="s">
        <v>181</v>
      </c>
      <c r="AG476" s="6" t="s">
        <v>182</v>
      </c>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row>
    <row r="477" ht="22.5" customHeight="1">
      <c r="A477" s="4">
        <v>46229.69959063658</v>
      </c>
      <c r="B477" s="5">
        <v>0.0</v>
      </c>
      <c r="C477" s="6" t="s">
        <v>114</v>
      </c>
      <c r="D477" s="6" t="s">
        <v>1121</v>
      </c>
      <c r="E477" s="6" t="s">
        <v>1122</v>
      </c>
      <c r="F477" s="6">
        <v>6.9070500205E10</v>
      </c>
      <c r="G477" s="6" t="s">
        <v>599</v>
      </c>
      <c r="H477" s="7"/>
      <c r="I477" s="6" t="s">
        <v>6364</v>
      </c>
      <c r="J477" s="6" t="s">
        <v>6365</v>
      </c>
      <c r="K477" s="6" t="s">
        <v>6366</v>
      </c>
      <c r="L477" s="6" t="s">
        <v>6367</v>
      </c>
      <c r="M477" s="6" t="s">
        <v>6368</v>
      </c>
      <c r="N477" s="7"/>
      <c r="O477" s="6" t="s">
        <v>6369</v>
      </c>
      <c r="P477" s="6" t="s">
        <v>6370</v>
      </c>
      <c r="Q477" s="6" t="s">
        <v>6371</v>
      </c>
      <c r="R477" s="6" t="s">
        <v>246</v>
      </c>
      <c r="S477" s="6" t="s">
        <v>147</v>
      </c>
      <c r="T477" s="6" t="s">
        <v>250</v>
      </c>
      <c r="U477" s="6" t="s">
        <v>252</v>
      </c>
      <c r="V477" s="6" t="s">
        <v>246</v>
      </c>
      <c r="W477" s="6" t="s">
        <v>158</v>
      </c>
      <c r="X477" s="6" t="s">
        <v>257</v>
      </c>
      <c r="Y477" s="6" t="s">
        <v>162</v>
      </c>
      <c r="Z477" s="6" t="s">
        <v>165</v>
      </c>
      <c r="AA477" s="6" t="s">
        <v>262</v>
      </c>
      <c r="AB477" s="6" t="s">
        <v>171</v>
      </c>
      <c r="AC477" s="6" t="s">
        <v>174</v>
      </c>
      <c r="AD477" s="6" t="s">
        <v>635</v>
      </c>
      <c r="AE477" s="6" t="s">
        <v>271</v>
      </c>
      <c r="AF477" s="6" t="s">
        <v>181</v>
      </c>
      <c r="AG477" s="6" t="s">
        <v>182</v>
      </c>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row>
    <row r="478" ht="22.5" customHeight="1">
      <c r="A478" s="4">
        <v>46229.699596493054</v>
      </c>
      <c r="B478" s="5">
        <v>0.0</v>
      </c>
      <c r="C478" s="6" t="s">
        <v>114</v>
      </c>
      <c r="D478" s="6" t="s">
        <v>1123</v>
      </c>
      <c r="E478" s="6" t="s">
        <v>1124</v>
      </c>
      <c r="F478" s="6">
        <v>6.9070500492E10</v>
      </c>
      <c r="G478" s="6" t="s">
        <v>310</v>
      </c>
      <c r="H478" s="7"/>
      <c r="I478" s="6" t="s">
        <v>2125</v>
      </c>
      <c r="J478" s="6" t="s">
        <v>6372</v>
      </c>
      <c r="K478" s="6" t="s">
        <v>974</v>
      </c>
      <c r="L478" s="6" t="s">
        <v>4198</v>
      </c>
      <c r="M478" s="6" t="s">
        <v>4199</v>
      </c>
      <c r="N478" s="7"/>
      <c r="O478" s="6" t="s">
        <v>6373</v>
      </c>
      <c r="P478" s="6" t="s">
        <v>6374</v>
      </c>
      <c r="Q478" s="6" t="s">
        <v>6375</v>
      </c>
      <c r="R478" s="6" t="s">
        <v>246</v>
      </c>
      <c r="S478" s="6" t="s">
        <v>147</v>
      </c>
      <c r="T478" s="6" t="s">
        <v>246</v>
      </c>
      <c r="U478" s="6" t="s">
        <v>560</v>
      </c>
      <c r="V478" s="6" t="s">
        <v>246</v>
      </c>
      <c r="W478" s="6" t="s">
        <v>158</v>
      </c>
      <c r="X478" s="6" t="s">
        <v>257</v>
      </c>
      <c r="Y478" s="6" t="s">
        <v>162</v>
      </c>
      <c r="Z478" s="6" t="s">
        <v>165</v>
      </c>
      <c r="AA478" s="6" t="s">
        <v>262</v>
      </c>
      <c r="AB478" s="6" t="s">
        <v>521</v>
      </c>
      <c r="AC478" s="6" t="s">
        <v>174</v>
      </c>
      <c r="AD478" s="6" t="s">
        <v>175</v>
      </c>
      <c r="AE478" s="6" t="s">
        <v>271</v>
      </c>
      <c r="AF478" s="6" t="s">
        <v>181</v>
      </c>
      <c r="AG478" s="6" t="s">
        <v>641</v>
      </c>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row>
    <row r="479" ht="22.5" customHeight="1">
      <c r="A479" s="4">
        <v>46229.699601712964</v>
      </c>
      <c r="B479" s="5">
        <v>0.0</v>
      </c>
      <c r="C479" s="6" t="s">
        <v>114</v>
      </c>
      <c r="D479" s="6" t="s">
        <v>1125</v>
      </c>
      <c r="E479" s="6" t="s">
        <v>1126</v>
      </c>
      <c r="F479" s="6">
        <v>6.9070508822E10</v>
      </c>
      <c r="G479" s="6" t="s">
        <v>5399</v>
      </c>
      <c r="H479" s="6" t="s">
        <v>6376</v>
      </c>
      <c r="I479" s="6" t="s">
        <v>6377</v>
      </c>
      <c r="J479" s="6" t="s">
        <v>6378</v>
      </c>
      <c r="K479" s="6" t="s">
        <v>6379</v>
      </c>
      <c r="L479" s="6" t="s">
        <v>6380</v>
      </c>
      <c r="M479" s="6" t="s">
        <v>6381</v>
      </c>
      <c r="N479" s="7"/>
      <c r="O479" s="6" t="s">
        <v>6382</v>
      </c>
      <c r="P479" s="6" t="s">
        <v>6383</v>
      </c>
      <c r="Q479" s="6" t="s">
        <v>6384</v>
      </c>
      <c r="R479" s="6" t="s">
        <v>246</v>
      </c>
      <c r="S479" s="6" t="s">
        <v>147</v>
      </c>
      <c r="T479" s="6" t="s">
        <v>246</v>
      </c>
      <c r="U479" s="6" t="s">
        <v>560</v>
      </c>
      <c r="V479" s="6" t="s">
        <v>246</v>
      </c>
      <c r="W479" s="6" t="s">
        <v>158</v>
      </c>
      <c r="X479" s="6" t="s">
        <v>458</v>
      </c>
      <c r="Y479" s="6" t="s">
        <v>162</v>
      </c>
      <c r="Z479" s="6" t="s">
        <v>165</v>
      </c>
      <c r="AA479" s="6" t="s">
        <v>262</v>
      </c>
      <c r="AB479" s="6" t="s">
        <v>521</v>
      </c>
      <c r="AC479" s="6" t="s">
        <v>174</v>
      </c>
      <c r="AD479" s="6" t="s">
        <v>175</v>
      </c>
      <c r="AE479" s="6" t="s">
        <v>524</v>
      </c>
      <c r="AF479" s="6" t="s">
        <v>181</v>
      </c>
      <c r="AG479" s="6" t="s">
        <v>182</v>
      </c>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row>
    <row r="480" ht="22.5" customHeight="1">
      <c r="A480" s="4">
        <v>46229.69960799768</v>
      </c>
      <c r="B480" s="5">
        <v>0.0</v>
      </c>
      <c r="C480" s="6" t="s">
        <v>114</v>
      </c>
      <c r="D480" s="6" t="s">
        <v>1127</v>
      </c>
      <c r="E480" s="6" t="s">
        <v>1128</v>
      </c>
      <c r="F480" s="6">
        <v>6.9070502517E10</v>
      </c>
      <c r="G480" s="6" t="s">
        <v>122</v>
      </c>
      <c r="H480" s="7"/>
      <c r="I480" s="6" t="s">
        <v>6385</v>
      </c>
      <c r="J480" s="6" t="s">
        <v>6386</v>
      </c>
      <c r="K480" s="6" t="s">
        <v>6387</v>
      </c>
      <c r="L480" s="6" t="s">
        <v>6388</v>
      </c>
      <c r="M480" s="6" t="s">
        <v>6389</v>
      </c>
      <c r="N480" s="7"/>
      <c r="O480" s="6" t="s">
        <v>6390</v>
      </c>
      <c r="P480" s="6" t="s">
        <v>6391</v>
      </c>
      <c r="Q480" s="6" t="s">
        <v>6392</v>
      </c>
      <c r="R480" s="6" t="s">
        <v>246</v>
      </c>
      <c r="S480" s="6" t="s">
        <v>147</v>
      </c>
      <c r="T480" s="6" t="s">
        <v>250</v>
      </c>
      <c r="U480" s="6" t="s">
        <v>252</v>
      </c>
      <c r="V480" s="6" t="s">
        <v>155</v>
      </c>
      <c r="W480" s="6" t="s">
        <v>158</v>
      </c>
      <c r="X480" s="6" t="s">
        <v>257</v>
      </c>
      <c r="Y480" s="6" t="s">
        <v>162</v>
      </c>
      <c r="Z480" s="6" t="s">
        <v>165</v>
      </c>
      <c r="AA480" s="6" t="s">
        <v>262</v>
      </c>
      <c r="AB480" s="6" t="s">
        <v>171</v>
      </c>
      <c r="AC480" s="6" t="s">
        <v>174</v>
      </c>
      <c r="AD480" s="6" t="s">
        <v>175</v>
      </c>
      <c r="AE480" s="6" t="s">
        <v>271</v>
      </c>
      <c r="AF480" s="6" t="s">
        <v>181</v>
      </c>
      <c r="AG480" s="6" t="s">
        <v>182</v>
      </c>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row>
    <row r="481" ht="22.5" customHeight="1">
      <c r="A481" s="4">
        <v>46229.699613703706</v>
      </c>
      <c r="B481" s="5">
        <v>0.0</v>
      </c>
      <c r="C481" s="6" t="s">
        <v>114</v>
      </c>
      <c r="D481" s="6" t="s">
        <v>1129</v>
      </c>
      <c r="E481" s="6" t="s">
        <v>1130</v>
      </c>
      <c r="F481" s="6">
        <v>6.9070508249E10</v>
      </c>
      <c r="G481" s="6" t="s">
        <v>730</v>
      </c>
      <c r="H481" s="7"/>
      <c r="I481" s="6" t="s">
        <v>6393</v>
      </c>
      <c r="J481" s="6" t="s">
        <v>6108</v>
      </c>
      <c r="K481" s="6" t="s">
        <v>6106</v>
      </c>
      <c r="L481" s="6" t="s">
        <v>6394</v>
      </c>
      <c r="M481" s="6" t="s">
        <v>6395</v>
      </c>
      <c r="N481" s="7"/>
      <c r="O481" s="6" t="s">
        <v>6396</v>
      </c>
      <c r="P481" s="6" t="s">
        <v>6397</v>
      </c>
      <c r="Q481" s="6" t="s">
        <v>6398</v>
      </c>
      <c r="R481" s="6" t="s">
        <v>246</v>
      </c>
      <c r="S481" s="6" t="s">
        <v>147</v>
      </c>
      <c r="T481" s="6" t="s">
        <v>516</v>
      </c>
      <c r="U481" s="6" t="s">
        <v>252</v>
      </c>
      <c r="V481" s="6" t="s">
        <v>246</v>
      </c>
      <c r="W481" s="6" t="s">
        <v>158</v>
      </c>
      <c r="X481" s="6" t="s">
        <v>257</v>
      </c>
      <c r="Y481" s="6" t="s">
        <v>162</v>
      </c>
      <c r="Z481" s="6" t="s">
        <v>165</v>
      </c>
      <c r="AA481" s="6" t="s">
        <v>262</v>
      </c>
      <c r="AB481" s="6" t="s">
        <v>171</v>
      </c>
      <c r="AC481" s="6" t="s">
        <v>174</v>
      </c>
      <c r="AD481" s="6" t="s">
        <v>175</v>
      </c>
      <c r="AE481" s="6" t="s">
        <v>271</v>
      </c>
      <c r="AF481" s="6" t="s">
        <v>181</v>
      </c>
      <c r="AG481" s="6" t="s">
        <v>182</v>
      </c>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row>
    <row r="482" ht="22.5" customHeight="1">
      <c r="A482" s="4">
        <v>46229.69961582176</v>
      </c>
      <c r="B482" s="5">
        <v>0.0</v>
      </c>
      <c r="C482" s="6" t="s">
        <v>114</v>
      </c>
      <c r="D482" s="6" t="s">
        <v>249</v>
      </c>
      <c r="E482" s="6" t="s">
        <v>1131</v>
      </c>
      <c r="F482" s="6">
        <v>6.9070509638E10</v>
      </c>
      <c r="G482" s="6" t="s">
        <v>730</v>
      </c>
      <c r="H482" s="6" t="s">
        <v>6399</v>
      </c>
      <c r="I482" s="6" t="s">
        <v>6400</v>
      </c>
      <c r="J482" s="6" t="s">
        <v>5907</v>
      </c>
      <c r="K482" s="6" t="s">
        <v>6401</v>
      </c>
      <c r="L482" s="6" t="s">
        <v>6402</v>
      </c>
      <c r="M482" s="6" t="s">
        <v>6403</v>
      </c>
      <c r="N482" s="6" t="s">
        <v>2633</v>
      </c>
      <c r="O482" s="6" t="s">
        <v>6404</v>
      </c>
      <c r="P482" s="6" t="s">
        <v>6405</v>
      </c>
      <c r="Q482" s="6" t="s">
        <v>6406</v>
      </c>
      <c r="R482" s="6" t="s">
        <v>246</v>
      </c>
      <c r="S482" s="6" t="s">
        <v>147</v>
      </c>
      <c r="T482" s="6" t="s">
        <v>250</v>
      </c>
      <c r="U482" s="6" t="s">
        <v>152</v>
      </c>
      <c r="V482" s="6" t="s">
        <v>246</v>
      </c>
      <c r="W482" s="6" t="s">
        <v>158</v>
      </c>
      <c r="X482" s="6" t="s">
        <v>458</v>
      </c>
      <c r="Y482" s="6" t="s">
        <v>162</v>
      </c>
      <c r="Z482" s="6" t="s">
        <v>165</v>
      </c>
      <c r="AA482" s="6" t="s">
        <v>262</v>
      </c>
      <c r="AB482" s="6" t="s">
        <v>171</v>
      </c>
      <c r="AC482" s="6" t="s">
        <v>633</v>
      </c>
      <c r="AD482" s="6" t="s">
        <v>175</v>
      </c>
      <c r="AE482" s="6" t="s">
        <v>271</v>
      </c>
      <c r="AF482" s="6" t="s">
        <v>181</v>
      </c>
      <c r="AG482" s="6" t="s">
        <v>182</v>
      </c>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row>
    <row r="483" ht="22.5" customHeight="1">
      <c r="A483" s="4">
        <v>46229.69961650463</v>
      </c>
      <c r="B483" s="5">
        <v>0.0</v>
      </c>
      <c r="C483" s="6" t="s">
        <v>114</v>
      </c>
      <c r="D483" s="6" t="s">
        <v>1132</v>
      </c>
      <c r="E483" s="6" t="s">
        <v>1133</v>
      </c>
      <c r="F483" s="6">
        <v>6.9070500296E10</v>
      </c>
      <c r="G483" s="6" t="s">
        <v>599</v>
      </c>
      <c r="H483" s="6" t="s">
        <v>2442</v>
      </c>
      <c r="I483" s="6" t="s">
        <v>6407</v>
      </c>
      <c r="J483" s="6" t="s">
        <v>6408</v>
      </c>
      <c r="K483" s="6" t="s">
        <v>6409</v>
      </c>
      <c r="L483" s="6" t="s">
        <v>6410</v>
      </c>
      <c r="M483" s="6" t="s">
        <v>6411</v>
      </c>
      <c r="N483" s="6" t="s">
        <v>6412</v>
      </c>
      <c r="O483" s="6" t="s">
        <v>6413</v>
      </c>
      <c r="P483" s="6" t="s">
        <v>6414</v>
      </c>
      <c r="Q483" s="6" t="s">
        <v>6415</v>
      </c>
      <c r="R483" s="6" t="s">
        <v>246</v>
      </c>
      <c r="S483" s="6" t="s">
        <v>147</v>
      </c>
      <c r="T483" s="6" t="s">
        <v>250</v>
      </c>
      <c r="U483" s="6" t="s">
        <v>252</v>
      </c>
      <c r="V483" s="6" t="s">
        <v>155</v>
      </c>
      <c r="W483" s="6" t="s">
        <v>158</v>
      </c>
      <c r="X483" s="6" t="s">
        <v>257</v>
      </c>
      <c r="Y483" s="6" t="s">
        <v>162</v>
      </c>
      <c r="Z483" s="6" t="s">
        <v>165</v>
      </c>
      <c r="AA483" s="6" t="s">
        <v>2307</v>
      </c>
      <c r="AB483" s="6" t="s">
        <v>171</v>
      </c>
      <c r="AC483" s="6" t="s">
        <v>174</v>
      </c>
      <c r="AD483" s="6" t="s">
        <v>175</v>
      </c>
      <c r="AE483" s="6" t="s">
        <v>271</v>
      </c>
      <c r="AF483" s="6" t="s">
        <v>174</v>
      </c>
      <c r="AG483" s="6" t="s">
        <v>182</v>
      </c>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row>
    <row r="484" ht="22.5" customHeight="1">
      <c r="A484" s="4">
        <v>46229.69961751158</v>
      </c>
      <c r="B484" s="5">
        <v>0.0</v>
      </c>
      <c r="C484" s="6" t="s">
        <v>114</v>
      </c>
      <c r="D484" s="6" t="s">
        <v>1134</v>
      </c>
      <c r="E484" s="6" t="s">
        <v>1136</v>
      </c>
      <c r="F484" s="6">
        <v>6.9070500494E10</v>
      </c>
      <c r="G484" s="6" t="s">
        <v>310</v>
      </c>
      <c r="H484" s="6" t="s">
        <v>2633</v>
      </c>
      <c r="I484" s="6" t="s">
        <v>6416</v>
      </c>
      <c r="J484" s="6" t="s">
        <v>6417</v>
      </c>
      <c r="K484" s="6" t="s">
        <v>6409</v>
      </c>
      <c r="L484" s="6" t="s">
        <v>6418</v>
      </c>
      <c r="M484" s="6" t="s">
        <v>6419</v>
      </c>
      <c r="N484" s="6" t="s">
        <v>6420</v>
      </c>
      <c r="O484" s="6" t="s">
        <v>6421</v>
      </c>
      <c r="P484" s="6" t="s">
        <v>6422</v>
      </c>
      <c r="Q484" s="6" t="s">
        <v>6423</v>
      </c>
      <c r="R484" s="6" t="s">
        <v>246</v>
      </c>
      <c r="S484" s="6" t="s">
        <v>147</v>
      </c>
      <c r="T484" s="6" t="s">
        <v>250</v>
      </c>
      <c r="U484" s="6" t="s">
        <v>252</v>
      </c>
      <c r="V484" s="6" t="s">
        <v>246</v>
      </c>
      <c r="W484" s="6" t="s">
        <v>158</v>
      </c>
      <c r="X484" s="6" t="s">
        <v>257</v>
      </c>
      <c r="Y484" s="6" t="s">
        <v>162</v>
      </c>
      <c r="Z484" s="6" t="s">
        <v>165</v>
      </c>
      <c r="AA484" s="6" t="s">
        <v>262</v>
      </c>
      <c r="AB484" s="6" t="s">
        <v>1266</v>
      </c>
      <c r="AC484" s="6" t="s">
        <v>174</v>
      </c>
      <c r="AD484" s="6" t="s">
        <v>175</v>
      </c>
      <c r="AE484" s="6" t="s">
        <v>271</v>
      </c>
      <c r="AF484" s="6" t="s">
        <v>181</v>
      </c>
      <c r="AG484" s="6" t="s">
        <v>182</v>
      </c>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row>
    <row r="485" ht="22.5" customHeight="1">
      <c r="A485" s="4">
        <v>46229.699619085644</v>
      </c>
      <c r="B485" s="5">
        <v>0.0</v>
      </c>
      <c r="C485" s="6" t="s">
        <v>114</v>
      </c>
      <c r="D485" s="6" t="s">
        <v>1139</v>
      </c>
      <c r="E485" s="6" t="s">
        <v>1140</v>
      </c>
      <c r="F485" s="6">
        <v>6.9070509619E10</v>
      </c>
      <c r="G485" s="6" t="s">
        <v>730</v>
      </c>
      <c r="H485" s="6" t="s">
        <v>6424</v>
      </c>
      <c r="I485" s="6" t="s">
        <v>6425</v>
      </c>
      <c r="J485" s="6" t="s">
        <v>6426</v>
      </c>
      <c r="K485" s="6" t="s">
        <v>6427</v>
      </c>
      <c r="L485" s="6" t="s">
        <v>6428</v>
      </c>
      <c r="M485" s="6" t="s">
        <v>6429</v>
      </c>
      <c r="N485" s="6" t="s">
        <v>6430</v>
      </c>
      <c r="O485" s="6" t="s">
        <v>6431</v>
      </c>
      <c r="P485" s="6" t="s">
        <v>6432</v>
      </c>
      <c r="Q485" s="6" t="s">
        <v>6433</v>
      </c>
      <c r="R485" s="6" t="s">
        <v>145</v>
      </c>
      <c r="S485" s="6" t="s">
        <v>147</v>
      </c>
      <c r="T485" s="6" t="s">
        <v>250</v>
      </c>
      <c r="U485" s="6" t="s">
        <v>152</v>
      </c>
      <c r="V485" s="6" t="s">
        <v>246</v>
      </c>
      <c r="W485" s="6" t="s">
        <v>158</v>
      </c>
      <c r="X485" s="6" t="s">
        <v>458</v>
      </c>
      <c r="Y485" s="6" t="s">
        <v>162</v>
      </c>
      <c r="Z485" s="6" t="s">
        <v>165</v>
      </c>
      <c r="AA485" s="6" t="s">
        <v>262</v>
      </c>
      <c r="AB485" s="6" t="s">
        <v>171</v>
      </c>
      <c r="AC485" s="6" t="s">
        <v>633</v>
      </c>
      <c r="AD485" s="6" t="s">
        <v>175</v>
      </c>
      <c r="AE485" s="6" t="s">
        <v>271</v>
      </c>
      <c r="AF485" s="6" t="s">
        <v>181</v>
      </c>
      <c r="AG485" s="6" t="s">
        <v>182</v>
      </c>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row>
    <row r="486" ht="22.5" customHeight="1">
      <c r="A486" s="4">
        <v>46229.699634652774</v>
      </c>
      <c r="B486" s="5">
        <v>0.0</v>
      </c>
      <c r="C486" s="6" t="s">
        <v>3296</v>
      </c>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6" t="s">
        <v>2658</v>
      </c>
      <c r="AI486" s="6" t="s">
        <v>2659</v>
      </c>
      <c r="AJ486" s="6">
        <v>6.9070503468E10</v>
      </c>
      <c r="AK486" s="6" t="s">
        <v>3297</v>
      </c>
      <c r="AL486" s="7"/>
      <c r="AM486" s="6" t="s">
        <v>6434</v>
      </c>
      <c r="AN486" s="6" t="s">
        <v>6435</v>
      </c>
      <c r="AO486" s="6" t="s">
        <v>6436</v>
      </c>
      <c r="AP486" s="6" t="s">
        <v>6437</v>
      </c>
      <c r="AQ486" s="6" t="s">
        <v>6438</v>
      </c>
      <c r="AR486" s="6" t="s">
        <v>6439</v>
      </c>
      <c r="AS486" s="6" t="s">
        <v>6440</v>
      </c>
      <c r="AT486" s="6" t="s">
        <v>6441</v>
      </c>
      <c r="AU486" s="6" t="s">
        <v>6442</v>
      </c>
      <c r="AV486" s="6" t="s">
        <v>3312</v>
      </c>
      <c r="AW486" s="6" t="s">
        <v>3307</v>
      </c>
      <c r="AX486" s="6" t="s">
        <v>3887</v>
      </c>
      <c r="AY486" s="6" t="s">
        <v>4067</v>
      </c>
      <c r="AZ486" s="6" t="s">
        <v>3306</v>
      </c>
      <c r="BA486" s="6" t="s">
        <v>3311</v>
      </c>
      <c r="BB486" s="6" t="s">
        <v>3312</v>
      </c>
      <c r="BC486" s="6" t="s">
        <v>3313</v>
      </c>
      <c r="BD486" s="6" t="s">
        <v>165</v>
      </c>
      <c r="BE486" s="6" t="s">
        <v>3888</v>
      </c>
      <c r="BF486" s="6" t="s">
        <v>3315</v>
      </c>
      <c r="BG486" s="6" t="s">
        <v>3316</v>
      </c>
      <c r="BH486" s="6" t="s">
        <v>3317</v>
      </c>
      <c r="BI486" s="6" t="s">
        <v>178</v>
      </c>
      <c r="BJ486" s="6" t="s">
        <v>3318</v>
      </c>
      <c r="BK486" s="6" t="s">
        <v>3319</v>
      </c>
    </row>
    <row r="487" ht="22.5" customHeight="1">
      <c r="A487" s="4">
        <v>46229.69963592592</v>
      </c>
      <c r="B487" s="5">
        <v>0.0</v>
      </c>
      <c r="C487" s="6" t="s">
        <v>114</v>
      </c>
      <c r="D487" s="6" t="s">
        <v>701</v>
      </c>
      <c r="E487" s="6" t="s">
        <v>1141</v>
      </c>
      <c r="F487" s="6">
        <v>6.9070501288E10</v>
      </c>
      <c r="G487" s="6" t="s">
        <v>228</v>
      </c>
      <c r="H487" s="7"/>
      <c r="I487" s="6" t="s">
        <v>3329</v>
      </c>
      <c r="J487" s="6" t="s">
        <v>6205</v>
      </c>
      <c r="K487" s="6" t="s">
        <v>5998</v>
      </c>
      <c r="L487" s="6" t="s">
        <v>5996</v>
      </c>
      <c r="M487" s="6" t="s">
        <v>6443</v>
      </c>
      <c r="N487" s="7"/>
      <c r="O487" s="6" t="s">
        <v>6444</v>
      </c>
      <c r="P487" s="6" t="s">
        <v>6445</v>
      </c>
      <c r="Q487" s="6" t="s">
        <v>6446</v>
      </c>
      <c r="R487" s="6" t="s">
        <v>246</v>
      </c>
      <c r="S487" s="6" t="s">
        <v>147</v>
      </c>
      <c r="T487" s="6" t="s">
        <v>250</v>
      </c>
      <c r="U487" s="6" t="s">
        <v>686</v>
      </c>
      <c r="V487" s="6" t="s">
        <v>246</v>
      </c>
      <c r="W487" s="6" t="s">
        <v>158</v>
      </c>
      <c r="X487" s="6" t="s">
        <v>257</v>
      </c>
      <c r="Y487" s="6" t="s">
        <v>162</v>
      </c>
      <c r="Z487" s="6" t="s">
        <v>165</v>
      </c>
      <c r="AA487" s="6" t="s">
        <v>262</v>
      </c>
      <c r="AB487" s="6" t="s">
        <v>521</v>
      </c>
      <c r="AC487" s="6" t="s">
        <v>174</v>
      </c>
      <c r="AD487" s="6" t="s">
        <v>175</v>
      </c>
      <c r="AE487" s="6" t="s">
        <v>271</v>
      </c>
      <c r="AF487" s="6" t="s">
        <v>181</v>
      </c>
      <c r="AG487" s="6" t="s">
        <v>182</v>
      </c>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row>
    <row r="488" ht="22.5" customHeight="1">
      <c r="A488" s="4">
        <v>46229.69964070602</v>
      </c>
      <c r="B488" s="5">
        <v>0.0</v>
      </c>
      <c r="C488" s="6" t="s">
        <v>114</v>
      </c>
      <c r="D488" s="6" t="s">
        <v>1144</v>
      </c>
      <c r="E488" s="6" t="s">
        <v>1145</v>
      </c>
      <c r="F488" s="6">
        <v>6.9070502418E10</v>
      </c>
      <c r="G488" s="6" t="s">
        <v>122</v>
      </c>
      <c r="H488" s="7"/>
      <c r="I488" s="6" t="s">
        <v>4890</v>
      </c>
      <c r="J488" s="6" t="s">
        <v>6447</v>
      </c>
      <c r="K488" s="6" t="s">
        <v>4915</v>
      </c>
      <c r="L488" s="6" t="s">
        <v>6448</v>
      </c>
      <c r="M488" s="6" t="s">
        <v>6449</v>
      </c>
      <c r="N488" s="7"/>
      <c r="O488" s="6" t="s">
        <v>6450</v>
      </c>
      <c r="P488" s="6" t="s">
        <v>6451</v>
      </c>
      <c r="Q488" s="6" t="s">
        <v>6452</v>
      </c>
      <c r="R488" s="6" t="s">
        <v>246</v>
      </c>
      <c r="S488" s="6" t="s">
        <v>147</v>
      </c>
      <c r="T488" s="6" t="s">
        <v>250</v>
      </c>
      <c r="U488" s="6" t="s">
        <v>560</v>
      </c>
      <c r="V488" s="6" t="s">
        <v>246</v>
      </c>
      <c r="W488" s="6" t="s">
        <v>932</v>
      </c>
      <c r="X488" s="6" t="s">
        <v>246</v>
      </c>
      <c r="Y488" s="6" t="s">
        <v>162</v>
      </c>
      <c r="Z488" s="6" t="s">
        <v>165</v>
      </c>
      <c r="AA488" s="6" t="s">
        <v>262</v>
      </c>
      <c r="AB488" s="6" t="s">
        <v>171</v>
      </c>
      <c r="AC488" s="6" t="s">
        <v>174</v>
      </c>
      <c r="AD488" s="6" t="s">
        <v>175</v>
      </c>
      <c r="AE488" s="6" t="s">
        <v>271</v>
      </c>
      <c r="AF488" s="6" t="s">
        <v>181</v>
      </c>
      <c r="AG488" s="6" t="s">
        <v>182</v>
      </c>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row>
    <row r="489" ht="22.5" customHeight="1">
      <c r="A489" s="4">
        <v>46229.699647256944</v>
      </c>
      <c r="B489" s="5">
        <v>0.0</v>
      </c>
      <c r="C489" s="6" t="s">
        <v>114</v>
      </c>
      <c r="D489" s="6" t="s">
        <v>1146</v>
      </c>
      <c r="E489" s="6" t="s">
        <v>1147</v>
      </c>
      <c r="F489" s="6">
        <v>6.9070501835E10</v>
      </c>
      <c r="G489" s="6" t="s">
        <v>730</v>
      </c>
      <c r="H489" s="7"/>
      <c r="I489" s="6" t="s">
        <v>6453</v>
      </c>
      <c r="J489" s="6" t="s">
        <v>6454</v>
      </c>
      <c r="K489" s="6" t="s">
        <v>6455</v>
      </c>
      <c r="L489" s="6" t="s">
        <v>6456</v>
      </c>
      <c r="M489" s="6" t="s">
        <v>6457</v>
      </c>
      <c r="N489" s="7"/>
      <c r="O489" s="6" t="s">
        <v>6458</v>
      </c>
      <c r="P489" s="6" t="s">
        <v>6459</v>
      </c>
      <c r="Q489" s="6" t="s">
        <v>6460</v>
      </c>
      <c r="R489" s="6" t="s">
        <v>246</v>
      </c>
      <c r="S489" s="6" t="s">
        <v>147</v>
      </c>
      <c r="T489" s="6" t="s">
        <v>516</v>
      </c>
      <c r="U489" s="6" t="s">
        <v>252</v>
      </c>
      <c r="V489" s="6" t="s">
        <v>246</v>
      </c>
      <c r="W489" s="6" t="s">
        <v>158</v>
      </c>
      <c r="X489" s="6" t="s">
        <v>257</v>
      </c>
      <c r="Y489" s="6" t="s">
        <v>162</v>
      </c>
      <c r="Z489" s="6" t="s">
        <v>165</v>
      </c>
      <c r="AA489" s="6" t="s">
        <v>262</v>
      </c>
      <c r="AB489" s="6" t="s">
        <v>171</v>
      </c>
      <c r="AC489" s="6" t="s">
        <v>174</v>
      </c>
      <c r="AD489" s="6" t="s">
        <v>175</v>
      </c>
      <c r="AE489" s="6" t="s">
        <v>271</v>
      </c>
      <c r="AF489" s="6" t="s">
        <v>181</v>
      </c>
      <c r="AG489" s="6" t="s">
        <v>182</v>
      </c>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row>
    <row r="490" ht="22.5" customHeight="1">
      <c r="A490" s="4">
        <v>46229.699649664355</v>
      </c>
      <c r="B490" s="5">
        <v>0.0</v>
      </c>
      <c r="C490" s="6" t="s">
        <v>114</v>
      </c>
      <c r="D490" s="6" t="s">
        <v>1149</v>
      </c>
      <c r="E490" s="6" t="s">
        <v>1150</v>
      </c>
      <c r="F490" s="6">
        <v>6.9070508246E10</v>
      </c>
      <c r="G490" s="6" t="s">
        <v>730</v>
      </c>
      <c r="H490" s="7"/>
      <c r="I490" s="6" t="s">
        <v>6106</v>
      </c>
      <c r="J490" s="6" t="s">
        <v>6395</v>
      </c>
      <c r="K490" s="6" t="s">
        <v>6461</v>
      </c>
      <c r="L490" s="6" t="s">
        <v>6108</v>
      </c>
      <c r="M490" s="6" t="s">
        <v>6462</v>
      </c>
      <c r="N490" s="7"/>
      <c r="O490" s="6" t="s">
        <v>6463</v>
      </c>
      <c r="P490" s="6" t="s">
        <v>6464</v>
      </c>
      <c r="Q490" s="6" t="s">
        <v>6465</v>
      </c>
      <c r="R490" s="6" t="s">
        <v>246</v>
      </c>
      <c r="S490" s="6" t="s">
        <v>147</v>
      </c>
      <c r="T490" s="6" t="s">
        <v>516</v>
      </c>
      <c r="U490" s="6" t="s">
        <v>252</v>
      </c>
      <c r="V490" s="6" t="s">
        <v>246</v>
      </c>
      <c r="W490" s="6" t="s">
        <v>158</v>
      </c>
      <c r="X490" s="6" t="s">
        <v>257</v>
      </c>
      <c r="Y490" s="6" t="s">
        <v>162</v>
      </c>
      <c r="Z490" s="6" t="s">
        <v>165</v>
      </c>
      <c r="AA490" s="6" t="s">
        <v>262</v>
      </c>
      <c r="AB490" s="6" t="s">
        <v>171</v>
      </c>
      <c r="AC490" s="6" t="s">
        <v>174</v>
      </c>
      <c r="AD490" s="6" t="s">
        <v>175</v>
      </c>
      <c r="AE490" s="6" t="s">
        <v>271</v>
      </c>
      <c r="AF490" s="6" t="s">
        <v>181</v>
      </c>
      <c r="AG490" s="6" t="s">
        <v>182</v>
      </c>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row>
    <row r="491" ht="22.5" customHeight="1">
      <c r="A491" s="4">
        <v>46229.69965069444</v>
      </c>
      <c r="B491" s="5">
        <v>0.0</v>
      </c>
      <c r="C491" s="6" t="s">
        <v>114</v>
      </c>
      <c r="D491" s="6" t="s">
        <v>1151</v>
      </c>
      <c r="E491" s="6" t="s">
        <v>1152</v>
      </c>
      <c r="F491" s="6">
        <v>6.9070500883E10</v>
      </c>
      <c r="G491" s="6" t="s">
        <v>496</v>
      </c>
      <c r="H491" s="6" t="s">
        <v>6466</v>
      </c>
      <c r="I491" s="6" t="s">
        <v>5499</v>
      </c>
      <c r="J491" s="6" t="s">
        <v>5504</v>
      </c>
      <c r="K491" s="6" t="s">
        <v>6467</v>
      </c>
      <c r="L491" s="6" t="s">
        <v>5457</v>
      </c>
      <c r="M491" s="6" t="s">
        <v>6468</v>
      </c>
      <c r="N491" s="7"/>
      <c r="O491" s="6" t="s">
        <v>6469</v>
      </c>
      <c r="P491" s="6" t="s">
        <v>6470</v>
      </c>
      <c r="Q491" s="6" t="s">
        <v>6471</v>
      </c>
      <c r="R491" s="6" t="s">
        <v>246</v>
      </c>
      <c r="S491" s="6" t="s">
        <v>147</v>
      </c>
      <c r="T491" s="6" t="s">
        <v>149</v>
      </c>
      <c r="U491" s="6" t="s">
        <v>560</v>
      </c>
      <c r="V491" s="6" t="s">
        <v>246</v>
      </c>
      <c r="W491" s="6" t="s">
        <v>158</v>
      </c>
      <c r="X491" s="6" t="s">
        <v>257</v>
      </c>
      <c r="Y491" s="6" t="s">
        <v>162</v>
      </c>
      <c r="Z491" s="6" t="s">
        <v>165</v>
      </c>
      <c r="AA491" s="6" t="s">
        <v>262</v>
      </c>
      <c r="AB491" s="6" t="s">
        <v>171</v>
      </c>
      <c r="AC491" s="6" t="s">
        <v>174</v>
      </c>
      <c r="AD491" s="6" t="s">
        <v>175</v>
      </c>
      <c r="AE491" s="6" t="s">
        <v>524</v>
      </c>
      <c r="AF491" s="6" t="s">
        <v>181</v>
      </c>
      <c r="AG491" s="6" t="s">
        <v>182</v>
      </c>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row>
    <row r="492" ht="22.5" customHeight="1">
      <c r="A492" s="4">
        <v>46229.69965403935</v>
      </c>
      <c r="B492" s="5">
        <v>0.0</v>
      </c>
      <c r="C492" s="6" t="s">
        <v>114</v>
      </c>
      <c r="D492" s="6" t="s">
        <v>308</v>
      </c>
      <c r="E492" s="6" t="s">
        <v>1153</v>
      </c>
      <c r="F492" s="6">
        <v>6.9070500611E10</v>
      </c>
      <c r="G492" s="6" t="s">
        <v>6140</v>
      </c>
      <c r="H492" s="7"/>
      <c r="I492" s="6" t="s">
        <v>6472</v>
      </c>
      <c r="J492" s="6" t="s">
        <v>6473</v>
      </c>
      <c r="K492" s="6" t="s">
        <v>6474</v>
      </c>
      <c r="L492" s="6" t="s">
        <v>5424</v>
      </c>
      <c r="M492" s="6" t="s">
        <v>6475</v>
      </c>
      <c r="N492" s="7"/>
      <c r="O492" s="6" t="s">
        <v>6476</v>
      </c>
      <c r="P492" s="6" t="s">
        <v>6477</v>
      </c>
      <c r="Q492" s="6" t="s">
        <v>6478</v>
      </c>
      <c r="R492" s="6" t="s">
        <v>257</v>
      </c>
      <c r="S492" s="6" t="s">
        <v>147</v>
      </c>
      <c r="T492" s="6" t="s">
        <v>250</v>
      </c>
      <c r="U492" s="6" t="s">
        <v>252</v>
      </c>
      <c r="V492" s="6" t="s">
        <v>246</v>
      </c>
      <c r="W492" s="6" t="s">
        <v>158</v>
      </c>
      <c r="X492" s="6" t="s">
        <v>458</v>
      </c>
      <c r="Y492" s="6" t="s">
        <v>162</v>
      </c>
      <c r="Z492" s="6" t="s">
        <v>165</v>
      </c>
      <c r="AA492" s="6" t="s">
        <v>262</v>
      </c>
      <c r="AB492" s="6" t="s">
        <v>171</v>
      </c>
      <c r="AC492" s="6" t="s">
        <v>174</v>
      </c>
      <c r="AD492" s="6" t="s">
        <v>175</v>
      </c>
      <c r="AE492" s="6" t="s">
        <v>271</v>
      </c>
      <c r="AF492" s="6" t="s">
        <v>181</v>
      </c>
      <c r="AG492" s="6" t="s">
        <v>182</v>
      </c>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row>
    <row r="493" ht="22.5" customHeight="1">
      <c r="A493" s="4">
        <v>46229.69966510417</v>
      </c>
      <c r="B493" s="5">
        <v>0.0</v>
      </c>
      <c r="C493" s="6" t="s">
        <v>114</v>
      </c>
      <c r="D493" s="6" t="s">
        <v>1154</v>
      </c>
      <c r="E493" s="6" t="s">
        <v>1155</v>
      </c>
      <c r="F493" s="6">
        <v>6.9070500246E10</v>
      </c>
      <c r="G493" s="6" t="s">
        <v>599</v>
      </c>
      <c r="H493" s="7"/>
      <c r="I493" s="6" t="s">
        <v>6479</v>
      </c>
      <c r="J493" s="6" t="s">
        <v>6480</v>
      </c>
      <c r="K493" s="6" t="s">
        <v>3042</v>
      </c>
      <c r="L493" s="6" t="s">
        <v>6481</v>
      </c>
      <c r="M493" s="6" t="s">
        <v>6482</v>
      </c>
      <c r="N493" s="7"/>
      <c r="O493" s="6" t="s">
        <v>6483</v>
      </c>
      <c r="P493" s="6" t="s">
        <v>6484</v>
      </c>
      <c r="Q493" s="6" t="s">
        <v>6485</v>
      </c>
      <c r="R493" s="6" t="s">
        <v>246</v>
      </c>
      <c r="S493" s="6" t="s">
        <v>147</v>
      </c>
      <c r="T493" s="6" t="s">
        <v>250</v>
      </c>
      <c r="U493" s="6" t="s">
        <v>252</v>
      </c>
      <c r="V493" s="6" t="s">
        <v>246</v>
      </c>
      <c r="W493" s="6" t="s">
        <v>158</v>
      </c>
      <c r="X493" s="6" t="s">
        <v>257</v>
      </c>
      <c r="Y493" s="6" t="s">
        <v>162</v>
      </c>
      <c r="Z493" s="6" t="s">
        <v>165</v>
      </c>
      <c r="AA493" s="6" t="s">
        <v>262</v>
      </c>
      <c r="AB493" s="6" t="s">
        <v>521</v>
      </c>
      <c r="AC493" s="6" t="s">
        <v>174</v>
      </c>
      <c r="AD493" s="6" t="s">
        <v>175</v>
      </c>
      <c r="AE493" s="6" t="s">
        <v>271</v>
      </c>
      <c r="AF493" s="6" t="s">
        <v>181</v>
      </c>
      <c r="AG493" s="6" t="s">
        <v>182</v>
      </c>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row>
    <row r="494" ht="22.5" customHeight="1">
      <c r="A494" s="4">
        <v>46229.699671712966</v>
      </c>
      <c r="B494" s="5">
        <v>0.0</v>
      </c>
      <c r="C494" s="6" t="s">
        <v>114</v>
      </c>
      <c r="D494" s="6" t="s">
        <v>1156</v>
      </c>
      <c r="E494" s="6" t="s">
        <v>1157</v>
      </c>
      <c r="F494" s="6">
        <v>6.9070500203E10</v>
      </c>
      <c r="G494" s="6" t="s">
        <v>599</v>
      </c>
      <c r="H494" s="7"/>
      <c r="I494" s="6" t="s">
        <v>6486</v>
      </c>
      <c r="J494" s="6" t="s">
        <v>6487</v>
      </c>
      <c r="K494" s="6" t="s">
        <v>6488</v>
      </c>
      <c r="L494" s="6" t="s">
        <v>6489</v>
      </c>
      <c r="M494" s="6" t="s">
        <v>6490</v>
      </c>
      <c r="N494" s="7"/>
      <c r="O494" s="6" t="s">
        <v>6491</v>
      </c>
      <c r="P494" s="6" t="s">
        <v>6492</v>
      </c>
      <c r="Q494" s="6" t="s">
        <v>6493</v>
      </c>
      <c r="R494" s="6" t="s">
        <v>246</v>
      </c>
      <c r="S494" s="6" t="s">
        <v>147</v>
      </c>
      <c r="T494" s="6" t="s">
        <v>250</v>
      </c>
      <c r="U494" s="6" t="s">
        <v>560</v>
      </c>
      <c r="V494" s="6" t="s">
        <v>246</v>
      </c>
      <c r="W494" s="6" t="s">
        <v>158</v>
      </c>
      <c r="X494" s="6" t="s">
        <v>257</v>
      </c>
      <c r="Y494" s="6" t="s">
        <v>162</v>
      </c>
      <c r="Z494" s="6" t="s">
        <v>165</v>
      </c>
      <c r="AA494" s="6" t="s">
        <v>262</v>
      </c>
      <c r="AB494" s="6" t="s">
        <v>171</v>
      </c>
      <c r="AC494" s="6" t="s">
        <v>174</v>
      </c>
      <c r="AD494" s="6" t="s">
        <v>175</v>
      </c>
      <c r="AE494" s="6" t="s">
        <v>271</v>
      </c>
      <c r="AF494" s="6" t="s">
        <v>181</v>
      </c>
      <c r="AG494" s="6" t="s">
        <v>182</v>
      </c>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row>
    <row r="495" ht="22.5" customHeight="1">
      <c r="A495" s="4">
        <v>46229.699672118055</v>
      </c>
      <c r="B495" s="5">
        <v>0.0</v>
      </c>
      <c r="C495" s="6" t="s">
        <v>114</v>
      </c>
      <c r="D495" s="6" t="s">
        <v>1158</v>
      </c>
      <c r="E495" s="6" t="s">
        <v>1159</v>
      </c>
      <c r="F495" s="6">
        <v>6.9070506463E10</v>
      </c>
      <c r="G495" s="6" t="s">
        <v>599</v>
      </c>
      <c r="H495" s="7"/>
      <c r="I495" s="6" t="s">
        <v>6494</v>
      </c>
      <c r="J495" s="6" t="s">
        <v>3649</v>
      </c>
      <c r="K495" s="6" t="s">
        <v>1082</v>
      </c>
      <c r="L495" s="6" t="s">
        <v>4371</v>
      </c>
      <c r="M495" s="6" t="s">
        <v>3657</v>
      </c>
      <c r="N495" s="7"/>
      <c r="O495" s="6" t="s">
        <v>6495</v>
      </c>
      <c r="P495" s="6" t="s">
        <v>6496</v>
      </c>
      <c r="Q495" s="6" t="s">
        <v>6497</v>
      </c>
      <c r="R495" s="6" t="s">
        <v>257</v>
      </c>
      <c r="S495" s="6" t="s">
        <v>147</v>
      </c>
      <c r="T495" s="6" t="s">
        <v>250</v>
      </c>
      <c r="U495" s="6" t="s">
        <v>686</v>
      </c>
      <c r="V495" s="6" t="s">
        <v>155</v>
      </c>
      <c r="W495" s="6" t="s">
        <v>158</v>
      </c>
      <c r="X495" s="6" t="s">
        <v>161</v>
      </c>
      <c r="Y495" s="6" t="s">
        <v>162</v>
      </c>
      <c r="Z495" s="6" t="s">
        <v>165</v>
      </c>
      <c r="AA495" s="6" t="s">
        <v>168</v>
      </c>
      <c r="AB495" s="6" t="s">
        <v>521</v>
      </c>
      <c r="AC495" s="6" t="s">
        <v>174</v>
      </c>
      <c r="AD495" s="6" t="s">
        <v>175</v>
      </c>
      <c r="AE495" s="6" t="s">
        <v>271</v>
      </c>
      <c r="AF495" s="6" t="s">
        <v>181</v>
      </c>
      <c r="AG495" s="6" t="s">
        <v>182</v>
      </c>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row>
    <row r="496" ht="22.5" customHeight="1">
      <c r="A496" s="4">
        <v>46229.69967342593</v>
      </c>
      <c r="B496" s="5">
        <v>0.0</v>
      </c>
      <c r="C496" s="6" t="s">
        <v>114</v>
      </c>
      <c r="D496" s="6" t="s">
        <v>1160</v>
      </c>
      <c r="E496" s="6" t="s">
        <v>1161</v>
      </c>
      <c r="F496" s="6">
        <v>6.9070505221E10</v>
      </c>
      <c r="G496" s="6" t="s">
        <v>1470</v>
      </c>
      <c r="H496" s="7"/>
      <c r="I496" s="6" t="s">
        <v>4090</v>
      </c>
      <c r="J496" s="6" t="s">
        <v>6498</v>
      </c>
      <c r="K496" s="6" t="s">
        <v>3667</v>
      </c>
      <c r="L496" s="6" t="s">
        <v>6499</v>
      </c>
      <c r="M496" s="6" t="s">
        <v>6500</v>
      </c>
      <c r="N496" s="7"/>
      <c r="O496" s="6" t="s">
        <v>6501</v>
      </c>
      <c r="P496" s="6" t="s">
        <v>6502</v>
      </c>
      <c r="Q496" s="6" t="s">
        <v>6503</v>
      </c>
      <c r="R496" s="6" t="s">
        <v>246</v>
      </c>
      <c r="S496" s="6" t="s">
        <v>147</v>
      </c>
      <c r="T496" s="6" t="s">
        <v>250</v>
      </c>
      <c r="U496" s="6" t="s">
        <v>252</v>
      </c>
      <c r="V496" s="6" t="s">
        <v>246</v>
      </c>
      <c r="W496" s="6" t="s">
        <v>158</v>
      </c>
      <c r="X496" s="6" t="s">
        <v>257</v>
      </c>
      <c r="Y496" s="6" t="s">
        <v>162</v>
      </c>
      <c r="Z496" s="6" t="s">
        <v>165</v>
      </c>
      <c r="AA496" s="6" t="s">
        <v>262</v>
      </c>
      <c r="AB496" s="6" t="s">
        <v>521</v>
      </c>
      <c r="AC496" s="6" t="s">
        <v>174</v>
      </c>
      <c r="AD496" s="6" t="s">
        <v>175</v>
      </c>
      <c r="AE496" s="6" t="s">
        <v>271</v>
      </c>
      <c r="AF496" s="6" t="s">
        <v>181</v>
      </c>
      <c r="AG496" s="6" t="s">
        <v>182</v>
      </c>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row>
    <row r="497" ht="22.5" customHeight="1">
      <c r="A497" s="4">
        <v>46229.69968082176</v>
      </c>
      <c r="B497" s="5">
        <v>0.0</v>
      </c>
      <c r="C497" s="6" t="s">
        <v>114</v>
      </c>
      <c r="D497" s="6" t="s">
        <v>1162</v>
      </c>
      <c r="E497" s="6" t="s">
        <v>1163</v>
      </c>
      <c r="F497" s="6">
        <v>6.9070508842E10</v>
      </c>
      <c r="G497" s="6" t="s">
        <v>5399</v>
      </c>
      <c r="H497" s="7"/>
      <c r="I497" s="6" t="s">
        <v>6379</v>
      </c>
      <c r="J497" s="6" t="s">
        <v>6504</v>
      </c>
      <c r="K497" s="6" t="s">
        <v>6505</v>
      </c>
      <c r="L497" s="6" t="s">
        <v>6506</v>
      </c>
      <c r="M497" s="6" t="s">
        <v>6507</v>
      </c>
      <c r="N497" s="7"/>
      <c r="O497" s="6" t="s">
        <v>6508</v>
      </c>
      <c r="P497" s="6" t="s">
        <v>6509</v>
      </c>
      <c r="Q497" s="6" t="s">
        <v>6510</v>
      </c>
      <c r="R497" s="6" t="s">
        <v>257</v>
      </c>
      <c r="S497" s="6" t="s">
        <v>147</v>
      </c>
      <c r="T497" s="6" t="s">
        <v>246</v>
      </c>
      <c r="U497" s="6" t="s">
        <v>2254</v>
      </c>
      <c r="V497" s="6" t="s">
        <v>246</v>
      </c>
      <c r="W497" s="6" t="s">
        <v>158</v>
      </c>
      <c r="X497" s="6" t="s">
        <v>250</v>
      </c>
      <c r="Y497" s="6" t="s">
        <v>162</v>
      </c>
      <c r="Z497" s="6" t="s">
        <v>165</v>
      </c>
      <c r="AA497" s="6" t="s">
        <v>262</v>
      </c>
      <c r="AB497" s="6" t="s">
        <v>171</v>
      </c>
      <c r="AC497" s="6" t="s">
        <v>174</v>
      </c>
      <c r="AD497" s="6" t="s">
        <v>175</v>
      </c>
      <c r="AE497" s="6" t="s">
        <v>524</v>
      </c>
      <c r="AF497" s="6" t="s">
        <v>181</v>
      </c>
      <c r="AG497" s="6" t="s">
        <v>182</v>
      </c>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row>
    <row r="498" ht="22.5" customHeight="1">
      <c r="A498" s="4">
        <v>46229.69968457176</v>
      </c>
      <c r="B498" s="5">
        <v>0.0</v>
      </c>
      <c r="C498" s="6" t="s">
        <v>114</v>
      </c>
      <c r="D498" s="6" t="s">
        <v>1164</v>
      </c>
      <c r="E498" s="6" t="s">
        <v>1165</v>
      </c>
      <c r="F498" s="6">
        <v>6.907050643E10</v>
      </c>
      <c r="G498" s="6" t="s">
        <v>599</v>
      </c>
      <c r="H498" s="7"/>
      <c r="I498" s="6" t="s">
        <v>6511</v>
      </c>
      <c r="J498" s="6" t="s">
        <v>6512</v>
      </c>
      <c r="K498" s="6" t="s">
        <v>6513</v>
      </c>
      <c r="L498" s="6" t="s">
        <v>3562</v>
      </c>
      <c r="M498" s="6" t="s">
        <v>6514</v>
      </c>
      <c r="N498" s="7"/>
      <c r="O498" s="6" t="s">
        <v>6515</v>
      </c>
      <c r="P498" s="6" t="s">
        <v>6516</v>
      </c>
      <c r="Q498" s="6" t="s">
        <v>6517</v>
      </c>
      <c r="R498" s="6" t="s">
        <v>145</v>
      </c>
      <c r="S498" s="6" t="s">
        <v>147</v>
      </c>
      <c r="T498" s="6" t="s">
        <v>250</v>
      </c>
      <c r="U498" s="6" t="s">
        <v>686</v>
      </c>
      <c r="V498" s="6" t="s">
        <v>246</v>
      </c>
      <c r="W498" s="6" t="s">
        <v>158</v>
      </c>
      <c r="X498" s="6" t="s">
        <v>458</v>
      </c>
      <c r="Y498" s="6" t="s">
        <v>162</v>
      </c>
      <c r="Z498" s="6" t="s">
        <v>165</v>
      </c>
      <c r="AA498" s="6" t="s">
        <v>262</v>
      </c>
      <c r="AB498" s="6" t="s">
        <v>521</v>
      </c>
      <c r="AC498" s="6" t="s">
        <v>174</v>
      </c>
      <c r="AD498" s="6" t="s">
        <v>1723</v>
      </c>
      <c r="AE498" s="6" t="s">
        <v>271</v>
      </c>
      <c r="AF498" s="6" t="s">
        <v>181</v>
      </c>
      <c r="AG498" s="6" t="s">
        <v>182</v>
      </c>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row>
    <row r="499" ht="22.5" customHeight="1">
      <c r="A499" s="4">
        <v>46229.69968592592</v>
      </c>
      <c r="B499" s="5">
        <v>0.0</v>
      </c>
      <c r="C499" s="6" t="s">
        <v>114</v>
      </c>
      <c r="D499" s="6" t="s">
        <v>1166</v>
      </c>
      <c r="E499" s="6" t="s">
        <v>1167</v>
      </c>
      <c r="F499" s="6">
        <v>6.9070501021E10</v>
      </c>
      <c r="G499" s="6" t="s">
        <v>1470</v>
      </c>
      <c r="H499" s="7"/>
      <c r="I499" s="6" t="s">
        <v>6518</v>
      </c>
      <c r="J499" s="6" t="s">
        <v>6519</v>
      </c>
      <c r="K499" s="6" t="s">
        <v>6520</v>
      </c>
      <c r="L499" s="6" t="s">
        <v>6521</v>
      </c>
      <c r="M499" s="6" t="s">
        <v>6522</v>
      </c>
      <c r="N499" s="6" t="s">
        <v>6523</v>
      </c>
      <c r="O499" s="6" t="s">
        <v>6524</v>
      </c>
      <c r="P499" s="6" t="s">
        <v>6525</v>
      </c>
      <c r="Q499" s="6" t="s">
        <v>6526</v>
      </c>
      <c r="R499" s="6" t="s">
        <v>246</v>
      </c>
      <c r="S499" s="6" t="s">
        <v>147</v>
      </c>
      <c r="T499" s="6" t="s">
        <v>250</v>
      </c>
      <c r="U499" s="6" t="s">
        <v>686</v>
      </c>
      <c r="V499" s="6" t="s">
        <v>246</v>
      </c>
      <c r="W499" s="6" t="s">
        <v>158</v>
      </c>
      <c r="X499" s="6" t="s">
        <v>458</v>
      </c>
      <c r="Y499" s="6" t="s">
        <v>162</v>
      </c>
      <c r="Z499" s="6" t="s">
        <v>165</v>
      </c>
      <c r="AA499" s="6" t="s">
        <v>262</v>
      </c>
      <c r="AB499" s="6" t="s">
        <v>521</v>
      </c>
      <c r="AC499" s="6" t="s">
        <v>174</v>
      </c>
      <c r="AD499" s="6" t="s">
        <v>1723</v>
      </c>
      <c r="AE499" s="6" t="s">
        <v>271</v>
      </c>
      <c r="AF499" s="6" t="s">
        <v>811</v>
      </c>
      <c r="AG499" s="6" t="s">
        <v>182</v>
      </c>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row>
    <row r="500" ht="22.5" customHeight="1">
      <c r="A500" s="4">
        <v>46229.6996877662</v>
      </c>
      <c r="B500" s="5">
        <v>0.0</v>
      </c>
      <c r="C500" s="6" t="s">
        <v>3296</v>
      </c>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6" t="s">
        <v>2660</v>
      </c>
      <c r="AI500" s="6" t="s">
        <v>2661</v>
      </c>
      <c r="AJ500" s="6">
        <v>6.9070507838E10</v>
      </c>
      <c r="AK500" s="6" t="s">
        <v>5236</v>
      </c>
      <c r="AL500" s="7"/>
      <c r="AM500" s="6" t="s">
        <v>6527</v>
      </c>
      <c r="AN500" s="6" t="s">
        <v>6528</v>
      </c>
      <c r="AO500" s="6" t="s">
        <v>6529</v>
      </c>
      <c r="AP500" s="6" t="s">
        <v>6530</v>
      </c>
      <c r="AQ500" s="6" t="s">
        <v>6531</v>
      </c>
      <c r="AR500" s="7"/>
      <c r="AS500" s="6" t="s">
        <v>6532</v>
      </c>
      <c r="AT500" s="6" t="s">
        <v>6533</v>
      </c>
      <c r="AU500" s="6" t="s">
        <v>6534</v>
      </c>
      <c r="AV500" s="6" t="s">
        <v>3306</v>
      </c>
      <c r="AW500" s="6" t="s">
        <v>3307</v>
      </c>
      <c r="AX500" s="6" t="s">
        <v>3887</v>
      </c>
      <c r="AY500" s="6" t="s">
        <v>3309</v>
      </c>
      <c r="AZ500" s="6" t="s">
        <v>3306</v>
      </c>
      <c r="BA500" s="6" t="s">
        <v>3311</v>
      </c>
      <c r="BB500" s="6" t="s">
        <v>4693</v>
      </c>
      <c r="BC500" s="6" t="s">
        <v>3313</v>
      </c>
      <c r="BD500" s="6" t="s">
        <v>152</v>
      </c>
      <c r="BE500" s="6" t="s">
        <v>3888</v>
      </c>
      <c r="BF500" s="6" t="s">
        <v>3315</v>
      </c>
      <c r="BG500" s="6" t="s">
        <v>5760</v>
      </c>
      <c r="BH500" s="6" t="s">
        <v>3317</v>
      </c>
      <c r="BI500" s="6" t="s">
        <v>178</v>
      </c>
      <c r="BJ500" s="6" t="s">
        <v>3318</v>
      </c>
      <c r="BK500" s="6" t="s">
        <v>3319</v>
      </c>
    </row>
    <row r="501" ht="22.5" customHeight="1">
      <c r="A501" s="4">
        <v>46229.69968942129</v>
      </c>
      <c r="B501" s="5">
        <v>0.0</v>
      </c>
      <c r="C501" s="6" t="s">
        <v>114</v>
      </c>
      <c r="D501" s="6" t="s">
        <v>1168</v>
      </c>
      <c r="E501" s="6" t="s">
        <v>1169</v>
      </c>
      <c r="F501" s="6">
        <v>6.9070501226E10</v>
      </c>
      <c r="G501" s="6" t="s">
        <v>228</v>
      </c>
      <c r="H501" s="6" t="s">
        <v>6535</v>
      </c>
      <c r="I501" s="6" t="s">
        <v>6536</v>
      </c>
      <c r="J501" s="6" t="s">
        <v>6537</v>
      </c>
      <c r="K501" s="6" t="s">
        <v>6538</v>
      </c>
      <c r="L501" s="6" t="s">
        <v>6539</v>
      </c>
      <c r="M501" s="6" t="s">
        <v>6540</v>
      </c>
      <c r="N501" s="6" t="s">
        <v>6541</v>
      </c>
      <c r="O501" s="6" t="s">
        <v>6542</v>
      </c>
      <c r="P501" s="6" t="s">
        <v>6543</v>
      </c>
      <c r="Q501" s="6" t="s">
        <v>6544</v>
      </c>
      <c r="R501" s="6" t="s">
        <v>246</v>
      </c>
      <c r="S501" s="6" t="s">
        <v>147</v>
      </c>
      <c r="T501" s="6" t="s">
        <v>250</v>
      </c>
      <c r="U501" s="6" t="s">
        <v>686</v>
      </c>
      <c r="V501" s="6" t="s">
        <v>246</v>
      </c>
      <c r="W501" s="6" t="s">
        <v>158</v>
      </c>
      <c r="X501" s="6" t="s">
        <v>257</v>
      </c>
      <c r="Y501" s="6" t="s">
        <v>162</v>
      </c>
      <c r="Z501" s="6" t="s">
        <v>165</v>
      </c>
      <c r="AA501" s="6" t="s">
        <v>262</v>
      </c>
      <c r="AB501" s="6" t="s">
        <v>171</v>
      </c>
      <c r="AC501" s="6" t="s">
        <v>174</v>
      </c>
      <c r="AD501" s="6" t="s">
        <v>175</v>
      </c>
      <c r="AE501" s="6" t="s">
        <v>271</v>
      </c>
      <c r="AF501" s="6" t="s">
        <v>181</v>
      </c>
      <c r="AG501" s="6" t="s">
        <v>182</v>
      </c>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row>
    <row r="502" ht="22.5" customHeight="1">
      <c r="A502" s="4">
        <v>46229.69969042824</v>
      </c>
      <c r="B502" s="5">
        <v>0.0</v>
      </c>
      <c r="C502" s="6" t="s">
        <v>114</v>
      </c>
      <c r="D502" s="6" t="s">
        <v>1170</v>
      </c>
      <c r="E502" s="6" t="s">
        <v>1171</v>
      </c>
      <c r="F502" s="6">
        <v>6.9070501211E10</v>
      </c>
      <c r="G502" s="6" t="s">
        <v>228</v>
      </c>
      <c r="H502" s="7"/>
      <c r="I502" s="6" t="s">
        <v>6545</v>
      </c>
      <c r="J502" s="6" t="s">
        <v>6546</v>
      </c>
      <c r="K502" s="6" t="s">
        <v>6547</v>
      </c>
      <c r="L502" s="6" t="s">
        <v>6548</v>
      </c>
      <c r="M502" s="6" t="s">
        <v>6549</v>
      </c>
      <c r="N502" s="7"/>
      <c r="O502" s="6" t="s">
        <v>6550</v>
      </c>
      <c r="P502" s="6" t="s">
        <v>6551</v>
      </c>
      <c r="Q502" s="6" t="s">
        <v>6552</v>
      </c>
      <c r="R502" s="6" t="s">
        <v>246</v>
      </c>
      <c r="S502" s="6" t="s">
        <v>147</v>
      </c>
      <c r="T502" s="6" t="s">
        <v>250</v>
      </c>
      <c r="U502" s="6" t="s">
        <v>252</v>
      </c>
      <c r="V502" s="6" t="s">
        <v>246</v>
      </c>
      <c r="W502" s="6" t="s">
        <v>158</v>
      </c>
      <c r="X502" s="6" t="s">
        <v>257</v>
      </c>
      <c r="Y502" s="6" t="s">
        <v>162</v>
      </c>
      <c r="Z502" s="6" t="s">
        <v>165</v>
      </c>
      <c r="AA502" s="6" t="s">
        <v>262</v>
      </c>
      <c r="AB502" s="6" t="s">
        <v>521</v>
      </c>
      <c r="AC502" s="6" t="s">
        <v>174</v>
      </c>
      <c r="AD502" s="6" t="s">
        <v>175</v>
      </c>
      <c r="AE502" s="6" t="s">
        <v>271</v>
      </c>
      <c r="AF502" s="6" t="s">
        <v>181</v>
      </c>
      <c r="AG502" s="6" t="s">
        <v>182</v>
      </c>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row>
    <row r="503" ht="22.5" customHeight="1">
      <c r="A503" s="4">
        <v>46229.699703819446</v>
      </c>
      <c r="B503" s="5">
        <v>0.0</v>
      </c>
      <c r="C503" s="6" t="s">
        <v>114</v>
      </c>
      <c r="D503" s="6" t="s">
        <v>1172</v>
      </c>
      <c r="E503" s="6" t="s">
        <v>1173</v>
      </c>
      <c r="F503" s="6">
        <v>6.9070509628E10</v>
      </c>
      <c r="G503" s="6" t="s">
        <v>730</v>
      </c>
      <c r="H503" s="7"/>
      <c r="I503" s="6" t="s">
        <v>6553</v>
      </c>
      <c r="J503" s="6" t="s">
        <v>6554</v>
      </c>
      <c r="K503" s="6" t="s">
        <v>6555</v>
      </c>
      <c r="L503" s="6" t="s">
        <v>6556</v>
      </c>
      <c r="M503" s="6" t="s">
        <v>6557</v>
      </c>
      <c r="N503" s="6" t="s">
        <v>6558</v>
      </c>
      <c r="O503" s="6" t="s">
        <v>6559</v>
      </c>
      <c r="P503" s="6" t="s">
        <v>6560</v>
      </c>
      <c r="Q503" s="6" t="s">
        <v>6561</v>
      </c>
      <c r="R503" s="6" t="s">
        <v>257</v>
      </c>
      <c r="S503" s="6" t="s">
        <v>147</v>
      </c>
      <c r="T503" s="6" t="s">
        <v>246</v>
      </c>
      <c r="U503" s="6" t="s">
        <v>252</v>
      </c>
      <c r="V503" s="6" t="s">
        <v>246</v>
      </c>
      <c r="W503" s="6" t="s">
        <v>158</v>
      </c>
      <c r="X503" s="6" t="s">
        <v>257</v>
      </c>
      <c r="Y503" s="6" t="s">
        <v>162</v>
      </c>
      <c r="Z503" s="6" t="s">
        <v>165</v>
      </c>
      <c r="AA503" s="6" t="s">
        <v>262</v>
      </c>
      <c r="AB503" s="6" t="s">
        <v>171</v>
      </c>
      <c r="AC503" s="6" t="s">
        <v>2718</v>
      </c>
      <c r="AD503" s="6" t="s">
        <v>175</v>
      </c>
      <c r="AE503" s="6" t="s">
        <v>271</v>
      </c>
      <c r="AF503" s="6" t="s">
        <v>181</v>
      </c>
      <c r="AG503" s="6" t="s">
        <v>182</v>
      </c>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row>
    <row r="504" ht="22.5" customHeight="1">
      <c r="A504" s="4">
        <v>46229.69970420139</v>
      </c>
      <c r="B504" s="5">
        <v>0.0</v>
      </c>
      <c r="C504" s="6" t="s">
        <v>114</v>
      </c>
      <c r="D504" s="6" t="s">
        <v>1174</v>
      </c>
      <c r="E504" s="6" t="s">
        <v>1175</v>
      </c>
      <c r="F504" s="6">
        <v>6.9070501216E10</v>
      </c>
      <c r="G504" s="6" t="s">
        <v>228</v>
      </c>
      <c r="H504" s="7"/>
      <c r="I504" s="6" t="s">
        <v>6562</v>
      </c>
      <c r="J504" s="6" t="s">
        <v>6563</v>
      </c>
      <c r="K504" s="6" t="s">
        <v>6564</v>
      </c>
      <c r="L504" s="6" t="s">
        <v>6565</v>
      </c>
      <c r="M504" s="6" t="s">
        <v>6566</v>
      </c>
      <c r="N504" s="7"/>
      <c r="O504" s="6" t="s">
        <v>6567</v>
      </c>
      <c r="P504" s="6" t="s">
        <v>6568</v>
      </c>
      <c r="Q504" s="6" t="s">
        <v>6569</v>
      </c>
      <c r="R504" s="6" t="s">
        <v>246</v>
      </c>
      <c r="S504" s="6" t="s">
        <v>147</v>
      </c>
      <c r="T504" s="6" t="s">
        <v>250</v>
      </c>
      <c r="U504" s="6" t="s">
        <v>252</v>
      </c>
      <c r="V504" s="6" t="s">
        <v>246</v>
      </c>
      <c r="W504" s="6" t="s">
        <v>158</v>
      </c>
      <c r="X504" s="6" t="s">
        <v>257</v>
      </c>
      <c r="Y504" s="6" t="s">
        <v>162</v>
      </c>
      <c r="Z504" s="6" t="s">
        <v>165</v>
      </c>
      <c r="AA504" s="6" t="s">
        <v>262</v>
      </c>
      <c r="AB504" s="6" t="s">
        <v>521</v>
      </c>
      <c r="AC504" s="6" t="s">
        <v>174</v>
      </c>
      <c r="AD504" s="6" t="s">
        <v>175</v>
      </c>
      <c r="AE504" s="6" t="s">
        <v>271</v>
      </c>
      <c r="AF504" s="6" t="s">
        <v>181</v>
      </c>
      <c r="AG504" s="6" t="s">
        <v>182</v>
      </c>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row>
    <row r="505" ht="22.5" customHeight="1">
      <c r="A505" s="4">
        <v>46229.69970806713</v>
      </c>
      <c r="B505" s="5">
        <v>0.0</v>
      </c>
      <c r="C505" s="6" t="s">
        <v>114</v>
      </c>
      <c r="D505" s="6" t="s">
        <v>1176</v>
      </c>
      <c r="E505" s="6" t="s">
        <v>1177</v>
      </c>
      <c r="F505" s="6">
        <v>6.9070508221E10</v>
      </c>
      <c r="G505" s="6" t="s">
        <v>730</v>
      </c>
      <c r="H505" s="6" t="s">
        <v>6570</v>
      </c>
      <c r="I505" s="6" t="s">
        <v>6571</v>
      </c>
      <c r="J505" s="6" t="s">
        <v>6572</v>
      </c>
      <c r="K505" s="6" t="s">
        <v>6573</v>
      </c>
      <c r="L505" s="6" t="s">
        <v>6574</v>
      </c>
      <c r="M505" s="6" t="s">
        <v>6575</v>
      </c>
      <c r="N505" s="7"/>
      <c r="O505" s="6" t="s">
        <v>6576</v>
      </c>
      <c r="P505" s="6" t="s">
        <v>6577</v>
      </c>
      <c r="Q505" s="6" t="s">
        <v>6578</v>
      </c>
      <c r="R505" s="6" t="s">
        <v>246</v>
      </c>
      <c r="S505" s="6" t="s">
        <v>147</v>
      </c>
      <c r="T505" s="6" t="s">
        <v>149</v>
      </c>
      <c r="U505" s="6" t="s">
        <v>252</v>
      </c>
      <c r="V505" s="6" t="s">
        <v>246</v>
      </c>
      <c r="W505" s="6" t="s">
        <v>158</v>
      </c>
      <c r="X505" s="6" t="s">
        <v>257</v>
      </c>
      <c r="Y505" s="6" t="s">
        <v>162</v>
      </c>
      <c r="Z505" s="6" t="s">
        <v>165</v>
      </c>
      <c r="AA505" s="6" t="s">
        <v>262</v>
      </c>
      <c r="AB505" s="6" t="s">
        <v>521</v>
      </c>
      <c r="AC505" s="6" t="s">
        <v>174</v>
      </c>
      <c r="AD505" s="6" t="s">
        <v>175</v>
      </c>
      <c r="AE505" s="6" t="s">
        <v>271</v>
      </c>
      <c r="AF505" s="6" t="s">
        <v>181</v>
      </c>
      <c r="AG505" s="6" t="s">
        <v>182</v>
      </c>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row>
    <row r="506" ht="22.5" customHeight="1">
      <c r="A506" s="4">
        <v>46229.69971165509</v>
      </c>
      <c r="B506" s="5">
        <v>0.0</v>
      </c>
      <c r="C506" s="6" t="s">
        <v>114</v>
      </c>
      <c r="D506" s="6" t="s">
        <v>1178</v>
      </c>
      <c r="E506" s="6" t="s">
        <v>1179</v>
      </c>
      <c r="F506" s="6">
        <v>6.9070501279E10</v>
      </c>
      <c r="G506" s="6" t="s">
        <v>228</v>
      </c>
      <c r="H506" s="7"/>
      <c r="I506" s="6" t="s">
        <v>6579</v>
      </c>
      <c r="J506" s="6" t="s">
        <v>6580</v>
      </c>
      <c r="K506" s="6" t="s">
        <v>6581</v>
      </c>
      <c r="L506" s="6" t="s">
        <v>6198</v>
      </c>
      <c r="M506" s="6" t="s">
        <v>5249</v>
      </c>
      <c r="N506" s="6" t="s">
        <v>6582</v>
      </c>
      <c r="O506" s="6" t="s">
        <v>6583</v>
      </c>
      <c r="P506" s="6" t="s">
        <v>6584</v>
      </c>
      <c r="Q506" s="6" t="s">
        <v>6585</v>
      </c>
      <c r="R506" s="6" t="s">
        <v>246</v>
      </c>
      <c r="S506" s="6" t="s">
        <v>147</v>
      </c>
      <c r="T506" s="6" t="s">
        <v>250</v>
      </c>
      <c r="U506" s="6" t="s">
        <v>686</v>
      </c>
      <c r="V506" s="6" t="s">
        <v>246</v>
      </c>
      <c r="W506" s="6" t="s">
        <v>158</v>
      </c>
      <c r="X506" s="6" t="s">
        <v>257</v>
      </c>
      <c r="Y506" s="6" t="s">
        <v>162</v>
      </c>
      <c r="Z506" s="6" t="s">
        <v>165</v>
      </c>
      <c r="AA506" s="6" t="s">
        <v>262</v>
      </c>
      <c r="AB506" s="6" t="s">
        <v>521</v>
      </c>
      <c r="AC506" s="6" t="s">
        <v>174</v>
      </c>
      <c r="AD506" s="6" t="s">
        <v>175</v>
      </c>
      <c r="AE506" s="6" t="s">
        <v>271</v>
      </c>
      <c r="AF506" s="6" t="s">
        <v>181</v>
      </c>
      <c r="AG506" s="6" t="s">
        <v>182</v>
      </c>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row>
    <row r="507" ht="22.5" customHeight="1">
      <c r="A507" s="4">
        <v>46229.69971314815</v>
      </c>
      <c r="B507" s="5">
        <v>0.0</v>
      </c>
      <c r="C507" s="6" t="s">
        <v>114</v>
      </c>
      <c r="D507" s="6" t="s">
        <v>1180</v>
      </c>
      <c r="E507" s="6" t="s">
        <v>1181</v>
      </c>
      <c r="F507" s="6">
        <v>6.9070509633E10</v>
      </c>
      <c r="G507" s="6" t="s">
        <v>730</v>
      </c>
      <c r="H507" s="7"/>
      <c r="I507" s="6" t="s">
        <v>6586</v>
      </c>
      <c r="J507" s="6" t="s">
        <v>6587</v>
      </c>
      <c r="K507" s="6" t="s">
        <v>6588</v>
      </c>
      <c r="L507" s="6" t="s">
        <v>6589</v>
      </c>
      <c r="M507" s="6" t="s">
        <v>6590</v>
      </c>
      <c r="N507" s="7"/>
      <c r="O507" s="6" t="s">
        <v>6591</v>
      </c>
      <c r="P507" s="6" t="s">
        <v>4194</v>
      </c>
      <c r="Q507" s="6" t="s">
        <v>6592</v>
      </c>
      <c r="R507" s="6" t="s">
        <v>246</v>
      </c>
      <c r="S507" s="6" t="s">
        <v>147</v>
      </c>
      <c r="T507" s="6" t="s">
        <v>257</v>
      </c>
      <c r="U507" s="6" t="s">
        <v>252</v>
      </c>
      <c r="V507" s="6" t="s">
        <v>246</v>
      </c>
      <c r="W507" s="6" t="s">
        <v>158</v>
      </c>
      <c r="X507" s="6" t="s">
        <v>257</v>
      </c>
      <c r="Y507" s="6" t="s">
        <v>162</v>
      </c>
      <c r="Z507" s="6" t="s">
        <v>165</v>
      </c>
      <c r="AA507" s="6" t="s">
        <v>262</v>
      </c>
      <c r="AB507" s="6" t="s">
        <v>171</v>
      </c>
      <c r="AC507" s="6" t="s">
        <v>174</v>
      </c>
      <c r="AD507" s="6" t="s">
        <v>1723</v>
      </c>
      <c r="AE507" s="6" t="s">
        <v>271</v>
      </c>
      <c r="AF507" s="6" t="s">
        <v>181</v>
      </c>
      <c r="AG507" s="6" t="s">
        <v>182</v>
      </c>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row>
    <row r="508" ht="22.5" customHeight="1">
      <c r="A508" s="4">
        <v>46229.69971458333</v>
      </c>
      <c r="B508" s="5">
        <v>0.0</v>
      </c>
      <c r="C508" s="6" t="s">
        <v>114</v>
      </c>
      <c r="D508" s="6" t="s">
        <v>1182</v>
      </c>
      <c r="E508" s="6" t="s">
        <v>1183</v>
      </c>
      <c r="F508" s="6">
        <v>6.9070500443E10</v>
      </c>
      <c r="G508" s="6" t="s">
        <v>310</v>
      </c>
      <c r="H508" s="6" t="s">
        <v>6593</v>
      </c>
      <c r="I508" s="6" t="s">
        <v>6594</v>
      </c>
      <c r="J508" s="6" t="s">
        <v>6595</v>
      </c>
      <c r="K508" s="6" t="s">
        <v>6596</v>
      </c>
      <c r="L508" s="6" t="s">
        <v>6597</v>
      </c>
      <c r="M508" s="6" t="s">
        <v>6598</v>
      </c>
      <c r="N508" s="7"/>
      <c r="O508" s="6" t="s">
        <v>6599</v>
      </c>
      <c r="P508" s="6" t="s">
        <v>6600</v>
      </c>
      <c r="Q508" s="6" t="s">
        <v>6601</v>
      </c>
      <c r="R508" s="6" t="s">
        <v>257</v>
      </c>
      <c r="S508" s="6" t="s">
        <v>147</v>
      </c>
      <c r="T508" s="6" t="s">
        <v>246</v>
      </c>
      <c r="U508" s="6" t="s">
        <v>686</v>
      </c>
      <c r="V508" s="6" t="s">
        <v>246</v>
      </c>
      <c r="W508" s="6" t="s">
        <v>158</v>
      </c>
      <c r="X508" s="6" t="s">
        <v>257</v>
      </c>
      <c r="Y508" s="6" t="s">
        <v>162</v>
      </c>
      <c r="Z508" s="6" t="s">
        <v>165</v>
      </c>
      <c r="AA508" s="6" t="s">
        <v>262</v>
      </c>
      <c r="AB508" s="6" t="s">
        <v>1266</v>
      </c>
      <c r="AC508" s="6" t="s">
        <v>174</v>
      </c>
      <c r="AD508" s="6" t="s">
        <v>1723</v>
      </c>
      <c r="AE508" s="6" t="s">
        <v>271</v>
      </c>
      <c r="AF508" s="6" t="s">
        <v>181</v>
      </c>
      <c r="AG508" s="6" t="s">
        <v>182</v>
      </c>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row>
    <row r="509" ht="22.5" customHeight="1">
      <c r="A509" s="4">
        <v>46229.699720439814</v>
      </c>
      <c r="B509" s="5">
        <v>0.0</v>
      </c>
      <c r="C509" s="6" t="s">
        <v>114</v>
      </c>
      <c r="D509" s="6" t="s">
        <v>1184</v>
      </c>
      <c r="E509" s="6" t="s">
        <v>1185</v>
      </c>
      <c r="F509" s="6">
        <v>6.9070505218E10</v>
      </c>
      <c r="G509" s="6" t="s">
        <v>1470</v>
      </c>
      <c r="H509" s="7"/>
      <c r="I509" s="6" t="s">
        <v>6602</v>
      </c>
      <c r="J509" s="6" t="s">
        <v>3163</v>
      </c>
      <c r="K509" s="6" t="s">
        <v>6603</v>
      </c>
      <c r="L509" s="6" t="s">
        <v>6604</v>
      </c>
      <c r="M509" s="6" t="s">
        <v>6512</v>
      </c>
      <c r="N509" s="7"/>
      <c r="O509" s="6" t="s">
        <v>6605</v>
      </c>
      <c r="P509" s="6" t="s">
        <v>6606</v>
      </c>
      <c r="Q509" s="6" t="s">
        <v>6607</v>
      </c>
      <c r="R509" s="6" t="s">
        <v>246</v>
      </c>
      <c r="S509" s="6" t="s">
        <v>147</v>
      </c>
      <c r="T509" s="6" t="s">
        <v>250</v>
      </c>
      <c r="U509" s="6" t="s">
        <v>252</v>
      </c>
      <c r="V509" s="6" t="s">
        <v>246</v>
      </c>
      <c r="W509" s="6" t="s">
        <v>158</v>
      </c>
      <c r="X509" s="6" t="s">
        <v>257</v>
      </c>
      <c r="Y509" s="6" t="s">
        <v>162</v>
      </c>
      <c r="Z509" s="6" t="s">
        <v>165</v>
      </c>
      <c r="AA509" s="6" t="s">
        <v>262</v>
      </c>
      <c r="AB509" s="6" t="s">
        <v>171</v>
      </c>
      <c r="AC509" s="6" t="s">
        <v>174</v>
      </c>
      <c r="AD509" s="6" t="s">
        <v>1723</v>
      </c>
      <c r="AE509" s="6" t="s">
        <v>271</v>
      </c>
      <c r="AF509" s="6" t="s">
        <v>181</v>
      </c>
      <c r="AG509" s="6" t="s">
        <v>182</v>
      </c>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row>
    <row r="510" ht="22.5" customHeight="1">
      <c r="A510" s="4">
        <v>46229.699728287036</v>
      </c>
      <c r="B510" s="5">
        <v>0.0</v>
      </c>
      <c r="C510" s="6" t="s">
        <v>114</v>
      </c>
      <c r="D510" s="6" t="s">
        <v>1188</v>
      </c>
      <c r="E510" s="6" t="s">
        <v>1190</v>
      </c>
      <c r="F510" s="6">
        <v>6.9070500002E10</v>
      </c>
      <c r="G510" s="6" t="s">
        <v>4580</v>
      </c>
      <c r="H510" s="7"/>
      <c r="I510" s="6" t="s">
        <v>6608</v>
      </c>
      <c r="J510" s="6" t="s">
        <v>6609</v>
      </c>
      <c r="K510" s="6" t="s">
        <v>4917</v>
      </c>
      <c r="L510" s="6" t="s">
        <v>6610</v>
      </c>
      <c r="M510" s="6" t="s">
        <v>6611</v>
      </c>
      <c r="N510" s="7"/>
      <c r="O510" s="6" t="s">
        <v>6612</v>
      </c>
      <c r="P510" s="6" t="s">
        <v>6613</v>
      </c>
      <c r="Q510" s="6" t="s">
        <v>6614</v>
      </c>
      <c r="R510" s="6" t="s">
        <v>257</v>
      </c>
      <c r="S510" s="6" t="s">
        <v>147</v>
      </c>
      <c r="T510" s="6" t="s">
        <v>250</v>
      </c>
      <c r="U510" s="6" t="s">
        <v>252</v>
      </c>
      <c r="V510" s="6" t="s">
        <v>246</v>
      </c>
      <c r="W510" s="6" t="s">
        <v>158</v>
      </c>
      <c r="X510" s="6" t="s">
        <v>161</v>
      </c>
      <c r="Y510" s="6" t="s">
        <v>162</v>
      </c>
      <c r="Z510" s="6" t="s">
        <v>165</v>
      </c>
      <c r="AA510" s="6" t="s">
        <v>262</v>
      </c>
      <c r="AB510" s="6" t="s">
        <v>171</v>
      </c>
      <c r="AC510" s="6" t="s">
        <v>1669</v>
      </c>
      <c r="AD510" s="6" t="s">
        <v>641</v>
      </c>
      <c r="AE510" s="6" t="s">
        <v>3105</v>
      </c>
      <c r="AF510" s="6" t="s">
        <v>181</v>
      </c>
      <c r="AG510" s="6" t="s">
        <v>641</v>
      </c>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row>
    <row r="511" ht="22.5" customHeight="1">
      <c r="A511" s="4">
        <v>46229.69972959491</v>
      </c>
      <c r="B511" s="5">
        <v>0.0</v>
      </c>
      <c r="C511" s="6" t="s">
        <v>114</v>
      </c>
      <c r="D511" s="6" t="s">
        <v>1193</v>
      </c>
      <c r="E511" s="6" t="s">
        <v>1194</v>
      </c>
      <c r="F511" s="6">
        <v>6.9070500416E10</v>
      </c>
      <c r="G511" s="6" t="s">
        <v>310</v>
      </c>
      <c r="H511" s="7"/>
      <c r="I511" s="6" t="s">
        <v>2605</v>
      </c>
      <c r="J511" s="6" t="s">
        <v>6615</v>
      </c>
      <c r="K511" s="6" t="s">
        <v>6616</v>
      </c>
      <c r="L511" s="6" t="s">
        <v>3200</v>
      </c>
      <c r="M511" s="6" t="s">
        <v>6072</v>
      </c>
      <c r="N511" s="6" t="s">
        <v>6617</v>
      </c>
      <c r="O511" s="6" t="s">
        <v>6618</v>
      </c>
      <c r="P511" s="6" t="s">
        <v>6619</v>
      </c>
      <c r="Q511" s="6" t="s">
        <v>6620</v>
      </c>
      <c r="R511" s="6" t="s">
        <v>246</v>
      </c>
      <c r="S511" s="6" t="s">
        <v>147</v>
      </c>
      <c r="T511" s="6" t="s">
        <v>250</v>
      </c>
      <c r="U511" s="6" t="s">
        <v>252</v>
      </c>
      <c r="V511" s="6" t="s">
        <v>155</v>
      </c>
      <c r="W511" s="6" t="s">
        <v>6621</v>
      </c>
      <c r="X511" s="6" t="s">
        <v>257</v>
      </c>
      <c r="Y511" s="6" t="s">
        <v>162</v>
      </c>
      <c r="Z511" s="6" t="s">
        <v>165</v>
      </c>
      <c r="AA511" s="6" t="s">
        <v>262</v>
      </c>
      <c r="AB511" s="6" t="s">
        <v>171</v>
      </c>
      <c r="AC511" s="6" t="s">
        <v>174</v>
      </c>
      <c r="AD511" s="6" t="s">
        <v>175</v>
      </c>
      <c r="AE511" s="6" t="s">
        <v>271</v>
      </c>
      <c r="AF511" s="6" t="s">
        <v>181</v>
      </c>
      <c r="AG511" s="6" t="s">
        <v>182</v>
      </c>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row>
    <row r="512" ht="22.5" customHeight="1">
      <c r="A512" s="4">
        <v>46229.69973020833</v>
      </c>
      <c r="B512" s="5">
        <v>0.0</v>
      </c>
      <c r="C512" s="6" t="s">
        <v>114</v>
      </c>
      <c r="D512" s="6" t="s">
        <v>1196</v>
      </c>
      <c r="E512" s="6" t="s">
        <v>1198</v>
      </c>
      <c r="F512" s="6">
        <v>6.9070500468E10</v>
      </c>
      <c r="G512" s="6" t="s">
        <v>310</v>
      </c>
      <c r="H512" s="7"/>
      <c r="I512" s="6" t="s">
        <v>6622</v>
      </c>
      <c r="J512" s="6" t="s">
        <v>6623</v>
      </c>
      <c r="K512" s="6" t="s">
        <v>6624</v>
      </c>
      <c r="L512" s="6" t="s">
        <v>6625</v>
      </c>
      <c r="M512" s="6" t="s">
        <v>6626</v>
      </c>
      <c r="N512" s="7"/>
      <c r="O512" s="6" t="s">
        <v>6627</v>
      </c>
      <c r="P512" s="6" t="s">
        <v>6628</v>
      </c>
      <c r="Q512" s="6" t="s">
        <v>6629</v>
      </c>
      <c r="R512" s="6" t="s">
        <v>246</v>
      </c>
      <c r="S512" s="6" t="s">
        <v>147</v>
      </c>
      <c r="T512" s="6" t="s">
        <v>250</v>
      </c>
      <c r="U512" s="6" t="s">
        <v>560</v>
      </c>
      <c r="V512" s="6" t="s">
        <v>246</v>
      </c>
      <c r="W512" s="6" t="s">
        <v>158</v>
      </c>
      <c r="X512" s="6" t="s">
        <v>257</v>
      </c>
      <c r="Y512" s="6" t="s">
        <v>162</v>
      </c>
      <c r="Z512" s="6" t="s">
        <v>165</v>
      </c>
      <c r="AA512" s="6" t="s">
        <v>262</v>
      </c>
      <c r="AB512" s="6" t="s">
        <v>171</v>
      </c>
      <c r="AC512" s="6" t="s">
        <v>174</v>
      </c>
      <c r="AD512" s="6" t="s">
        <v>175</v>
      </c>
      <c r="AE512" s="6" t="s">
        <v>271</v>
      </c>
      <c r="AF512" s="6" t="s">
        <v>181</v>
      </c>
      <c r="AG512" s="6" t="s">
        <v>182</v>
      </c>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row>
    <row r="513" ht="22.5" customHeight="1">
      <c r="A513" s="4">
        <v>46229.69973400463</v>
      </c>
      <c r="B513" s="5">
        <v>0.0</v>
      </c>
      <c r="C513" s="6" t="s">
        <v>114</v>
      </c>
      <c r="D513" s="6" t="s">
        <v>1200</v>
      </c>
      <c r="E513" s="6" t="s">
        <v>1201</v>
      </c>
      <c r="F513" s="6">
        <v>6.9070509604E10</v>
      </c>
      <c r="G513" s="6" t="s">
        <v>730</v>
      </c>
      <c r="H513" s="7"/>
      <c r="I513" s="6" t="s">
        <v>6630</v>
      </c>
      <c r="J513" s="6" t="s">
        <v>6631</v>
      </c>
      <c r="K513" s="6" t="s">
        <v>6632</v>
      </c>
      <c r="L513" s="6" t="s">
        <v>6633</v>
      </c>
      <c r="M513" s="6" t="s">
        <v>6634</v>
      </c>
      <c r="N513" s="7"/>
      <c r="O513" s="6" t="s">
        <v>6635</v>
      </c>
      <c r="P513" s="6" t="s">
        <v>6636</v>
      </c>
      <c r="Q513" s="6" t="s">
        <v>6637</v>
      </c>
      <c r="R513" s="6" t="s">
        <v>246</v>
      </c>
      <c r="S513" s="6" t="s">
        <v>147</v>
      </c>
      <c r="T513" s="6" t="s">
        <v>516</v>
      </c>
      <c r="U513" s="6" t="s">
        <v>560</v>
      </c>
      <c r="V513" s="6" t="s">
        <v>246</v>
      </c>
      <c r="W513" s="6" t="s">
        <v>158</v>
      </c>
      <c r="X513" s="6" t="s">
        <v>458</v>
      </c>
      <c r="Y513" s="6" t="s">
        <v>162</v>
      </c>
      <c r="Z513" s="6" t="s">
        <v>165</v>
      </c>
      <c r="AA513" s="6" t="s">
        <v>262</v>
      </c>
      <c r="AB513" s="6" t="s">
        <v>171</v>
      </c>
      <c r="AC513" s="6" t="s">
        <v>1669</v>
      </c>
      <c r="AD513" s="6" t="s">
        <v>175</v>
      </c>
      <c r="AE513" s="6" t="s">
        <v>271</v>
      </c>
      <c r="AF513" s="6" t="s">
        <v>181</v>
      </c>
      <c r="AG513" s="6" t="s">
        <v>182</v>
      </c>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row>
    <row r="514" ht="22.5" customHeight="1">
      <c r="A514" s="4">
        <v>46229.69973743055</v>
      </c>
      <c r="B514" s="5">
        <v>0.0</v>
      </c>
      <c r="C514" s="6" t="s">
        <v>3296</v>
      </c>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6" t="s">
        <v>2662</v>
      </c>
      <c r="AI514" s="6" t="s">
        <v>2663</v>
      </c>
      <c r="AJ514" s="6">
        <v>6.9070503451E10</v>
      </c>
      <c r="AK514" s="6" t="s">
        <v>3297</v>
      </c>
      <c r="AL514" s="7"/>
      <c r="AM514" s="6" t="s">
        <v>6638</v>
      </c>
      <c r="AN514" s="6" t="s">
        <v>6639</v>
      </c>
      <c r="AO514" s="6" t="s">
        <v>6640</v>
      </c>
      <c r="AP514" s="6" t="s">
        <v>6641</v>
      </c>
      <c r="AQ514" s="6" t="s">
        <v>6642</v>
      </c>
      <c r="AR514" s="7"/>
      <c r="AS514" s="6" t="s">
        <v>6643</v>
      </c>
      <c r="AT514" s="6" t="s">
        <v>6644</v>
      </c>
      <c r="AU514" s="6" t="s">
        <v>6645</v>
      </c>
      <c r="AV514" s="6" t="s">
        <v>3306</v>
      </c>
      <c r="AW514" s="6" t="s">
        <v>3307</v>
      </c>
      <c r="AX514" s="6" t="s">
        <v>3312</v>
      </c>
      <c r="AY514" s="6" t="s">
        <v>4067</v>
      </c>
      <c r="AZ514" s="6" t="s">
        <v>3306</v>
      </c>
      <c r="BA514" s="6" t="s">
        <v>3311</v>
      </c>
      <c r="BB514" s="6" t="s">
        <v>4693</v>
      </c>
      <c r="BC514" s="6" t="s">
        <v>3313</v>
      </c>
      <c r="BD514" s="6" t="s">
        <v>165</v>
      </c>
      <c r="BE514" s="6" t="s">
        <v>3888</v>
      </c>
      <c r="BF514" s="6" t="s">
        <v>3315</v>
      </c>
      <c r="BG514" s="6" t="s">
        <v>4068</v>
      </c>
      <c r="BH514" s="6" t="s">
        <v>3317</v>
      </c>
      <c r="BI514" s="6" t="s">
        <v>271</v>
      </c>
      <c r="BJ514" s="6" t="s">
        <v>3318</v>
      </c>
      <c r="BK514" s="6" t="s">
        <v>4695</v>
      </c>
    </row>
    <row r="515" ht="22.5" customHeight="1">
      <c r="A515" s="4">
        <v>46229.69973797454</v>
      </c>
      <c r="B515" s="5">
        <v>0.0</v>
      </c>
      <c r="C515" s="6" t="s">
        <v>114</v>
      </c>
      <c r="D515" s="6" t="s">
        <v>1202</v>
      </c>
      <c r="E515" s="6" t="s">
        <v>1203</v>
      </c>
      <c r="F515" s="6">
        <v>6.9070501219E10</v>
      </c>
      <c r="G515" s="6" t="s">
        <v>228</v>
      </c>
      <c r="H515" s="7"/>
      <c r="I515" s="6" t="s">
        <v>6646</v>
      </c>
      <c r="J515" s="6" t="s">
        <v>6647</v>
      </c>
      <c r="K515" s="6" t="s">
        <v>6648</v>
      </c>
      <c r="L515" s="6" t="s">
        <v>6649</v>
      </c>
      <c r="M515" s="6" t="s">
        <v>6448</v>
      </c>
      <c r="N515" s="7"/>
      <c r="O515" s="6" t="s">
        <v>6650</v>
      </c>
      <c r="P515" s="6" t="s">
        <v>6651</v>
      </c>
      <c r="Q515" s="6" t="s">
        <v>6652</v>
      </c>
      <c r="R515" s="6" t="s">
        <v>246</v>
      </c>
      <c r="S515" s="6" t="s">
        <v>147</v>
      </c>
      <c r="T515" s="6" t="s">
        <v>149</v>
      </c>
      <c r="U515" s="6" t="s">
        <v>252</v>
      </c>
      <c r="V515" s="6" t="s">
        <v>246</v>
      </c>
      <c r="W515" s="6" t="s">
        <v>158</v>
      </c>
      <c r="X515" s="6" t="s">
        <v>257</v>
      </c>
      <c r="Y515" s="6" t="s">
        <v>162</v>
      </c>
      <c r="Z515" s="6" t="s">
        <v>165</v>
      </c>
      <c r="AA515" s="6" t="s">
        <v>262</v>
      </c>
      <c r="AB515" s="6" t="s">
        <v>171</v>
      </c>
      <c r="AC515" s="6" t="s">
        <v>174</v>
      </c>
      <c r="AD515" s="6" t="s">
        <v>175</v>
      </c>
      <c r="AE515" s="6" t="s">
        <v>271</v>
      </c>
      <c r="AF515" s="6" t="s">
        <v>181</v>
      </c>
      <c r="AG515" s="6" t="s">
        <v>182</v>
      </c>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row>
    <row r="516" ht="22.5" customHeight="1">
      <c r="A516" s="4">
        <v>46229.69974677083</v>
      </c>
      <c r="B516" s="5">
        <v>0.0</v>
      </c>
      <c r="C516" s="6" t="s">
        <v>3296</v>
      </c>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6" t="s">
        <v>2664</v>
      </c>
      <c r="AI516" s="6" t="s">
        <v>2665</v>
      </c>
      <c r="AJ516" s="6">
        <v>6.9070503476E10</v>
      </c>
      <c r="AK516" s="6" t="s">
        <v>3297</v>
      </c>
      <c r="AL516" s="6">
        <v>6.0</v>
      </c>
      <c r="AM516" s="6" t="s">
        <v>6653</v>
      </c>
      <c r="AN516" s="6" t="s">
        <v>6654</v>
      </c>
      <c r="AO516" s="6" t="s">
        <v>6655</v>
      </c>
      <c r="AP516" s="6" t="s">
        <v>6656</v>
      </c>
      <c r="AQ516" s="6" t="s">
        <v>6657</v>
      </c>
      <c r="AR516" s="6" t="s">
        <v>4215</v>
      </c>
      <c r="AS516" s="6" t="s">
        <v>6658</v>
      </c>
      <c r="AT516" s="6" t="s">
        <v>6659</v>
      </c>
      <c r="AU516" s="6" t="s">
        <v>6660</v>
      </c>
      <c r="AV516" s="6" t="s">
        <v>3306</v>
      </c>
      <c r="AW516" s="6" t="s">
        <v>3307</v>
      </c>
      <c r="AX516" s="6" t="s">
        <v>3887</v>
      </c>
      <c r="AY516" s="6" t="s">
        <v>152</v>
      </c>
      <c r="AZ516" s="6" t="s">
        <v>3306</v>
      </c>
      <c r="BA516" s="6" t="s">
        <v>3311</v>
      </c>
      <c r="BB516" s="6" t="s">
        <v>6098</v>
      </c>
      <c r="BC516" s="6" t="s">
        <v>3313</v>
      </c>
      <c r="BD516" s="6" t="s">
        <v>165</v>
      </c>
      <c r="BE516" s="6" t="s">
        <v>3888</v>
      </c>
      <c r="BF516" s="6" t="s">
        <v>3315</v>
      </c>
      <c r="BG516" s="6" t="s">
        <v>4342</v>
      </c>
      <c r="BH516" s="6" t="s">
        <v>3317</v>
      </c>
      <c r="BI516" s="6" t="s">
        <v>271</v>
      </c>
      <c r="BJ516" s="6" t="s">
        <v>3318</v>
      </c>
      <c r="BK516" s="6" t="s">
        <v>3319</v>
      </c>
    </row>
    <row r="517" ht="22.5" customHeight="1">
      <c r="A517" s="4">
        <v>46229.69975107639</v>
      </c>
      <c r="B517" s="5">
        <v>0.0</v>
      </c>
      <c r="C517" s="6" t="s">
        <v>114</v>
      </c>
      <c r="D517" s="6" t="s">
        <v>1204</v>
      </c>
      <c r="E517" s="6" t="s">
        <v>1093</v>
      </c>
      <c r="F517" s="6">
        <v>6.9070509469E10</v>
      </c>
      <c r="G517" s="6" t="s">
        <v>122</v>
      </c>
      <c r="H517" s="7"/>
      <c r="I517" s="6" t="s">
        <v>6661</v>
      </c>
      <c r="J517" s="6" t="s">
        <v>6662</v>
      </c>
      <c r="K517" s="6" t="s">
        <v>6663</v>
      </c>
      <c r="L517" s="6" t="s">
        <v>6664</v>
      </c>
      <c r="M517" s="6" t="s">
        <v>6665</v>
      </c>
      <c r="N517" s="6" t="s">
        <v>6666</v>
      </c>
      <c r="O517" s="6" t="s">
        <v>6667</v>
      </c>
      <c r="P517" s="6" t="s">
        <v>6668</v>
      </c>
      <c r="Q517" s="6" t="s">
        <v>6669</v>
      </c>
      <c r="R517" s="6" t="s">
        <v>246</v>
      </c>
      <c r="S517" s="6" t="s">
        <v>147</v>
      </c>
      <c r="T517" s="6" t="s">
        <v>250</v>
      </c>
      <c r="U517" s="6" t="s">
        <v>686</v>
      </c>
      <c r="V517" s="6" t="s">
        <v>246</v>
      </c>
      <c r="W517" s="6" t="s">
        <v>158</v>
      </c>
      <c r="X517" s="6" t="s">
        <v>257</v>
      </c>
      <c r="Y517" s="6" t="s">
        <v>162</v>
      </c>
      <c r="Z517" s="6" t="s">
        <v>165</v>
      </c>
      <c r="AA517" s="6" t="s">
        <v>262</v>
      </c>
      <c r="AB517" s="6" t="s">
        <v>521</v>
      </c>
      <c r="AC517" s="6" t="s">
        <v>174</v>
      </c>
      <c r="AD517" s="6" t="s">
        <v>175</v>
      </c>
      <c r="AE517" s="6" t="s">
        <v>271</v>
      </c>
      <c r="AF517" s="6" t="s">
        <v>181</v>
      </c>
      <c r="AG517" s="6" t="s">
        <v>182</v>
      </c>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row>
    <row r="518" ht="22.5" customHeight="1">
      <c r="A518" s="4">
        <v>46229.69975238426</v>
      </c>
      <c r="B518" s="5">
        <v>0.0</v>
      </c>
      <c r="C518" s="6" t="s">
        <v>114</v>
      </c>
      <c r="D518" s="6" t="s">
        <v>1206</v>
      </c>
      <c r="E518" s="6" t="s">
        <v>1207</v>
      </c>
      <c r="F518" s="6">
        <v>6.9070500845E10</v>
      </c>
      <c r="G518" s="6" t="s">
        <v>496</v>
      </c>
      <c r="H518" s="7"/>
      <c r="I518" s="6" t="s">
        <v>6670</v>
      </c>
      <c r="J518" s="6" t="s">
        <v>6671</v>
      </c>
      <c r="K518" s="6" t="s">
        <v>6672</v>
      </c>
      <c r="L518" s="6" t="s">
        <v>6673</v>
      </c>
      <c r="M518" s="6" t="s">
        <v>6674</v>
      </c>
      <c r="N518" s="6" t="s">
        <v>3989</v>
      </c>
      <c r="O518" s="6" t="s">
        <v>6675</v>
      </c>
      <c r="P518" s="6" t="s">
        <v>6676</v>
      </c>
      <c r="Q518" s="6" t="s">
        <v>6677</v>
      </c>
      <c r="R518" s="6" t="s">
        <v>246</v>
      </c>
      <c r="S518" s="6" t="s">
        <v>147</v>
      </c>
      <c r="T518" s="6" t="s">
        <v>250</v>
      </c>
      <c r="U518" s="6" t="s">
        <v>252</v>
      </c>
      <c r="V518" s="6" t="s">
        <v>246</v>
      </c>
      <c r="W518" s="6" t="s">
        <v>158</v>
      </c>
      <c r="X518" s="6" t="s">
        <v>257</v>
      </c>
      <c r="Y518" s="6" t="s">
        <v>162</v>
      </c>
      <c r="Z518" s="6" t="s">
        <v>165</v>
      </c>
      <c r="AA518" s="6" t="s">
        <v>262</v>
      </c>
      <c r="AB518" s="6" t="s">
        <v>171</v>
      </c>
      <c r="AC518" s="6" t="s">
        <v>174</v>
      </c>
      <c r="AD518" s="6" t="s">
        <v>175</v>
      </c>
      <c r="AE518" s="6" t="s">
        <v>271</v>
      </c>
      <c r="AF518" s="6" t="s">
        <v>181</v>
      </c>
      <c r="AG518" s="6" t="s">
        <v>182</v>
      </c>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row>
    <row r="519" ht="22.5" customHeight="1">
      <c r="A519" s="4">
        <v>46229.69975496527</v>
      </c>
      <c r="B519" s="5">
        <v>0.0</v>
      </c>
      <c r="C519" s="6" t="s">
        <v>114</v>
      </c>
      <c r="D519" s="6" t="s">
        <v>1208</v>
      </c>
      <c r="E519" s="6" t="s">
        <v>1209</v>
      </c>
      <c r="F519" s="6">
        <v>6.9070506479E10</v>
      </c>
      <c r="G519" s="6" t="s">
        <v>599</v>
      </c>
      <c r="H519" s="7"/>
      <c r="I519" s="6" t="s">
        <v>4006</v>
      </c>
      <c r="J519" s="6" t="s">
        <v>4606</v>
      </c>
      <c r="K519" s="6" t="s">
        <v>5345</v>
      </c>
      <c r="L519" s="6" t="s">
        <v>5147</v>
      </c>
      <c r="M519" s="6" t="s">
        <v>6678</v>
      </c>
      <c r="N519" s="7"/>
      <c r="O519" s="6" t="s">
        <v>6679</v>
      </c>
      <c r="P519" s="6" t="s">
        <v>6680</v>
      </c>
      <c r="Q519" s="6" t="s">
        <v>6681</v>
      </c>
      <c r="R519" s="6" t="s">
        <v>246</v>
      </c>
      <c r="S519" s="6" t="s">
        <v>147</v>
      </c>
      <c r="T519" s="6" t="s">
        <v>246</v>
      </c>
      <c r="U519" s="6" t="s">
        <v>560</v>
      </c>
      <c r="V519" s="6" t="s">
        <v>246</v>
      </c>
      <c r="W519" s="6" t="s">
        <v>158</v>
      </c>
      <c r="X519" s="6" t="s">
        <v>257</v>
      </c>
      <c r="Y519" s="6" t="s">
        <v>162</v>
      </c>
      <c r="Z519" s="6" t="s">
        <v>165</v>
      </c>
      <c r="AA519" s="6" t="s">
        <v>262</v>
      </c>
      <c r="AB519" s="6" t="s">
        <v>171</v>
      </c>
      <c r="AC519" s="6" t="s">
        <v>174</v>
      </c>
      <c r="AD519" s="6" t="s">
        <v>175</v>
      </c>
      <c r="AE519" s="6" t="s">
        <v>271</v>
      </c>
      <c r="AF519" s="6" t="s">
        <v>181</v>
      </c>
      <c r="AG519" s="6" t="s">
        <v>182</v>
      </c>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row>
    <row r="520" ht="22.5" customHeight="1">
      <c r="A520" s="4">
        <v>46229.69975762731</v>
      </c>
      <c r="B520" s="5">
        <v>0.0</v>
      </c>
      <c r="C520" s="6" t="s">
        <v>114</v>
      </c>
      <c r="D520" s="6" t="s">
        <v>209</v>
      </c>
      <c r="E520" s="6" t="s">
        <v>1212</v>
      </c>
      <c r="F520" s="6">
        <v>6.907050063E10</v>
      </c>
      <c r="G520" s="6" t="s">
        <v>6140</v>
      </c>
      <c r="H520" s="7"/>
      <c r="I520" s="6" t="s">
        <v>6682</v>
      </c>
      <c r="J520" s="6" t="s">
        <v>6683</v>
      </c>
      <c r="K520" s="6" t="s">
        <v>6684</v>
      </c>
      <c r="L520" s="6" t="s">
        <v>6685</v>
      </c>
      <c r="M520" s="6" t="s">
        <v>6686</v>
      </c>
      <c r="N520" s="7"/>
      <c r="O520" s="6" t="s">
        <v>6687</v>
      </c>
      <c r="P520" s="6" t="s">
        <v>6688</v>
      </c>
      <c r="Q520" s="6" t="s">
        <v>6689</v>
      </c>
      <c r="R520" s="6" t="s">
        <v>861</v>
      </c>
      <c r="S520" s="6" t="s">
        <v>147</v>
      </c>
      <c r="T520" s="6" t="s">
        <v>246</v>
      </c>
      <c r="U520" s="6" t="s">
        <v>152</v>
      </c>
      <c r="V520" s="6" t="s">
        <v>155</v>
      </c>
      <c r="W520" s="6" t="s">
        <v>158</v>
      </c>
      <c r="X520" s="6" t="s">
        <v>458</v>
      </c>
      <c r="Y520" s="6" t="s">
        <v>162</v>
      </c>
      <c r="Z520" s="6" t="s">
        <v>165</v>
      </c>
      <c r="AA520" s="6" t="s">
        <v>2307</v>
      </c>
      <c r="AB520" s="6" t="s">
        <v>171</v>
      </c>
      <c r="AC520" s="6" t="s">
        <v>174</v>
      </c>
      <c r="AD520" s="6" t="s">
        <v>175</v>
      </c>
      <c r="AE520" s="6" t="s">
        <v>271</v>
      </c>
      <c r="AF520" s="6" t="s">
        <v>181</v>
      </c>
      <c r="AG520" s="6" t="s">
        <v>182</v>
      </c>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row>
    <row r="521" ht="22.5" customHeight="1">
      <c r="A521" s="4">
        <v>46229.69975788194</v>
      </c>
      <c r="B521" s="5">
        <v>0.0</v>
      </c>
      <c r="C521" s="6" t="s">
        <v>114</v>
      </c>
      <c r="D521" s="6" t="s">
        <v>1214</v>
      </c>
      <c r="E521" s="6" t="s">
        <v>1215</v>
      </c>
      <c r="F521" s="6">
        <v>6.9070500274E10</v>
      </c>
      <c r="G521" s="6" t="s">
        <v>599</v>
      </c>
      <c r="H521" s="7"/>
      <c r="I521" s="6" t="s">
        <v>6690</v>
      </c>
      <c r="J521" s="6" t="s">
        <v>6691</v>
      </c>
      <c r="K521" s="6" t="s">
        <v>6692</v>
      </c>
      <c r="L521" s="6" t="s">
        <v>6693</v>
      </c>
      <c r="M521" s="6" t="s">
        <v>6694</v>
      </c>
      <c r="N521" s="7"/>
      <c r="O521" s="6" t="s">
        <v>6695</v>
      </c>
      <c r="P521" s="6" t="s">
        <v>6696</v>
      </c>
      <c r="Q521" s="6" t="s">
        <v>6697</v>
      </c>
      <c r="R521" s="6" t="s">
        <v>246</v>
      </c>
      <c r="S521" s="6" t="s">
        <v>147</v>
      </c>
      <c r="T521" s="6" t="s">
        <v>246</v>
      </c>
      <c r="U521" s="6" t="s">
        <v>560</v>
      </c>
      <c r="V521" s="6" t="s">
        <v>246</v>
      </c>
      <c r="W521" s="6" t="s">
        <v>158</v>
      </c>
      <c r="X521" s="6" t="s">
        <v>257</v>
      </c>
      <c r="Y521" s="6" t="s">
        <v>162</v>
      </c>
      <c r="Z521" s="6" t="s">
        <v>165</v>
      </c>
      <c r="AA521" s="6" t="s">
        <v>262</v>
      </c>
      <c r="AB521" s="6" t="s">
        <v>171</v>
      </c>
      <c r="AC521" s="6" t="s">
        <v>174</v>
      </c>
      <c r="AD521" s="6" t="s">
        <v>175</v>
      </c>
      <c r="AE521" s="6" t="s">
        <v>271</v>
      </c>
      <c r="AF521" s="6" t="s">
        <v>181</v>
      </c>
      <c r="AG521" s="6" t="s">
        <v>182</v>
      </c>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row>
    <row r="522" ht="22.5" customHeight="1">
      <c r="A522" s="4">
        <v>46229.69975840278</v>
      </c>
      <c r="B522" s="5">
        <v>0.0</v>
      </c>
      <c r="C522" s="6" t="s">
        <v>114</v>
      </c>
      <c r="D522" s="6" t="s">
        <v>1216</v>
      </c>
      <c r="E522" s="6" t="s">
        <v>1217</v>
      </c>
      <c r="F522" s="6">
        <v>6.9070500319E10</v>
      </c>
      <c r="G522" s="6" t="s">
        <v>599</v>
      </c>
      <c r="H522" s="7"/>
      <c r="I522" s="6" t="s">
        <v>6698</v>
      </c>
      <c r="J522" s="6" t="s">
        <v>6699</v>
      </c>
      <c r="K522" s="6" t="s">
        <v>4006</v>
      </c>
      <c r="L522" s="6" t="s">
        <v>6700</v>
      </c>
      <c r="M522" s="6" t="s">
        <v>5991</v>
      </c>
      <c r="N522" s="7"/>
      <c r="O522" s="6" t="s">
        <v>6701</v>
      </c>
      <c r="P522" s="6" t="s">
        <v>6702</v>
      </c>
      <c r="Q522" s="6" t="s">
        <v>6703</v>
      </c>
      <c r="R522" s="6" t="s">
        <v>246</v>
      </c>
      <c r="S522" s="6" t="s">
        <v>147</v>
      </c>
      <c r="T522" s="6" t="s">
        <v>246</v>
      </c>
      <c r="U522" s="6" t="s">
        <v>560</v>
      </c>
      <c r="V522" s="6" t="s">
        <v>246</v>
      </c>
      <c r="W522" s="6" t="s">
        <v>158</v>
      </c>
      <c r="X522" s="6" t="s">
        <v>257</v>
      </c>
      <c r="Y522" s="6" t="s">
        <v>162</v>
      </c>
      <c r="Z522" s="6" t="s">
        <v>165</v>
      </c>
      <c r="AA522" s="6" t="s">
        <v>262</v>
      </c>
      <c r="AB522" s="6" t="s">
        <v>171</v>
      </c>
      <c r="AC522" s="6" t="s">
        <v>174</v>
      </c>
      <c r="AD522" s="6" t="s">
        <v>175</v>
      </c>
      <c r="AE522" s="6" t="s">
        <v>271</v>
      </c>
      <c r="AF522" s="6" t="s">
        <v>181</v>
      </c>
      <c r="AG522" s="6" t="s">
        <v>182</v>
      </c>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row>
    <row r="523" ht="22.5" customHeight="1">
      <c r="A523" s="4">
        <v>46229.69976185185</v>
      </c>
      <c r="B523" s="5">
        <v>0.0</v>
      </c>
      <c r="C523" s="6" t="s">
        <v>114</v>
      </c>
      <c r="D523" s="6" t="s">
        <v>1218</v>
      </c>
      <c r="E523" s="6" t="s">
        <v>1219</v>
      </c>
      <c r="F523" s="6">
        <v>6.9070501055E10</v>
      </c>
      <c r="G523" s="6" t="s">
        <v>1470</v>
      </c>
      <c r="H523" s="7"/>
      <c r="I523" s="6" t="s">
        <v>6704</v>
      </c>
      <c r="J523" s="6" t="s">
        <v>6705</v>
      </c>
      <c r="K523" s="6" t="s">
        <v>6706</v>
      </c>
      <c r="L523" s="6" t="s">
        <v>6707</v>
      </c>
      <c r="M523" s="6" t="s">
        <v>6708</v>
      </c>
      <c r="N523" s="6" t="s">
        <v>6709</v>
      </c>
      <c r="O523" s="6" t="s">
        <v>6710</v>
      </c>
      <c r="P523" s="6" t="s">
        <v>6711</v>
      </c>
      <c r="Q523" s="6" t="s">
        <v>6712</v>
      </c>
      <c r="R523" s="6" t="s">
        <v>246</v>
      </c>
      <c r="S523" s="6" t="s">
        <v>147</v>
      </c>
      <c r="T523" s="6" t="s">
        <v>250</v>
      </c>
      <c r="U523" s="6" t="s">
        <v>560</v>
      </c>
      <c r="V523" s="6" t="s">
        <v>246</v>
      </c>
      <c r="W523" s="6" t="s">
        <v>158</v>
      </c>
      <c r="X523" s="6" t="s">
        <v>257</v>
      </c>
      <c r="Y523" s="6" t="s">
        <v>162</v>
      </c>
      <c r="Z523" s="6" t="s">
        <v>165</v>
      </c>
      <c r="AA523" s="6" t="s">
        <v>262</v>
      </c>
      <c r="AB523" s="6" t="s">
        <v>171</v>
      </c>
      <c r="AC523" s="6" t="s">
        <v>174</v>
      </c>
      <c r="AD523" s="6" t="s">
        <v>175</v>
      </c>
      <c r="AE523" s="6" t="s">
        <v>178</v>
      </c>
      <c r="AF523" s="6" t="s">
        <v>181</v>
      </c>
      <c r="AG523" s="6" t="s">
        <v>182</v>
      </c>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row>
    <row r="524" ht="22.5" customHeight="1">
      <c r="A524" s="4">
        <v>46229.69976732639</v>
      </c>
      <c r="B524" s="5">
        <v>0.0</v>
      </c>
      <c r="C524" s="6" t="s">
        <v>114</v>
      </c>
      <c r="D524" s="6" t="s">
        <v>1220</v>
      </c>
      <c r="E524" s="6" t="s">
        <v>1221</v>
      </c>
      <c r="F524" s="6">
        <v>6.9070502422E10</v>
      </c>
      <c r="G524" s="6" t="s">
        <v>122</v>
      </c>
      <c r="H524" s="6" t="s">
        <v>6713</v>
      </c>
      <c r="I524" s="6" t="s">
        <v>1138</v>
      </c>
      <c r="J524" s="6" t="s">
        <v>1138</v>
      </c>
      <c r="K524" s="6" t="s">
        <v>1138</v>
      </c>
      <c r="L524" s="6" t="s">
        <v>1138</v>
      </c>
      <c r="M524" s="6" t="s">
        <v>1138</v>
      </c>
      <c r="N524" s="6" t="s">
        <v>1138</v>
      </c>
      <c r="O524" s="6" t="s">
        <v>5325</v>
      </c>
      <c r="P524" s="6" t="s">
        <v>5325</v>
      </c>
      <c r="Q524" s="6" t="s">
        <v>5325</v>
      </c>
      <c r="R524" s="6" t="s">
        <v>246</v>
      </c>
      <c r="S524" s="6" t="s">
        <v>147</v>
      </c>
      <c r="T524" s="6" t="s">
        <v>250</v>
      </c>
      <c r="U524" s="6" t="s">
        <v>2254</v>
      </c>
      <c r="V524" s="6" t="s">
        <v>246</v>
      </c>
      <c r="W524" s="6" t="s">
        <v>158</v>
      </c>
      <c r="X524" s="6" t="s">
        <v>257</v>
      </c>
      <c r="Y524" s="6" t="s">
        <v>162</v>
      </c>
      <c r="Z524" s="6" t="s">
        <v>165</v>
      </c>
      <c r="AA524" s="6" t="s">
        <v>262</v>
      </c>
      <c r="AB524" s="6" t="s">
        <v>521</v>
      </c>
      <c r="AC524" s="6" t="s">
        <v>174</v>
      </c>
      <c r="AD524" s="6" t="s">
        <v>175</v>
      </c>
      <c r="AE524" s="6" t="s">
        <v>271</v>
      </c>
      <c r="AF524" s="6" t="s">
        <v>181</v>
      </c>
      <c r="AG524" s="6" t="s">
        <v>182</v>
      </c>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row>
    <row r="525" ht="22.5" customHeight="1">
      <c r="A525" s="4">
        <v>46229.699772708336</v>
      </c>
      <c r="B525" s="5">
        <v>0.0</v>
      </c>
      <c r="C525" s="6" t="s">
        <v>114</v>
      </c>
      <c r="D525" s="6" t="s">
        <v>350</v>
      </c>
      <c r="E525" s="6" t="s">
        <v>1222</v>
      </c>
      <c r="F525" s="6">
        <v>6.9070500088E10</v>
      </c>
      <c r="G525" s="6" t="s">
        <v>4580</v>
      </c>
      <c r="H525" s="7"/>
      <c r="I525" s="6" t="s">
        <v>6714</v>
      </c>
      <c r="J525" s="6" t="s">
        <v>6715</v>
      </c>
      <c r="K525" s="6" t="s">
        <v>6716</v>
      </c>
      <c r="L525" s="6" t="s">
        <v>6717</v>
      </c>
      <c r="M525" s="6" t="s">
        <v>6159</v>
      </c>
      <c r="N525" s="7"/>
      <c r="O525" s="6" t="s">
        <v>6718</v>
      </c>
      <c r="P525" s="6" t="s">
        <v>6719</v>
      </c>
      <c r="Q525" s="6" t="s">
        <v>6720</v>
      </c>
      <c r="R525" s="6" t="s">
        <v>257</v>
      </c>
      <c r="S525" s="6" t="s">
        <v>147</v>
      </c>
      <c r="T525" s="6" t="s">
        <v>250</v>
      </c>
      <c r="U525" s="6" t="s">
        <v>252</v>
      </c>
      <c r="V525" s="6" t="s">
        <v>246</v>
      </c>
      <c r="W525" s="6" t="s">
        <v>158</v>
      </c>
      <c r="X525" s="6" t="s">
        <v>257</v>
      </c>
      <c r="Y525" s="6" t="s">
        <v>162</v>
      </c>
      <c r="Z525" s="6" t="s">
        <v>165</v>
      </c>
      <c r="AA525" s="6" t="s">
        <v>262</v>
      </c>
      <c r="AB525" s="6" t="s">
        <v>171</v>
      </c>
      <c r="AC525" s="6" t="s">
        <v>174</v>
      </c>
      <c r="AD525" s="6" t="s">
        <v>175</v>
      </c>
      <c r="AE525" s="6" t="s">
        <v>271</v>
      </c>
      <c r="AF525" s="6" t="s">
        <v>181</v>
      </c>
      <c r="AG525" s="6" t="s">
        <v>182</v>
      </c>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row>
    <row r="526" ht="22.5" customHeight="1">
      <c r="A526" s="4">
        <v>46229.69978297454</v>
      </c>
      <c r="B526" s="5">
        <v>0.0</v>
      </c>
      <c r="C526" s="6" t="s">
        <v>3296</v>
      </c>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6" t="s">
        <v>2666</v>
      </c>
      <c r="AI526" s="6" t="s">
        <v>2667</v>
      </c>
      <c r="AJ526" s="6">
        <v>6.9070509218E10</v>
      </c>
      <c r="AK526" s="6" t="s">
        <v>4331</v>
      </c>
      <c r="AL526" s="7"/>
      <c r="AM526" s="6" t="s">
        <v>6721</v>
      </c>
      <c r="AN526" s="6" t="s">
        <v>6722</v>
      </c>
      <c r="AO526" s="6" t="s">
        <v>6723</v>
      </c>
      <c r="AP526" s="6" t="s">
        <v>6724</v>
      </c>
      <c r="AQ526" s="6" t="s">
        <v>6725</v>
      </c>
      <c r="AR526" s="7"/>
      <c r="AS526" s="6" t="s">
        <v>6726</v>
      </c>
      <c r="AT526" s="6" t="s">
        <v>6727</v>
      </c>
      <c r="AU526" s="6" t="s">
        <v>6728</v>
      </c>
      <c r="AV526" s="6" t="s">
        <v>3312</v>
      </c>
      <c r="AW526" s="6" t="s">
        <v>3307</v>
      </c>
      <c r="AX526" s="6" t="s">
        <v>3312</v>
      </c>
      <c r="AY526" s="6" t="s">
        <v>4067</v>
      </c>
      <c r="AZ526" s="6" t="s">
        <v>3306</v>
      </c>
      <c r="BA526" s="6" t="s">
        <v>3311</v>
      </c>
      <c r="BB526" s="6" t="s">
        <v>3312</v>
      </c>
      <c r="BC526" s="6" t="s">
        <v>3313</v>
      </c>
      <c r="BD526" s="6" t="s">
        <v>165</v>
      </c>
      <c r="BE526" s="6" t="s">
        <v>3888</v>
      </c>
      <c r="BF526" s="6" t="s">
        <v>3315</v>
      </c>
      <c r="BG526" s="6" t="s">
        <v>4068</v>
      </c>
      <c r="BH526" s="6" t="s">
        <v>3317</v>
      </c>
      <c r="BI526" s="6" t="s">
        <v>271</v>
      </c>
      <c r="BJ526" s="6" t="s">
        <v>3318</v>
      </c>
      <c r="BK526" s="6" t="s">
        <v>3319</v>
      </c>
    </row>
    <row r="527" ht="22.5" customHeight="1">
      <c r="A527" s="4">
        <v>46229.69978782407</v>
      </c>
      <c r="B527" s="5">
        <v>0.0</v>
      </c>
      <c r="C527" s="6" t="s">
        <v>114</v>
      </c>
      <c r="D527" s="6" t="s">
        <v>1223</v>
      </c>
      <c r="E527" s="6" t="s">
        <v>1224</v>
      </c>
      <c r="F527" s="6">
        <v>6.9070500408E10</v>
      </c>
      <c r="G527" s="6" t="s">
        <v>310</v>
      </c>
      <c r="H527" s="7"/>
      <c r="I527" s="6" t="s">
        <v>6729</v>
      </c>
      <c r="J527" s="6" t="s">
        <v>6730</v>
      </c>
      <c r="K527" s="6" t="s">
        <v>6731</v>
      </c>
      <c r="L527" s="6" t="s">
        <v>6732</v>
      </c>
      <c r="M527" s="6" t="s">
        <v>6733</v>
      </c>
      <c r="N527" s="6" t="s">
        <v>6734</v>
      </c>
      <c r="O527" s="6" t="s">
        <v>6735</v>
      </c>
      <c r="P527" s="6" t="s">
        <v>6736</v>
      </c>
      <c r="Q527" s="6" t="s">
        <v>6737</v>
      </c>
      <c r="R527" s="6" t="s">
        <v>246</v>
      </c>
      <c r="S527" s="6" t="s">
        <v>147</v>
      </c>
      <c r="T527" s="6" t="s">
        <v>250</v>
      </c>
      <c r="U527" s="6" t="s">
        <v>560</v>
      </c>
      <c r="V527" s="6" t="s">
        <v>246</v>
      </c>
      <c r="W527" s="6" t="s">
        <v>158</v>
      </c>
      <c r="X527" s="6" t="s">
        <v>257</v>
      </c>
      <c r="Y527" s="6" t="s">
        <v>162</v>
      </c>
      <c r="Z527" s="6" t="s">
        <v>165</v>
      </c>
      <c r="AA527" s="6" t="s">
        <v>262</v>
      </c>
      <c r="AB527" s="6" t="s">
        <v>521</v>
      </c>
      <c r="AC527" s="6" t="s">
        <v>174</v>
      </c>
      <c r="AD527" s="6" t="s">
        <v>175</v>
      </c>
      <c r="AE527" s="6" t="s">
        <v>271</v>
      </c>
      <c r="AF527" s="6" t="s">
        <v>181</v>
      </c>
      <c r="AG527" s="6" t="s">
        <v>182</v>
      </c>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row>
    <row r="528" ht="22.5" customHeight="1">
      <c r="A528" s="4">
        <v>46229.69979157408</v>
      </c>
      <c r="B528" s="5">
        <v>0.0</v>
      </c>
      <c r="C528" s="6" t="s">
        <v>114</v>
      </c>
      <c r="D528" s="6" t="s">
        <v>1225</v>
      </c>
      <c r="E528" s="6" t="s">
        <v>1226</v>
      </c>
      <c r="F528" s="6">
        <v>6.9070501283E10</v>
      </c>
      <c r="G528" s="6" t="s">
        <v>228</v>
      </c>
      <c r="H528" s="7"/>
      <c r="I528" s="6" t="s">
        <v>6738</v>
      </c>
      <c r="J528" s="6" t="s">
        <v>6541</v>
      </c>
      <c r="K528" s="6" t="s">
        <v>6739</v>
      </c>
      <c r="L528" s="6" t="s">
        <v>6740</v>
      </c>
      <c r="M528" s="6" t="s">
        <v>6741</v>
      </c>
      <c r="N528" s="7"/>
      <c r="O528" s="6" t="s">
        <v>6742</v>
      </c>
      <c r="P528" s="6" t="s">
        <v>6743</v>
      </c>
      <c r="Q528" s="6" t="s">
        <v>6744</v>
      </c>
      <c r="R528" s="6" t="s">
        <v>246</v>
      </c>
      <c r="S528" s="6" t="s">
        <v>147</v>
      </c>
      <c r="T528" s="6" t="s">
        <v>250</v>
      </c>
      <c r="U528" s="6" t="s">
        <v>252</v>
      </c>
      <c r="V528" s="6" t="s">
        <v>246</v>
      </c>
      <c r="W528" s="6" t="s">
        <v>158</v>
      </c>
      <c r="X528" s="6" t="s">
        <v>161</v>
      </c>
      <c r="Y528" s="6" t="s">
        <v>1319</v>
      </c>
      <c r="Z528" s="6" t="s">
        <v>165</v>
      </c>
      <c r="AA528" s="6" t="s">
        <v>262</v>
      </c>
      <c r="AB528" s="6" t="s">
        <v>521</v>
      </c>
      <c r="AC528" s="6" t="s">
        <v>174</v>
      </c>
      <c r="AD528" s="6" t="s">
        <v>175</v>
      </c>
      <c r="AE528" s="6" t="s">
        <v>271</v>
      </c>
      <c r="AF528" s="6" t="s">
        <v>181</v>
      </c>
      <c r="AG528" s="6" t="s">
        <v>182</v>
      </c>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row>
    <row r="529" ht="22.5" customHeight="1">
      <c r="A529" s="4">
        <v>46229.69980649305</v>
      </c>
      <c r="B529" s="5">
        <v>0.0</v>
      </c>
      <c r="C529" s="6" t="s">
        <v>114</v>
      </c>
      <c r="D529" s="6" t="s">
        <v>1227</v>
      </c>
      <c r="E529" s="6" t="s">
        <v>1228</v>
      </c>
      <c r="F529" s="6">
        <v>6.9070509828E10</v>
      </c>
      <c r="G529" s="6" t="s">
        <v>496</v>
      </c>
      <c r="H529" s="7"/>
      <c r="I529" s="6" t="s">
        <v>3657</v>
      </c>
      <c r="J529" s="6" t="s">
        <v>6745</v>
      </c>
      <c r="K529" s="6" t="s">
        <v>6746</v>
      </c>
      <c r="L529" s="6" t="s">
        <v>6747</v>
      </c>
      <c r="M529" s="6" t="s">
        <v>6748</v>
      </c>
      <c r="N529" s="7"/>
      <c r="O529" s="6" t="s">
        <v>6749</v>
      </c>
      <c r="P529" s="6" t="s">
        <v>6750</v>
      </c>
      <c r="Q529" s="6" t="s">
        <v>6751</v>
      </c>
      <c r="R529" s="6" t="s">
        <v>246</v>
      </c>
      <c r="S529" s="6" t="s">
        <v>1148</v>
      </c>
      <c r="T529" s="6" t="s">
        <v>250</v>
      </c>
      <c r="U529" s="6" t="s">
        <v>686</v>
      </c>
      <c r="V529" s="6" t="s">
        <v>458</v>
      </c>
      <c r="W529" s="6" t="s">
        <v>158</v>
      </c>
      <c r="X529" s="6" t="s">
        <v>161</v>
      </c>
      <c r="Y529" s="6" t="s">
        <v>162</v>
      </c>
      <c r="Z529" s="6" t="s">
        <v>165</v>
      </c>
      <c r="AA529" s="6" t="s">
        <v>262</v>
      </c>
      <c r="AB529" s="6" t="s">
        <v>521</v>
      </c>
      <c r="AC529" s="6" t="s">
        <v>174</v>
      </c>
      <c r="AD529" s="6" t="s">
        <v>635</v>
      </c>
      <c r="AE529" s="6" t="s">
        <v>271</v>
      </c>
      <c r="AF529" s="6" t="s">
        <v>181</v>
      </c>
      <c r="AG529" s="6" t="s">
        <v>182</v>
      </c>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row>
    <row r="530" ht="22.5" customHeight="1">
      <c r="A530" s="4">
        <v>46229.69981070602</v>
      </c>
      <c r="B530" s="5">
        <v>0.0</v>
      </c>
      <c r="C530" s="6" t="s">
        <v>114</v>
      </c>
      <c r="D530" s="6" t="s">
        <v>1229</v>
      </c>
      <c r="E530" s="6" t="s">
        <v>1230</v>
      </c>
      <c r="F530" s="6">
        <v>6.9070505224E10</v>
      </c>
      <c r="G530" s="6" t="s">
        <v>1470</v>
      </c>
      <c r="H530" s="7"/>
      <c r="I530" s="6" t="s">
        <v>6752</v>
      </c>
      <c r="J530" s="6" t="s">
        <v>6753</v>
      </c>
      <c r="K530" s="6" t="s">
        <v>6754</v>
      </c>
      <c r="L530" s="6" t="s">
        <v>6755</v>
      </c>
      <c r="M530" s="6" t="s">
        <v>6756</v>
      </c>
      <c r="N530" s="7"/>
      <c r="O530" s="6" t="s">
        <v>6757</v>
      </c>
      <c r="P530" s="6" t="s">
        <v>6758</v>
      </c>
      <c r="Q530" s="6" t="s">
        <v>6759</v>
      </c>
      <c r="R530" s="6" t="s">
        <v>246</v>
      </c>
      <c r="S530" s="6" t="s">
        <v>147</v>
      </c>
      <c r="T530" s="6" t="s">
        <v>257</v>
      </c>
      <c r="U530" s="6" t="s">
        <v>2254</v>
      </c>
      <c r="V530" s="6" t="s">
        <v>246</v>
      </c>
      <c r="W530" s="6" t="s">
        <v>158</v>
      </c>
      <c r="X530" s="6" t="s">
        <v>257</v>
      </c>
      <c r="Y530" s="6" t="s">
        <v>162</v>
      </c>
      <c r="Z530" s="6" t="s">
        <v>165</v>
      </c>
      <c r="AA530" s="6" t="s">
        <v>168</v>
      </c>
      <c r="AB530" s="6" t="s">
        <v>171</v>
      </c>
      <c r="AC530" s="6" t="s">
        <v>174</v>
      </c>
      <c r="AD530" s="6" t="s">
        <v>175</v>
      </c>
      <c r="AE530" s="6" t="s">
        <v>271</v>
      </c>
      <c r="AF530" s="6" t="s">
        <v>181</v>
      </c>
      <c r="AG530" s="6" t="s">
        <v>182</v>
      </c>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row>
    <row r="531" ht="22.5" customHeight="1">
      <c r="A531" s="4">
        <v>46229.699814155094</v>
      </c>
      <c r="B531" s="5">
        <v>0.0</v>
      </c>
      <c r="C531" s="6" t="s">
        <v>114</v>
      </c>
      <c r="D531" s="6" t="s">
        <v>1231</v>
      </c>
      <c r="E531" s="6" t="s">
        <v>1232</v>
      </c>
      <c r="F531" s="6">
        <v>6.9070509403E10</v>
      </c>
      <c r="G531" s="6" t="s">
        <v>122</v>
      </c>
      <c r="H531" s="7"/>
      <c r="I531" s="6" t="s">
        <v>6760</v>
      </c>
      <c r="J531" s="6" t="s">
        <v>6761</v>
      </c>
      <c r="K531" s="6" t="s">
        <v>6762</v>
      </c>
      <c r="L531" s="6" t="s">
        <v>6763</v>
      </c>
      <c r="M531" s="6" t="s">
        <v>6764</v>
      </c>
      <c r="N531" s="7"/>
      <c r="O531" s="6" t="s">
        <v>6765</v>
      </c>
      <c r="P531" s="6" t="s">
        <v>6766</v>
      </c>
      <c r="Q531" s="6" t="s">
        <v>6767</v>
      </c>
      <c r="R531" s="6" t="s">
        <v>246</v>
      </c>
      <c r="S531" s="6" t="s">
        <v>147</v>
      </c>
      <c r="T531" s="6" t="s">
        <v>250</v>
      </c>
      <c r="U531" s="6" t="s">
        <v>686</v>
      </c>
      <c r="V531" s="6" t="s">
        <v>246</v>
      </c>
      <c r="W531" s="6" t="s">
        <v>158</v>
      </c>
      <c r="X531" s="6" t="s">
        <v>257</v>
      </c>
      <c r="Y531" s="6" t="s">
        <v>162</v>
      </c>
      <c r="Z531" s="6" t="s">
        <v>165</v>
      </c>
      <c r="AA531" s="6" t="s">
        <v>262</v>
      </c>
      <c r="AB531" s="6" t="s">
        <v>521</v>
      </c>
      <c r="AC531" s="6" t="s">
        <v>174</v>
      </c>
      <c r="AD531" s="6" t="s">
        <v>175</v>
      </c>
      <c r="AE531" s="6" t="s">
        <v>271</v>
      </c>
      <c r="AF531" s="6" t="s">
        <v>181</v>
      </c>
      <c r="AG531" s="6" t="s">
        <v>182</v>
      </c>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row>
    <row r="532" ht="22.5" customHeight="1">
      <c r="A532" s="4">
        <v>46229.699814907406</v>
      </c>
      <c r="B532" s="5">
        <v>0.0</v>
      </c>
      <c r="C532" s="6" t="s">
        <v>114</v>
      </c>
      <c r="D532" s="6" t="s">
        <v>1233</v>
      </c>
      <c r="E532" s="6" t="s">
        <v>1234</v>
      </c>
      <c r="F532" s="6">
        <v>6.9070500453E10</v>
      </c>
      <c r="G532" s="6" t="s">
        <v>310</v>
      </c>
      <c r="H532" s="6" t="s">
        <v>6768</v>
      </c>
      <c r="I532" s="6" t="s">
        <v>6769</v>
      </c>
      <c r="J532" s="6" t="s">
        <v>6770</v>
      </c>
      <c r="K532" s="6" t="s">
        <v>6771</v>
      </c>
      <c r="L532" s="6" t="s">
        <v>6772</v>
      </c>
      <c r="M532" s="6" t="s">
        <v>6773</v>
      </c>
      <c r="N532" s="6" t="s">
        <v>6774</v>
      </c>
      <c r="O532" s="6" t="s">
        <v>6775</v>
      </c>
      <c r="P532" s="6" t="s">
        <v>6776</v>
      </c>
      <c r="Q532" s="6" t="s">
        <v>6777</v>
      </c>
      <c r="R532" s="6" t="s">
        <v>246</v>
      </c>
      <c r="S532" s="6" t="s">
        <v>147</v>
      </c>
      <c r="T532" s="6" t="s">
        <v>250</v>
      </c>
      <c r="U532" s="6" t="s">
        <v>252</v>
      </c>
      <c r="V532" s="6" t="s">
        <v>246</v>
      </c>
      <c r="W532" s="6" t="s">
        <v>158</v>
      </c>
      <c r="X532" s="6" t="s">
        <v>257</v>
      </c>
      <c r="Y532" s="6" t="s">
        <v>162</v>
      </c>
      <c r="Z532" s="6" t="s">
        <v>165</v>
      </c>
      <c r="AA532" s="6" t="s">
        <v>168</v>
      </c>
      <c r="AB532" s="6" t="s">
        <v>521</v>
      </c>
      <c r="AC532" s="6" t="s">
        <v>2718</v>
      </c>
      <c r="AD532" s="6" t="s">
        <v>175</v>
      </c>
      <c r="AE532" s="6" t="s">
        <v>271</v>
      </c>
      <c r="AF532" s="6" t="s">
        <v>633</v>
      </c>
      <c r="AG532" s="6" t="s">
        <v>1213</v>
      </c>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row>
    <row r="533" ht="22.5" customHeight="1">
      <c r="A533" s="4">
        <v>46229.699815</v>
      </c>
      <c r="B533" s="5">
        <v>0.0</v>
      </c>
      <c r="C533" s="6" t="s">
        <v>114</v>
      </c>
      <c r="D533" s="6" t="s">
        <v>1235</v>
      </c>
      <c r="E533" s="6" t="s">
        <v>944</v>
      </c>
      <c r="F533" s="6">
        <v>6.9070501825E10</v>
      </c>
      <c r="G533" s="6" t="s">
        <v>730</v>
      </c>
      <c r="H533" s="7"/>
      <c r="I533" s="6" t="s">
        <v>5709</v>
      </c>
      <c r="J533" s="6" t="s">
        <v>4833</v>
      </c>
      <c r="K533" s="6" t="s">
        <v>6778</v>
      </c>
      <c r="L533" s="6" t="s">
        <v>5711</v>
      </c>
      <c r="M533" s="6" t="s">
        <v>3042</v>
      </c>
      <c r="N533" s="7"/>
      <c r="O533" s="6" t="s">
        <v>6779</v>
      </c>
      <c r="P533" s="6" t="s">
        <v>6780</v>
      </c>
      <c r="Q533" s="6" t="s">
        <v>6781</v>
      </c>
      <c r="R533" s="6" t="s">
        <v>246</v>
      </c>
      <c r="S533" s="6" t="s">
        <v>147</v>
      </c>
      <c r="T533" s="6" t="s">
        <v>250</v>
      </c>
      <c r="U533" s="6" t="s">
        <v>686</v>
      </c>
      <c r="V533" s="6" t="s">
        <v>246</v>
      </c>
      <c r="W533" s="6" t="s">
        <v>158</v>
      </c>
      <c r="X533" s="6" t="s">
        <v>257</v>
      </c>
      <c r="Y533" s="6" t="s">
        <v>162</v>
      </c>
      <c r="Z533" s="6" t="s">
        <v>165</v>
      </c>
      <c r="AA533" s="6" t="s">
        <v>262</v>
      </c>
      <c r="AB533" s="6" t="s">
        <v>171</v>
      </c>
      <c r="AC533" s="6" t="s">
        <v>174</v>
      </c>
      <c r="AD533" s="6" t="s">
        <v>175</v>
      </c>
      <c r="AE533" s="6" t="s">
        <v>271</v>
      </c>
      <c r="AF533" s="6" t="s">
        <v>181</v>
      </c>
      <c r="AG533" s="6" t="s">
        <v>182</v>
      </c>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row>
    <row r="534" ht="22.5" customHeight="1">
      <c r="A534" s="4">
        <v>46229.69982032407</v>
      </c>
      <c r="B534" s="5">
        <v>0.0</v>
      </c>
      <c r="C534" s="6" t="s">
        <v>114</v>
      </c>
      <c r="D534" s="6" t="s">
        <v>1236</v>
      </c>
      <c r="E534" s="6" t="s">
        <v>1237</v>
      </c>
      <c r="F534" s="6">
        <v>6.9070506443E10</v>
      </c>
      <c r="G534" s="6" t="s">
        <v>599</v>
      </c>
      <c r="H534" s="7"/>
      <c r="I534" s="6" t="s">
        <v>6782</v>
      </c>
      <c r="J534" s="6" t="s">
        <v>6694</v>
      </c>
      <c r="K534" s="6" t="s">
        <v>6783</v>
      </c>
      <c r="L534" s="6" t="s">
        <v>6784</v>
      </c>
      <c r="M534" s="6" t="s">
        <v>6785</v>
      </c>
      <c r="N534" s="7"/>
      <c r="O534" s="6" t="s">
        <v>6786</v>
      </c>
      <c r="P534" s="6" t="s">
        <v>6787</v>
      </c>
      <c r="Q534" s="6" t="s">
        <v>6788</v>
      </c>
      <c r="R534" s="6" t="s">
        <v>246</v>
      </c>
      <c r="S534" s="6" t="s">
        <v>147</v>
      </c>
      <c r="T534" s="6" t="s">
        <v>246</v>
      </c>
      <c r="U534" s="6" t="s">
        <v>252</v>
      </c>
      <c r="V534" s="6" t="s">
        <v>246</v>
      </c>
      <c r="W534" s="6" t="s">
        <v>158</v>
      </c>
      <c r="X534" s="6" t="s">
        <v>458</v>
      </c>
      <c r="Y534" s="6" t="s">
        <v>162</v>
      </c>
      <c r="Z534" s="6" t="s">
        <v>165</v>
      </c>
      <c r="AA534" s="6" t="s">
        <v>262</v>
      </c>
      <c r="AB534" s="6" t="s">
        <v>171</v>
      </c>
      <c r="AC534" s="6" t="s">
        <v>174</v>
      </c>
      <c r="AD534" s="6" t="s">
        <v>175</v>
      </c>
      <c r="AE534" s="6" t="s">
        <v>524</v>
      </c>
      <c r="AF534" s="6" t="s">
        <v>181</v>
      </c>
      <c r="AG534" s="6" t="s">
        <v>182</v>
      </c>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row>
    <row r="535" ht="22.5" customHeight="1">
      <c r="A535" s="4">
        <v>46229.699836423606</v>
      </c>
      <c r="B535" s="5">
        <v>0.0</v>
      </c>
      <c r="C535" s="6" t="s">
        <v>114</v>
      </c>
      <c r="D535" s="6" t="s">
        <v>1238</v>
      </c>
      <c r="E535" s="6" t="s">
        <v>1239</v>
      </c>
      <c r="F535" s="6">
        <v>6.9070501831E10</v>
      </c>
      <c r="G535" s="6" t="s">
        <v>730</v>
      </c>
      <c r="H535" s="7"/>
      <c r="I535" s="6" t="s">
        <v>6789</v>
      </c>
      <c r="J535" s="6" t="s">
        <v>6790</v>
      </c>
      <c r="K535" s="6" t="s">
        <v>6023</v>
      </c>
      <c r="L535" s="6" t="s">
        <v>6021</v>
      </c>
      <c r="M535" s="6" t="s">
        <v>6024</v>
      </c>
      <c r="N535" s="7"/>
      <c r="O535" s="6" t="s">
        <v>6791</v>
      </c>
      <c r="P535" s="6" t="s">
        <v>6792</v>
      </c>
      <c r="Q535" s="6" t="s">
        <v>6793</v>
      </c>
      <c r="R535" s="6" t="s">
        <v>246</v>
      </c>
      <c r="S535" s="6" t="s">
        <v>147</v>
      </c>
      <c r="T535" s="6" t="s">
        <v>250</v>
      </c>
      <c r="U535" s="6" t="s">
        <v>686</v>
      </c>
      <c r="V535" s="6" t="s">
        <v>246</v>
      </c>
      <c r="W535" s="6" t="s">
        <v>158</v>
      </c>
      <c r="X535" s="6" t="s">
        <v>257</v>
      </c>
      <c r="Y535" s="6" t="s">
        <v>162</v>
      </c>
      <c r="Z535" s="6" t="s">
        <v>165</v>
      </c>
      <c r="AA535" s="6" t="s">
        <v>262</v>
      </c>
      <c r="AB535" s="6" t="s">
        <v>521</v>
      </c>
      <c r="AC535" s="6" t="s">
        <v>174</v>
      </c>
      <c r="AD535" s="6" t="s">
        <v>175</v>
      </c>
      <c r="AE535" s="6" t="s">
        <v>271</v>
      </c>
      <c r="AF535" s="6" t="s">
        <v>181</v>
      </c>
      <c r="AG535" s="6" t="s">
        <v>182</v>
      </c>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row>
    <row r="536" ht="22.5" customHeight="1">
      <c r="A536" s="4">
        <v>46229.69983677083</v>
      </c>
      <c r="B536" s="5">
        <v>0.0</v>
      </c>
      <c r="C536" s="6" t="s">
        <v>114</v>
      </c>
      <c r="D536" s="6" t="s">
        <v>1240</v>
      </c>
      <c r="E536" s="6" t="s">
        <v>1242</v>
      </c>
      <c r="F536" s="6">
        <v>6.9070500321E10</v>
      </c>
      <c r="G536" s="6" t="s">
        <v>599</v>
      </c>
      <c r="H536" s="7"/>
      <c r="I536" s="6" t="s">
        <v>6794</v>
      </c>
      <c r="J536" s="6" t="s">
        <v>6795</v>
      </c>
      <c r="K536" s="6" t="s">
        <v>6796</v>
      </c>
      <c r="L536" s="6" t="s">
        <v>6797</v>
      </c>
      <c r="M536" s="6" t="s">
        <v>6798</v>
      </c>
      <c r="N536" s="7"/>
      <c r="O536" s="6" t="s">
        <v>6799</v>
      </c>
      <c r="P536" s="6" t="s">
        <v>6800</v>
      </c>
      <c r="Q536" s="6" t="s">
        <v>6801</v>
      </c>
      <c r="R536" s="6" t="s">
        <v>246</v>
      </c>
      <c r="S536" s="6" t="s">
        <v>147</v>
      </c>
      <c r="T536" s="6" t="s">
        <v>250</v>
      </c>
      <c r="U536" s="6" t="s">
        <v>560</v>
      </c>
      <c r="V536" s="6" t="s">
        <v>246</v>
      </c>
      <c r="W536" s="6" t="s">
        <v>158</v>
      </c>
      <c r="X536" s="6" t="s">
        <v>257</v>
      </c>
      <c r="Y536" s="6" t="s">
        <v>162</v>
      </c>
      <c r="Z536" s="6" t="s">
        <v>165</v>
      </c>
      <c r="AA536" s="6" t="s">
        <v>262</v>
      </c>
      <c r="AB536" s="6" t="s">
        <v>521</v>
      </c>
      <c r="AC536" s="6" t="s">
        <v>174</v>
      </c>
      <c r="AD536" s="6" t="s">
        <v>175</v>
      </c>
      <c r="AE536" s="6" t="s">
        <v>178</v>
      </c>
      <c r="AF536" s="6" t="s">
        <v>181</v>
      </c>
      <c r="AG536" s="6" t="s">
        <v>182</v>
      </c>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row>
    <row r="537" ht="22.5" customHeight="1">
      <c r="A537" s="4">
        <v>46229.69984342593</v>
      </c>
      <c r="B537" s="5">
        <v>0.0</v>
      </c>
      <c r="C537" s="6" t="s">
        <v>114</v>
      </c>
      <c r="D537" s="6" t="s">
        <v>1245</v>
      </c>
      <c r="E537" s="6" t="s">
        <v>1246</v>
      </c>
      <c r="F537" s="6">
        <v>6.9070502514E10</v>
      </c>
      <c r="G537" s="6" t="s">
        <v>122</v>
      </c>
      <c r="H537" s="6">
        <v>5.0</v>
      </c>
      <c r="I537" s="6" t="s">
        <v>6802</v>
      </c>
      <c r="J537" s="6" t="s">
        <v>6803</v>
      </c>
      <c r="K537" s="6" t="s">
        <v>3421</v>
      </c>
      <c r="L537" s="6" t="s">
        <v>6804</v>
      </c>
      <c r="M537" s="6" t="s">
        <v>6805</v>
      </c>
      <c r="N537" s="6" t="s">
        <v>6806</v>
      </c>
      <c r="O537" s="6" t="s">
        <v>6807</v>
      </c>
      <c r="P537" s="6" t="s">
        <v>6808</v>
      </c>
      <c r="Q537" s="6" t="s">
        <v>6809</v>
      </c>
      <c r="R537" s="6" t="s">
        <v>861</v>
      </c>
      <c r="S537" s="6" t="s">
        <v>147</v>
      </c>
      <c r="T537" s="6" t="s">
        <v>250</v>
      </c>
      <c r="U537" s="6" t="s">
        <v>252</v>
      </c>
      <c r="V537" s="6" t="s">
        <v>246</v>
      </c>
      <c r="W537" s="6" t="s">
        <v>158</v>
      </c>
      <c r="X537" s="6" t="s">
        <v>257</v>
      </c>
      <c r="Y537" s="6" t="s">
        <v>162</v>
      </c>
      <c r="Z537" s="6" t="s">
        <v>165</v>
      </c>
      <c r="AA537" s="6" t="s">
        <v>641</v>
      </c>
      <c r="AB537" s="6" t="s">
        <v>171</v>
      </c>
      <c r="AC537" s="6" t="s">
        <v>174</v>
      </c>
      <c r="AD537" s="6" t="s">
        <v>175</v>
      </c>
      <c r="AE537" s="6" t="s">
        <v>524</v>
      </c>
      <c r="AF537" s="6" t="s">
        <v>181</v>
      </c>
      <c r="AG537" s="6" t="s">
        <v>182</v>
      </c>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row>
    <row r="538" ht="22.5" customHeight="1">
      <c r="A538" s="4">
        <v>46229.699848125005</v>
      </c>
      <c r="B538" s="5">
        <v>0.0</v>
      </c>
      <c r="C538" s="6" t="s">
        <v>3296</v>
      </c>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6" t="s">
        <v>2668</v>
      </c>
      <c r="AI538" s="6" t="s">
        <v>2669</v>
      </c>
      <c r="AJ538" s="6">
        <v>6.9070503474E10</v>
      </c>
      <c r="AK538" s="6" t="s">
        <v>3297</v>
      </c>
      <c r="AL538" s="7"/>
      <c r="AM538" s="6" t="s">
        <v>6810</v>
      </c>
      <c r="AN538" s="6" t="s">
        <v>6811</v>
      </c>
      <c r="AO538" s="6" t="s">
        <v>6812</v>
      </c>
      <c r="AP538" s="6" t="s">
        <v>6813</v>
      </c>
      <c r="AQ538" s="6" t="s">
        <v>6814</v>
      </c>
      <c r="AR538" s="7"/>
      <c r="AS538" s="6" t="s">
        <v>6815</v>
      </c>
      <c r="AT538" s="6" t="s">
        <v>6816</v>
      </c>
      <c r="AU538" s="6" t="s">
        <v>6817</v>
      </c>
      <c r="AV538" s="6" t="s">
        <v>3306</v>
      </c>
      <c r="AW538" s="6" t="s">
        <v>3307</v>
      </c>
      <c r="AX538" s="6" t="s">
        <v>3887</v>
      </c>
      <c r="AY538" s="6" t="s">
        <v>4067</v>
      </c>
      <c r="AZ538" s="6" t="s">
        <v>3306</v>
      </c>
      <c r="BA538" s="6" t="s">
        <v>3311</v>
      </c>
      <c r="BB538" s="6" t="s">
        <v>3312</v>
      </c>
      <c r="BC538" s="6" t="s">
        <v>3313</v>
      </c>
      <c r="BD538" s="6" t="s">
        <v>165</v>
      </c>
      <c r="BE538" s="6" t="s">
        <v>3888</v>
      </c>
      <c r="BF538" s="6" t="s">
        <v>3889</v>
      </c>
      <c r="BG538" s="6" t="s">
        <v>4068</v>
      </c>
      <c r="BH538" s="6" t="s">
        <v>3317</v>
      </c>
      <c r="BI538" s="6" t="s">
        <v>271</v>
      </c>
      <c r="BJ538" s="6" t="s">
        <v>3318</v>
      </c>
      <c r="BK538" s="6" t="s">
        <v>3319</v>
      </c>
    </row>
    <row r="539" ht="22.5" customHeight="1">
      <c r="A539" s="4">
        <v>46229.69985189815</v>
      </c>
      <c r="B539" s="5">
        <v>0.0</v>
      </c>
      <c r="C539" s="6" t="s">
        <v>114</v>
      </c>
      <c r="D539" s="6" t="s">
        <v>1249</v>
      </c>
      <c r="E539" s="6" t="s">
        <v>1250</v>
      </c>
      <c r="F539" s="6">
        <v>6.907050128E10</v>
      </c>
      <c r="G539" s="6" t="s">
        <v>228</v>
      </c>
      <c r="H539" s="7"/>
      <c r="I539" s="6" t="s">
        <v>6205</v>
      </c>
      <c r="J539" s="6" t="s">
        <v>6818</v>
      </c>
      <c r="K539" s="6" t="s">
        <v>6819</v>
      </c>
      <c r="L539" s="6" t="s">
        <v>5265</v>
      </c>
      <c r="M539" s="6" t="s">
        <v>6820</v>
      </c>
      <c r="N539" s="7"/>
      <c r="O539" s="6" t="s">
        <v>6821</v>
      </c>
      <c r="P539" s="6" t="s">
        <v>6822</v>
      </c>
      <c r="Q539" s="6" t="s">
        <v>6823</v>
      </c>
      <c r="R539" s="6" t="s">
        <v>246</v>
      </c>
      <c r="S539" s="6" t="s">
        <v>147</v>
      </c>
      <c r="T539" s="6" t="s">
        <v>250</v>
      </c>
      <c r="U539" s="6" t="s">
        <v>152</v>
      </c>
      <c r="V539" s="6" t="s">
        <v>246</v>
      </c>
      <c r="W539" s="6" t="s">
        <v>158</v>
      </c>
      <c r="X539" s="6" t="s">
        <v>257</v>
      </c>
      <c r="Y539" s="6" t="s">
        <v>162</v>
      </c>
      <c r="Z539" s="6" t="s">
        <v>165</v>
      </c>
      <c r="AA539" s="6" t="s">
        <v>262</v>
      </c>
      <c r="AB539" s="6" t="s">
        <v>521</v>
      </c>
      <c r="AC539" s="6" t="s">
        <v>174</v>
      </c>
      <c r="AD539" s="6" t="s">
        <v>175</v>
      </c>
      <c r="AE539" s="6" t="s">
        <v>271</v>
      </c>
      <c r="AF539" s="6" t="s">
        <v>181</v>
      </c>
      <c r="AG539" s="6" t="s">
        <v>182</v>
      </c>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row>
    <row r="540" ht="22.5" customHeight="1">
      <c r="A540" s="4">
        <v>46229.69985640046</v>
      </c>
      <c r="B540" s="5">
        <v>0.0</v>
      </c>
      <c r="C540" s="6" t="s">
        <v>114</v>
      </c>
      <c r="D540" s="6" t="s">
        <v>1253</v>
      </c>
      <c r="E540" s="6" t="s">
        <v>1254</v>
      </c>
      <c r="F540" s="6">
        <v>6.907050101E10</v>
      </c>
      <c r="G540" s="6" t="s">
        <v>1470</v>
      </c>
      <c r="H540" s="7"/>
      <c r="I540" s="6" t="s">
        <v>6824</v>
      </c>
      <c r="J540" s="6" t="s">
        <v>6825</v>
      </c>
      <c r="K540" s="6" t="s">
        <v>6826</v>
      </c>
      <c r="L540" s="6" t="s">
        <v>6827</v>
      </c>
      <c r="M540" s="6" t="s">
        <v>6828</v>
      </c>
      <c r="N540" s="7"/>
      <c r="O540" s="6" t="s">
        <v>6829</v>
      </c>
      <c r="P540" s="6" t="s">
        <v>6830</v>
      </c>
      <c r="Q540" s="6" t="s">
        <v>6831</v>
      </c>
      <c r="R540" s="6" t="s">
        <v>246</v>
      </c>
      <c r="S540" s="6" t="s">
        <v>147</v>
      </c>
      <c r="T540" s="6" t="s">
        <v>250</v>
      </c>
      <c r="U540" s="6" t="s">
        <v>252</v>
      </c>
      <c r="V540" s="6" t="s">
        <v>246</v>
      </c>
      <c r="W540" s="6" t="s">
        <v>158</v>
      </c>
      <c r="X540" s="6" t="s">
        <v>257</v>
      </c>
      <c r="Y540" s="6" t="s">
        <v>162</v>
      </c>
      <c r="Z540" s="6" t="s">
        <v>165</v>
      </c>
      <c r="AA540" s="6" t="s">
        <v>262</v>
      </c>
      <c r="AB540" s="6" t="s">
        <v>171</v>
      </c>
      <c r="AC540" s="6" t="s">
        <v>174</v>
      </c>
      <c r="AD540" s="6" t="s">
        <v>175</v>
      </c>
      <c r="AE540" s="6" t="s">
        <v>271</v>
      </c>
      <c r="AF540" s="6" t="s">
        <v>181</v>
      </c>
      <c r="AG540" s="6" t="s">
        <v>182</v>
      </c>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row>
    <row r="541" ht="22.5" customHeight="1">
      <c r="A541" s="4">
        <v>46229.69987327546</v>
      </c>
      <c r="B541" s="5">
        <v>0.0</v>
      </c>
      <c r="C541" s="6" t="s">
        <v>114</v>
      </c>
      <c r="D541" s="6" t="s">
        <v>1256</v>
      </c>
      <c r="E541" s="6" t="s">
        <v>1257</v>
      </c>
      <c r="F541" s="6">
        <v>6.9070500498E10</v>
      </c>
      <c r="G541" s="6" t="s">
        <v>310</v>
      </c>
      <c r="H541" s="6" t="s">
        <v>6832</v>
      </c>
      <c r="I541" s="6" t="s">
        <v>4970</v>
      </c>
      <c r="J541" s="6" t="s">
        <v>6833</v>
      </c>
      <c r="K541" s="6" t="s">
        <v>6834</v>
      </c>
      <c r="L541" s="6" t="s">
        <v>5008</v>
      </c>
      <c r="M541" s="6" t="s">
        <v>6835</v>
      </c>
      <c r="N541" s="6" t="s">
        <v>2633</v>
      </c>
      <c r="O541" s="6" t="s">
        <v>6836</v>
      </c>
      <c r="P541" s="6" t="s">
        <v>6837</v>
      </c>
      <c r="Q541" s="6" t="s">
        <v>6838</v>
      </c>
      <c r="R541" s="6" t="s">
        <v>246</v>
      </c>
      <c r="S541" s="6" t="s">
        <v>147</v>
      </c>
      <c r="T541" s="6" t="s">
        <v>246</v>
      </c>
      <c r="U541" s="6" t="s">
        <v>2254</v>
      </c>
      <c r="V541" s="6" t="s">
        <v>246</v>
      </c>
      <c r="W541" s="6" t="s">
        <v>158</v>
      </c>
      <c r="X541" s="6" t="s">
        <v>250</v>
      </c>
      <c r="Y541" s="6" t="s">
        <v>1319</v>
      </c>
      <c r="Z541" s="6" t="s">
        <v>4804</v>
      </c>
      <c r="AA541" s="6" t="s">
        <v>641</v>
      </c>
      <c r="AB541" s="6" t="s">
        <v>171</v>
      </c>
      <c r="AC541" s="6" t="s">
        <v>633</v>
      </c>
      <c r="AD541" s="6" t="s">
        <v>635</v>
      </c>
      <c r="AE541" s="6" t="s">
        <v>1211</v>
      </c>
      <c r="AF541" s="6" t="s">
        <v>181</v>
      </c>
      <c r="AG541" s="6" t="s">
        <v>1213</v>
      </c>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row>
    <row r="542" ht="22.5" customHeight="1">
      <c r="A542" s="4">
        <v>46229.69987696759</v>
      </c>
      <c r="B542" s="5">
        <v>0.0</v>
      </c>
      <c r="C542" s="6" t="s">
        <v>114</v>
      </c>
      <c r="D542" s="6" t="s">
        <v>1258</v>
      </c>
      <c r="E542" s="6" t="s">
        <v>1259</v>
      </c>
      <c r="F542" s="6">
        <v>6.9070502498E10</v>
      </c>
      <c r="G542" s="6" t="s">
        <v>122</v>
      </c>
      <c r="H542" s="6" t="s">
        <v>6839</v>
      </c>
      <c r="I542" s="6" t="s">
        <v>6840</v>
      </c>
      <c r="J542" s="6" t="s">
        <v>6841</v>
      </c>
      <c r="K542" s="6" t="s">
        <v>6842</v>
      </c>
      <c r="L542" s="6" t="s">
        <v>6843</v>
      </c>
      <c r="M542" s="6" t="s">
        <v>6844</v>
      </c>
      <c r="N542" s="7"/>
      <c r="O542" s="6" t="s">
        <v>6845</v>
      </c>
      <c r="P542" s="6" t="s">
        <v>6846</v>
      </c>
      <c r="Q542" s="6" t="s">
        <v>6847</v>
      </c>
      <c r="R542" s="6" t="s">
        <v>246</v>
      </c>
      <c r="S542" s="6" t="s">
        <v>147</v>
      </c>
      <c r="T542" s="6" t="s">
        <v>250</v>
      </c>
      <c r="U542" s="6" t="s">
        <v>2254</v>
      </c>
      <c r="V542" s="6" t="s">
        <v>155</v>
      </c>
      <c r="W542" s="6" t="s">
        <v>158</v>
      </c>
      <c r="X542" s="6" t="s">
        <v>458</v>
      </c>
      <c r="Y542" s="6" t="s">
        <v>162</v>
      </c>
      <c r="Z542" s="6" t="s">
        <v>165</v>
      </c>
      <c r="AA542" s="6" t="s">
        <v>262</v>
      </c>
      <c r="AB542" s="6" t="s">
        <v>171</v>
      </c>
      <c r="AC542" s="6" t="s">
        <v>174</v>
      </c>
      <c r="AD542" s="6" t="s">
        <v>1723</v>
      </c>
      <c r="AE542" s="6" t="s">
        <v>178</v>
      </c>
      <c r="AF542" s="6" t="s">
        <v>181</v>
      </c>
      <c r="AG542" s="6" t="s">
        <v>182</v>
      </c>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row>
    <row r="543" ht="22.5" customHeight="1">
      <c r="A543" s="4">
        <v>46229.6998814699</v>
      </c>
      <c r="B543" s="5">
        <v>0.0</v>
      </c>
      <c r="C543" s="6" t="s">
        <v>114</v>
      </c>
      <c r="D543" s="6" t="s">
        <v>1260</v>
      </c>
      <c r="E543" s="6" t="s">
        <v>1261</v>
      </c>
      <c r="F543" s="6">
        <v>6.9070501832E10</v>
      </c>
      <c r="G543" s="6" t="s">
        <v>730</v>
      </c>
      <c r="H543" s="7"/>
      <c r="I543" s="6" t="s">
        <v>3161</v>
      </c>
      <c r="J543" s="6" t="s">
        <v>6778</v>
      </c>
      <c r="K543" s="6" t="s">
        <v>6848</v>
      </c>
      <c r="L543" s="6" t="s">
        <v>3998</v>
      </c>
      <c r="M543" s="6" t="s">
        <v>6849</v>
      </c>
      <c r="N543" s="7"/>
      <c r="O543" s="6" t="s">
        <v>6850</v>
      </c>
      <c r="P543" s="6" t="s">
        <v>6851</v>
      </c>
      <c r="Q543" s="6" t="s">
        <v>6852</v>
      </c>
      <c r="R543" s="6" t="s">
        <v>246</v>
      </c>
      <c r="S543" s="6" t="s">
        <v>147</v>
      </c>
      <c r="T543" s="6" t="s">
        <v>250</v>
      </c>
      <c r="U543" s="6" t="s">
        <v>252</v>
      </c>
      <c r="V543" s="6" t="s">
        <v>246</v>
      </c>
      <c r="W543" s="6" t="s">
        <v>158</v>
      </c>
      <c r="X543" s="6" t="s">
        <v>257</v>
      </c>
      <c r="Y543" s="6" t="s">
        <v>162</v>
      </c>
      <c r="Z543" s="6" t="s">
        <v>165</v>
      </c>
      <c r="AA543" s="6" t="s">
        <v>262</v>
      </c>
      <c r="AB543" s="6" t="s">
        <v>521</v>
      </c>
      <c r="AC543" s="6" t="s">
        <v>174</v>
      </c>
      <c r="AD543" s="6" t="s">
        <v>175</v>
      </c>
      <c r="AE543" s="6" t="s">
        <v>271</v>
      </c>
      <c r="AF543" s="6" t="s">
        <v>181</v>
      </c>
      <c r="AG543" s="6" t="s">
        <v>182</v>
      </c>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row>
    <row r="544" ht="22.5" customHeight="1">
      <c r="A544" s="4">
        <v>46229.69988704861</v>
      </c>
      <c r="B544" s="5">
        <v>0.0</v>
      </c>
      <c r="C544" s="6" t="s">
        <v>114</v>
      </c>
      <c r="D544" s="6" t="s">
        <v>1262</v>
      </c>
      <c r="E544" s="6" t="s">
        <v>1263</v>
      </c>
      <c r="F544" s="6">
        <v>6.9070502427E10</v>
      </c>
      <c r="G544" s="6" t="s">
        <v>122</v>
      </c>
      <c r="H544" s="7"/>
      <c r="I544" s="6" t="s">
        <v>5936</v>
      </c>
      <c r="J544" s="6" t="s">
        <v>6853</v>
      </c>
      <c r="K544" s="6" t="s">
        <v>6854</v>
      </c>
      <c r="L544" s="6" t="s">
        <v>4481</v>
      </c>
      <c r="M544" s="6" t="s">
        <v>4891</v>
      </c>
      <c r="N544" s="7"/>
      <c r="O544" s="6" t="s">
        <v>6855</v>
      </c>
      <c r="P544" s="6" t="s">
        <v>6856</v>
      </c>
      <c r="Q544" s="6" t="s">
        <v>6857</v>
      </c>
      <c r="R544" s="6" t="s">
        <v>246</v>
      </c>
      <c r="S544" s="6" t="s">
        <v>147</v>
      </c>
      <c r="T544" s="6" t="s">
        <v>250</v>
      </c>
      <c r="U544" s="6" t="s">
        <v>560</v>
      </c>
      <c r="V544" s="6" t="s">
        <v>246</v>
      </c>
      <c r="W544" s="6" t="s">
        <v>158</v>
      </c>
      <c r="X544" s="6" t="s">
        <v>257</v>
      </c>
      <c r="Y544" s="6" t="s">
        <v>162</v>
      </c>
      <c r="Z544" s="6" t="s">
        <v>165</v>
      </c>
      <c r="AA544" s="6" t="s">
        <v>262</v>
      </c>
      <c r="AB544" s="6" t="s">
        <v>171</v>
      </c>
      <c r="AC544" s="6" t="s">
        <v>174</v>
      </c>
      <c r="AD544" s="6" t="s">
        <v>175</v>
      </c>
      <c r="AE544" s="6" t="s">
        <v>271</v>
      </c>
      <c r="AF544" s="6" t="s">
        <v>181</v>
      </c>
      <c r="AG544" s="6" t="s">
        <v>182</v>
      </c>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row>
    <row r="545" ht="22.5" customHeight="1">
      <c r="A545" s="4">
        <v>46229.69989175926</v>
      </c>
      <c r="B545" s="5">
        <v>0.0</v>
      </c>
      <c r="C545" s="6" t="s">
        <v>114</v>
      </c>
      <c r="D545" s="6" t="s">
        <v>1264</v>
      </c>
      <c r="E545" s="6" t="s">
        <v>1265</v>
      </c>
      <c r="F545" s="6">
        <v>6.9070502496E10</v>
      </c>
      <c r="G545" s="6" t="s">
        <v>122</v>
      </c>
      <c r="H545" s="6" t="s">
        <v>6858</v>
      </c>
      <c r="I545" s="6" t="s">
        <v>6859</v>
      </c>
      <c r="J545" s="6" t="s">
        <v>6853</v>
      </c>
      <c r="K545" s="6" t="s">
        <v>6860</v>
      </c>
      <c r="L545" s="6" t="s">
        <v>6861</v>
      </c>
      <c r="M545" s="6" t="s">
        <v>6862</v>
      </c>
      <c r="N545" s="6" t="s">
        <v>6863</v>
      </c>
      <c r="O545" s="6" t="s">
        <v>6864</v>
      </c>
      <c r="P545" s="6" t="s">
        <v>6865</v>
      </c>
      <c r="Q545" s="6" t="s">
        <v>6866</v>
      </c>
      <c r="R545" s="6" t="s">
        <v>246</v>
      </c>
      <c r="S545" s="6" t="s">
        <v>147</v>
      </c>
      <c r="T545" s="6" t="s">
        <v>250</v>
      </c>
      <c r="U545" s="6" t="s">
        <v>560</v>
      </c>
      <c r="V545" s="6" t="s">
        <v>246</v>
      </c>
      <c r="W545" s="6" t="s">
        <v>932</v>
      </c>
      <c r="X545" s="6" t="s">
        <v>161</v>
      </c>
      <c r="Y545" s="6" t="s">
        <v>162</v>
      </c>
      <c r="Z545" s="6" t="s">
        <v>165</v>
      </c>
      <c r="AA545" s="6" t="s">
        <v>2307</v>
      </c>
      <c r="AB545" s="6" t="s">
        <v>1266</v>
      </c>
      <c r="AC545" s="6" t="s">
        <v>1669</v>
      </c>
      <c r="AD545" s="6" t="s">
        <v>641</v>
      </c>
      <c r="AE545" s="6" t="s">
        <v>524</v>
      </c>
      <c r="AF545" s="6" t="s">
        <v>638</v>
      </c>
      <c r="AG545" s="6" t="s">
        <v>182</v>
      </c>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row>
    <row r="546" ht="22.5" customHeight="1">
      <c r="A546" s="4">
        <v>46229.69989221064</v>
      </c>
      <c r="B546" s="5">
        <v>0.0</v>
      </c>
      <c r="C546" s="6" t="s">
        <v>114</v>
      </c>
      <c r="D546" s="6" t="s">
        <v>1267</v>
      </c>
      <c r="E546" s="6" t="s">
        <v>1268</v>
      </c>
      <c r="F546" s="6">
        <v>6.9070508231E10</v>
      </c>
      <c r="G546" s="6" t="s">
        <v>730</v>
      </c>
      <c r="H546" s="7"/>
      <c r="I546" s="6" t="s">
        <v>6867</v>
      </c>
      <c r="J546" s="6" t="s">
        <v>6868</v>
      </c>
      <c r="K546" s="6" t="s">
        <v>6869</v>
      </c>
      <c r="L546" s="6" t="s">
        <v>6870</v>
      </c>
      <c r="M546" s="6" t="s">
        <v>6871</v>
      </c>
      <c r="N546" s="7"/>
      <c r="O546" s="6" t="s">
        <v>6872</v>
      </c>
      <c r="P546" s="6" t="s">
        <v>5184</v>
      </c>
      <c r="Q546" s="6" t="s">
        <v>6873</v>
      </c>
      <c r="R546" s="6" t="s">
        <v>246</v>
      </c>
      <c r="S546" s="6" t="s">
        <v>147</v>
      </c>
      <c r="T546" s="6" t="s">
        <v>250</v>
      </c>
      <c r="U546" s="6" t="s">
        <v>252</v>
      </c>
      <c r="V546" s="6" t="s">
        <v>246</v>
      </c>
      <c r="W546" s="6" t="s">
        <v>158</v>
      </c>
      <c r="X546" s="6" t="s">
        <v>458</v>
      </c>
      <c r="Y546" s="6" t="s">
        <v>162</v>
      </c>
      <c r="Z546" s="6" t="s">
        <v>165</v>
      </c>
      <c r="AA546" s="6" t="s">
        <v>262</v>
      </c>
      <c r="AB546" s="6" t="s">
        <v>171</v>
      </c>
      <c r="AC546" s="6" t="s">
        <v>174</v>
      </c>
      <c r="AD546" s="6" t="s">
        <v>175</v>
      </c>
      <c r="AE546" s="6" t="s">
        <v>271</v>
      </c>
      <c r="AF546" s="6" t="s">
        <v>181</v>
      </c>
      <c r="AG546" s="6" t="s">
        <v>182</v>
      </c>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row>
    <row r="547" ht="22.5" customHeight="1">
      <c r="A547" s="4">
        <v>46229.699896817125</v>
      </c>
      <c r="B547" s="5">
        <v>0.0</v>
      </c>
      <c r="C547" s="6" t="s">
        <v>114</v>
      </c>
      <c r="D547" s="6" t="s">
        <v>1269</v>
      </c>
      <c r="E547" s="6" t="s">
        <v>1270</v>
      </c>
      <c r="F547" s="6">
        <v>6.9070508803E10</v>
      </c>
      <c r="G547" s="6" t="s">
        <v>5399</v>
      </c>
      <c r="H547" s="6" t="s">
        <v>2633</v>
      </c>
      <c r="I547" s="6" t="s">
        <v>6874</v>
      </c>
      <c r="J547" s="6" t="s">
        <v>5401</v>
      </c>
      <c r="K547" s="6" t="s">
        <v>3668</v>
      </c>
      <c r="L547" s="6" t="s">
        <v>6875</v>
      </c>
      <c r="M547" s="6" t="s">
        <v>6876</v>
      </c>
      <c r="N547" s="6" t="s">
        <v>6877</v>
      </c>
      <c r="O547" s="6" t="s">
        <v>6878</v>
      </c>
      <c r="P547" s="6" t="s">
        <v>6879</v>
      </c>
      <c r="Q547" s="6" t="s">
        <v>6880</v>
      </c>
      <c r="R547" s="6" t="s">
        <v>246</v>
      </c>
      <c r="S547" s="6" t="s">
        <v>147</v>
      </c>
      <c r="T547" s="6" t="s">
        <v>246</v>
      </c>
      <c r="U547" s="6" t="s">
        <v>252</v>
      </c>
      <c r="V547" s="6" t="s">
        <v>155</v>
      </c>
      <c r="W547" s="6" t="s">
        <v>158</v>
      </c>
      <c r="X547" s="6" t="s">
        <v>257</v>
      </c>
      <c r="Y547" s="6" t="s">
        <v>162</v>
      </c>
      <c r="Z547" s="6" t="s">
        <v>165</v>
      </c>
      <c r="AA547" s="6" t="s">
        <v>262</v>
      </c>
      <c r="AB547" s="6" t="s">
        <v>171</v>
      </c>
      <c r="AC547" s="6" t="s">
        <v>2718</v>
      </c>
      <c r="AD547" s="6" t="s">
        <v>175</v>
      </c>
      <c r="AE547" s="6" t="s">
        <v>271</v>
      </c>
      <c r="AF547" s="6" t="s">
        <v>181</v>
      </c>
      <c r="AG547" s="6" t="s">
        <v>812</v>
      </c>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row>
    <row r="548" ht="22.5" customHeight="1">
      <c r="A548" s="4">
        <v>46229.69990423611</v>
      </c>
      <c r="B548" s="5">
        <v>0.0</v>
      </c>
      <c r="C548" s="6" t="s">
        <v>114</v>
      </c>
      <c r="D548" s="6" t="s">
        <v>1271</v>
      </c>
      <c r="E548" s="6" t="s">
        <v>1272</v>
      </c>
      <c r="F548" s="6">
        <v>6.9070506435E10</v>
      </c>
      <c r="G548" s="6" t="s">
        <v>599</v>
      </c>
      <c r="H548" s="7"/>
      <c r="I548" s="6" t="s">
        <v>1756</v>
      </c>
      <c r="J548" s="6" t="s">
        <v>3975</v>
      </c>
      <c r="K548" s="6" t="s">
        <v>5567</v>
      </c>
      <c r="L548" s="6" t="s">
        <v>6881</v>
      </c>
      <c r="M548" s="6" t="s">
        <v>6882</v>
      </c>
      <c r="N548" s="7"/>
      <c r="O548" s="6" t="s">
        <v>6883</v>
      </c>
      <c r="P548" s="6" t="s">
        <v>6884</v>
      </c>
      <c r="Q548" s="6" t="s">
        <v>6885</v>
      </c>
      <c r="R548" s="6" t="s">
        <v>246</v>
      </c>
      <c r="S548" s="6" t="s">
        <v>147</v>
      </c>
      <c r="T548" s="6" t="s">
        <v>250</v>
      </c>
      <c r="U548" s="6" t="s">
        <v>686</v>
      </c>
      <c r="V548" s="6" t="s">
        <v>246</v>
      </c>
      <c r="W548" s="6" t="s">
        <v>158</v>
      </c>
      <c r="X548" s="6" t="s">
        <v>257</v>
      </c>
      <c r="Y548" s="6" t="s">
        <v>162</v>
      </c>
      <c r="Z548" s="6" t="s">
        <v>165</v>
      </c>
      <c r="AA548" s="6" t="s">
        <v>262</v>
      </c>
      <c r="AB548" s="6" t="s">
        <v>171</v>
      </c>
      <c r="AC548" s="6" t="s">
        <v>174</v>
      </c>
      <c r="AD548" s="6" t="s">
        <v>175</v>
      </c>
      <c r="AE548" s="6" t="s">
        <v>271</v>
      </c>
      <c r="AF548" s="6" t="s">
        <v>181</v>
      </c>
      <c r="AG548" s="6" t="s">
        <v>182</v>
      </c>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row>
    <row r="549" ht="22.5" customHeight="1">
      <c r="A549" s="4">
        <v>46229.69990850694</v>
      </c>
      <c r="B549" s="5">
        <v>0.0</v>
      </c>
      <c r="C549" s="6" t="s">
        <v>114</v>
      </c>
      <c r="D549" s="6" t="s">
        <v>1273</v>
      </c>
      <c r="E549" s="6" t="s">
        <v>1274</v>
      </c>
      <c r="F549" s="6">
        <v>6.9070500837E10</v>
      </c>
      <c r="G549" s="6" t="s">
        <v>496</v>
      </c>
      <c r="H549" s="7"/>
      <c r="I549" s="6" t="s">
        <v>5857</v>
      </c>
      <c r="J549" s="6" t="s">
        <v>6886</v>
      </c>
      <c r="K549" s="6" t="s">
        <v>6887</v>
      </c>
      <c r="L549" s="6" t="s">
        <v>6888</v>
      </c>
      <c r="M549" s="6" t="s">
        <v>6889</v>
      </c>
      <c r="N549" s="6" t="s">
        <v>5853</v>
      </c>
      <c r="O549" s="6" t="s">
        <v>6890</v>
      </c>
      <c r="P549" s="6" t="s">
        <v>6891</v>
      </c>
      <c r="Q549" s="6" t="s">
        <v>6892</v>
      </c>
      <c r="R549" s="6" t="s">
        <v>257</v>
      </c>
      <c r="S549" s="6" t="s">
        <v>147</v>
      </c>
      <c r="T549" s="6" t="s">
        <v>250</v>
      </c>
      <c r="U549" s="6" t="s">
        <v>2254</v>
      </c>
      <c r="V549" s="6" t="s">
        <v>246</v>
      </c>
      <c r="W549" s="6" t="s">
        <v>158</v>
      </c>
      <c r="X549" s="6" t="s">
        <v>257</v>
      </c>
      <c r="Y549" s="6" t="s">
        <v>162</v>
      </c>
      <c r="Z549" s="6" t="s">
        <v>165</v>
      </c>
      <c r="AA549" s="6" t="s">
        <v>262</v>
      </c>
      <c r="AB549" s="6" t="s">
        <v>171</v>
      </c>
      <c r="AC549" s="6" t="s">
        <v>174</v>
      </c>
      <c r="AD549" s="6" t="s">
        <v>175</v>
      </c>
      <c r="AE549" s="6" t="s">
        <v>524</v>
      </c>
      <c r="AF549" s="6" t="s">
        <v>181</v>
      </c>
      <c r="AG549" s="6" t="s">
        <v>182</v>
      </c>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row>
    <row r="550" ht="22.5" customHeight="1">
      <c r="A550" s="4">
        <v>46229.69992126158</v>
      </c>
      <c r="B550" s="5">
        <v>0.0</v>
      </c>
      <c r="C550" s="6" t="s">
        <v>114</v>
      </c>
      <c r="D550" s="6" t="s">
        <v>1275</v>
      </c>
      <c r="E550" s="6" t="s">
        <v>1276</v>
      </c>
      <c r="F550" s="6">
        <v>6.9070500279E10</v>
      </c>
      <c r="G550" s="6" t="s">
        <v>599</v>
      </c>
      <c r="H550" s="7"/>
      <c r="I550" s="6" t="s">
        <v>5958</v>
      </c>
      <c r="J550" s="6" t="s">
        <v>6893</v>
      </c>
      <c r="K550" s="6" t="s">
        <v>6894</v>
      </c>
      <c r="L550" s="6" t="s">
        <v>4655</v>
      </c>
      <c r="M550" s="6" t="s">
        <v>6895</v>
      </c>
      <c r="N550" s="7"/>
      <c r="O550" s="6" t="s">
        <v>6896</v>
      </c>
      <c r="P550" s="6" t="s">
        <v>6897</v>
      </c>
      <c r="Q550" s="6" t="s">
        <v>6898</v>
      </c>
      <c r="R550" s="6" t="s">
        <v>246</v>
      </c>
      <c r="S550" s="6" t="s">
        <v>147</v>
      </c>
      <c r="T550" s="6" t="s">
        <v>250</v>
      </c>
      <c r="U550" s="6" t="s">
        <v>252</v>
      </c>
      <c r="V550" s="6" t="s">
        <v>246</v>
      </c>
      <c r="W550" s="6" t="s">
        <v>158</v>
      </c>
      <c r="X550" s="6" t="s">
        <v>257</v>
      </c>
      <c r="Y550" s="6" t="s">
        <v>162</v>
      </c>
      <c r="Z550" s="6" t="s">
        <v>165</v>
      </c>
      <c r="AA550" s="6" t="s">
        <v>262</v>
      </c>
      <c r="AB550" s="6" t="s">
        <v>521</v>
      </c>
      <c r="AC550" s="6" t="s">
        <v>174</v>
      </c>
      <c r="AD550" s="6" t="s">
        <v>175</v>
      </c>
      <c r="AE550" s="6" t="s">
        <v>178</v>
      </c>
      <c r="AF550" s="6" t="s">
        <v>181</v>
      </c>
      <c r="AG550" s="6" t="s">
        <v>182</v>
      </c>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row>
    <row r="551" ht="22.5" customHeight="1">
      <c r="A551" s="4">
        <v>46229.69992291667</v>
      </c>
      <c r="B551" s="5">
        <v>0.0</v>
      </c>
      <c r="C551" s="6" t="s">
        <v>114</v>
      </c>
      <c r="D551" s="6" t="s">
        <v>1277</v>
      </c>
      <c r="E551" s="6" t="s">
        <v>1278</v>
      </c>
      <c r="F551" s="6">
        <v>6.9070501851E10</v>
      </c>
      <c r="G551" s="6" t="s">
        <v>730</v>
      </c>
      <c r="H551" s="7"/>
      <c r="I551" s="6" t="s">
        <v>6025</v>
      </c>
      <c r="J551" s="6" t="s">
        <v>6023</v>
      </c>
      <c r="K551" s="6" t="s">
        <v>6899</v>
      </c>
      <c r="L551" s="6" t="s">
        <v>5470</v>
      </c>
      <c r="M551" s="6" t="s">
        <v>5783</v>
      </c>
      <c r="N551" s="6" t="s">
        <v>6900</v>
      </c>
      <c r="O551" s="6" t="s">
        <v>6901</v>
      </c>
      <c r="P551" s="6" t="s">
        <v>6902</v>
      </c>
      <c r="Q551" s="6" t="s">
        <v>6903</v>
      </c>
      <c r="R551" s="6" t="s">
        <v>246</v>
      </c>
      <c r="S551" s="6" t="s">
        <v>147</v>
      </c>
      <c r="T551" s="6" t="s">
        <v>250</v>
      </c>
      <c r="U551" s="6" t="s">
        <v>252</v>
      </c>
      <c r="V551" s="6" t="s">
        <v>246</v>
      </c>
      <c r="W551" s="6" t="s">
        <v>158</v>
      </c>
      <c r="X551" s="6" t="s">
        <v>257</v>
      </c>
      <c r="Y551" s="6" t="s">
        <v>162</v>
      </c>
      <c r="Z551" s="6" t="s">
        <v>165</v>
      </c>
      <c r="AA551" s="6" t="s">
        <v>262</v>
      </c>
      <c r="AB551" s="6" t="s">
        <v>171</v>
      </c>
      <c r="AC551" s="6" t="s">
        <v>174</v>
      </c>
      <c r="AD551" s="6" t="s">
        <v>175</v>
      </c>
      <c r="AE551" s="6" t="s">
        <v>271</v>
      </c>
      <c r="AF551" s="6" t="s">
        <v>181</v>
      </c>
      <c r="AG551" s="6" t="s">
        <v>182</v>
      </c>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row>
    <row r="552" ht="22.5" customHeight="1">
      <c r="A552" s="4">
        <v>46229.69992359953</v>
      </c>
      <c r="B552" s="5">
        <v>0.0</v>
      </c>
      <c r="C552" s="6" t="s">
        <v>114</v>
      </c>
      <c r="D552" s="6" t="s">
        <v>1279</v>
      </c>
      <c r="E552" s="6" t="s">
        <v>1280</v>
      </c>
      <c r="F552" s="6">
        <v>6.9070501231E10</v>
      </c>
      <c r="G552" s="6" t="s">
        <v>228</v>
      </c>
      <c r="H552" s="7"/>
      <c r="I552" s="6" t="s">
        <v>6904</v>
      </c>
      <c r="J552" s="6" t="s">
        <v>6905</v>
      </c>
      <c r="K552" s="6" t="s">
        <v>6906</v>
      </c>
      <c r="L552" s="6" t="s">
        <v>6182</v>
      </c>
      <c r="M552" s="6" t="s">
        <v>6907</v>
      </c>
      <c r="N552" s="7"/>
      <c r="O552" s="6" t="s">
        <v>6908</v>
      </c>
      <c r="P552" s="6" t="s">
        <v>6909</v>
      </c>
      <c r="Q552" s="6" t="s">
        <v>6910</v>
      </c>
      <c r="R552" s="6" t="s">
        <v>246</v>
      </c>
      <c r="S552" s="6" t="s">
        <v>147</v>
      </c>
      <c r="T552" s="6" t="s">
        <v>250</v>
      </c>
      <c r="U552" s="6" t="s">
        <v>252</v>
      </c>
      <c r="V552" s="6" t="s">
        <v>155</v>
      </c>
      <c r="W552" s="6" t="s">
        <v>158</v>
      </c>
      <c r="X552" s="6" t="s">
        <v>458</v>
      </c>
      <c r="Y552" s="6" t="s">
        <v>162</v>
      </c>
      <c r="Z552" s="6" t="s">
        <v>165</v>
      </c>
      <c r="AA552" s="6" t="s">
        <v>641</v>
      </c>
      <c r="AB552" s="6" t="s">
        <v>521</v>
      </c>
      <c r="AC552" s="6" t="s">
        <v>633</v>
      </c>
      <c r="AD552" s="6" t="s">
        <v>1723</v>
      </c>
      <c r="AE552" s="6" t="s">
        <v>524</v>
      </c>
      <c r="AF552" s="6" t="s">
        <v>811</v>
      </c>
      <c r="AG552" s="6" t="s">
        <v>182</v>
      </c>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row>
    <row r="553" ht="22.5" customHeight="1">
      <c r="A553" s="4">
        <v>46229.69992359953</v>
      </c>
      <c r="B553" s="5">
        <v>0.0</v>
      </c>
      <c r="C553" s="6" t="s">
        <v>114</v>
      </c>
      <c r="D553" s="6" t="s">
        <v>1281</v>
      </c>
      <c r="E553" s="6" t="s">
        <v>1282</v>
      </c>
      <c r="F553" s="6">
        <v>6.9070500607E10</v>
      </c>
      <c r="G553" s="6" t="s">
        <v>6140</v>
      </c>
      <c r="H553" s="6" t="s">
        <v>6911</v>
      </c>
      <c r="I553" s="6" t="s">
        <v>6912</v>
      </c>
      <c r="J553" s="6" t="s">
        <v>6913</v>
      </c>
      <c r="K553" s="6" t="s">
        <v>6914</v>
      </c>
      <c r="L553" s="6" t="s">
        <v>6915</v>
      </c>
      <c r="M553" s="6" t="s">
        <v>6916</v>
      </c>
      <c r="N553" s="6" t="s">
        <v>6917</v>
      </c>
      <c r="O553" s="6" t="s">
        <v>6918</v>
      </c>
      <c r="P553" s="6" t="s">
        <v>6919</v>
      </c>
      <c r="Q553" s="6" t="s">
        <v>6920</v>
      </c>
      <c r="R553" s="6" t="s">
        <v>246</v>
      </c>
      <c r="S553" s="6" t="s">
        <v>147</v>
      </c>
      <c r="T553" s="6" t="s">
        <v>250</v>
      </c>
      <c r="U553" s="6" t="s">
        <v>686</v>
      </c>
      <c r="V553" s="6" t="s">
        <v>246</v>
      </c>
      <c r="W553" s="6" t="s">
        <v>158</v>
      </c>
      <c r="X553" s="6" t="s">
        <v>161</v>
      </c>
      <c r="Y553" s="6" t="s">
        <v>162</v>
      </c>
      <c r="Z553" s="6" t="s">
        <v>165</v>
      </c>
      <c r="AA553" s="6" t="s">
        <v>262</v>
      </c>
      <c r="AB553" s="6" t="s">
        <v>171</v>
      </c>
      <c r="AC553" s="6" t="s">
        <v>174</v>
      </c>
      <c r="AD553" s="6" t="s">
        <v>175</v>
      </c>
      <c r="AE553" s="6" t="s">
        <v>271</v>
      </c>
      <c r="AF553" s="6" t="s">
        <v>181</v>
      </c>
      <c r="AG553" s="6" t="s">
        <v>182</v>
      </c>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row>
    <row r="554" ht="22.5" customHeight="1">
      <c r="A554" s="4">
        <v>46229.69992893518</v>
      </c>
      <c r="B554" s="5">
        <v>0.0</v>
      </c>
      <c r="C554" s="6" t="s">
        <v>114</v>
      </c>
      <c r="D554" s="6" t="s">
        <v>1283</v>
      </c>
      <c r="E554" s="6" t="s">
        <v>1284</v>
      </c>
      <c r="F554" s="6">
        <v>6.9070501071E10</v>
      </c>
      <c r="G554" s="6" t="s">
        <v>1470</v>
      </c>
      <c r="H554" s="7"/>
      <c r="I554" s="6" t="s">
        <v>6921</v>
      </c>
      <c r="J554" s="6" t="s">
        <v>6922</v>
      </c>
      <c r="K554" s="6" t="s">
        <v>6923</v>
      </c>
      <c r="L554" s="6" t="s">
        <v>6924</v>
      </c>
      <c r="M554" s="6" t="s">
        <v>6925</v>
      </c>
      <c r="N554" s="7"/>
      <c r="O554" s="6" t="s">
        <v>6926</v>
      </c>
      <c r="P554" s="6" t="s">
        <v>6927</v>
      </c>
      <c r="Q554" s="6" t="s">
        <v>6928</v>
      </c>
      <c r="R554" s="6" t="s">
        <v>257</v>
      </c>
      <c r="S554" s="6" t="s">
        <v>147</v>
      </c>
      <c r="T554" s="6" t="s">
        <v>257</v>
      </c>
      <c r="U554" s="6" t="s">
        <v>152</v>
      </c>
      <c r="V554" s="6" t="s">
        <v>155</v>
      </c>
      <c r="W554" s="6" t="s">
        <v>158</v>
      </c>
      <c r="X554" s="6" t="s">
        <v>250</v>
      </c>
      <c r="Y554" s="6" t="s">
        <v>162</v>
      </c>
      <c r="Z554" s="6" t="s">
        <v>165</v>
      </c>
      <c r="AA554" s="6" t="s">
        <v>1322</v>
      </c>
      <c r="AB554" s="6" t="s">
        <v>521</v>
      </c>
      <c r="AC554" s="6" t="s">
        <v>1669</v>
      </c>
      <c r="AD554" s="6" t="s">
        <v>1723</v>
      </c>
      <c r="AE554" s="6" t="s">
        <v>271</v>
      </c>
      <c r="AF554" s="6" t="s">
        <v>181</v>
      </c>
      <c r="AG554" s="6" t="s">
        <v>182</v>
      </c>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row>
    <row r="555" ht="22.5" customHeight="1">
      <c r="A555" s="4">
        <v>46229.69992908565</v>
      </c>
      <c r="B555" s="5">
        <v>0.0</v>
      </c>
      <c r="C555" s="6" t="s">
        <v>114</v>
      </c>
      <c r="D555" s="6" t="s">
        <v>1285</v>
      </c>
      <c r="E555" s="6" t="s">
        <v>1286</v>
      </c>
      <c r="F555" s="6">
        <v>6.9070500806E10</v>
      </c>
      <c r="G555" s="6" t="s">
        <v>496</v>
      </c>
      <c r="H555" s="7"/>
      <c r="I555" s="6" t="s">
        <v>6929</v>
      </c>
      <c r="J555" s="6" t="s">
        <v>6930</v>
      </c>
      <c r="K555" s="6" t="s">
        <v>6931</v>
      </c>
      <c r="L555" s="6" t="s">
        <v>6932</v>
      </c>
      <c r="M555" s="6" t="s">
        <v>6933</v>
      </c>
      <c r="N555" s="6" t="s">
        <v>6934</v>
      </c>
      <c r="O555" s="6" t="s">
        <v>6935</v>
      </c>
      <c r="P555" s="6" t="s">
        <v>6936</v>
      </c>
      <c r="Q555" s="6" t="s">
        <v>6937</v>
      </c>
      <c r="R555" s="6" t="s">
        <v>246</v>
      </c>
      <c r="S555" s="6" t="s">
        <v>147</v>
      </c>
      <c r="T555" s="6" t="s">
        <v>250</v>
      </c>
      <c r="U555" s="6" t="s">
        <v>252</v>
      </c>
      <c r="V555" s="6" t="s">
        <v>246</v>
      </c>
      <c r="W555" s="6" t="s">
        <v>158</v>
      </c>
      <c r="X555" s="6" t="s">
        <v>257</v>
      </c>
      <c r="Y555" s="6" t="s">
        <v>162</v>
      </c>
      <c r="Z555" s="6" t="s">
        <v>165</v>
      </c>
      <c r="AA555" s="6" t="s">
        <v>262</v>
      </c>
      <c r="AB555" s="6" t="s">
        <v>171</v>
      </c>
      <c r="AC555" s="6" t="s">
        <v>174</v>
      </c>
      <c r="AD555" s="6" t="s">
        <v>175</v>
      </c>
      <c r="AE555" s="6" t="s">
        <v>271</v>
      </c>
      <c r="AF555" s="6" t="s">
        <v>181</v>
      </c>
      <c r="AG555" s="6" t="s">
        <v>182</v>
      </c>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row>
    <row r="556" ht="22.5" customHeight="1">
      <c r="A556" s="4">
        <v>46229.69993533565</v>
      </c>
      <c r="B556" s="5">
        <v>0.0</v>
      </c>
      <c r="C556" s="6" t="s">
        <v>114</v>
      </c>
      <c r="D556" s="6" t="s">
        <v>1287</v>
      </c>
      <c r="E556" s="6" t="s">
        <v>1288</v>
      </c>
      <c r="F556" s="6">
        <v>6.9070502486E10</v>
      </c>
      <c r="G556" s="6" t="s">
        <v>122</v>
      </c>
      <c r="H556" s="6" t="s">
        <v>6938</v>
      </c>
      <c r="I556" s="6" t="s">
        <v>6939</v>
      </c>
      <c r="J556" s="6" t="s">
        <v>6940</v>
      </c>
      <c r="K556" s="6" t="s">
        <v>6941</v>
      </c>
      <c r="L556" s="6" t="s">
        <v>6942</v>
      </c>
      <c r="M556" s="6" t="s">
        <v>6943</v>
      </c>
      <c r="N556" s="6" t="s">
        <v>6944</v>
      </c>
      <c r="O556" s="6" t="s">
        <v>6945</v>
      </c>
      <c r="P556" s="6" t="s">
        <v>6946</v>
      </c>
      <c r="Q556" s="6" t="s">
        <v>6947</v>
      </c>
      <c r="R556" s="6" t="s">
        <v>246</v>
      </c>
      <c r="S556" s="6" t="s">
        <v>147</v>
      </c>
      <c r="T556" s="6" t="s">
        <v>250</v>
      </c>
      <c r="U556" s="6" t="s">
        <v>560</v>
      </c>
      <c r="V556" s="6" t="s">
        <v>246</v>
      </c>
      <c r="W556" s="6" t="s">
        <v>158</v>
      </c>
      <c r="X556" s="6" t="s">
        <v>257</v>
      </c>
      <c r="Y556" s="6" t="s">
        <v>162</v>
      </c>
      <c r="Z556" s="6" t="s">
        <v>165</v>
      </c>
      <c r="AA556" s="6" t="s">
        <v>262</v>
      </c>
      <c r="AB556" s="6" t="s">
        <v>171</v>
      </c>
      <c r="AC556" s="6" t="s">
        <v>174</v>
      </c>
      <c r="AD556" s="6" t="s">
        <v>175</v>
      </c>
      <c r="AE556" s="6" t="s">
        <v>178</v>
      </c>
      <c r="AF556" s="6" t="s">
        <v>181</v>
      </c>
      <c r="AG556" s="6" t="s">
        <v>182</v>
      </c>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row>
    <row r="557" ht="22.5" customHeight="1">
      <c r="A557" s="4">
        <v>46229.69993604167</v>
      </c>
      <c r="B557" s="5">
        <v>0.0</v>
      </c>
      <c r="C557" s="6" t="s">
        <v>114</v>
      </c>
      <c r="D557" s="6" t="s">
        <v>1289</v>
      </c>
      <c r="E557" s="6" t="s">
        <v>1290</v>
      </c>
      <c r="F557" s="6">
        <v>6.9070508224E10</v>
      </c>
      <c r="G557" s="6" t="s">
        <v>730</v>
      </c>
      <c r="H557" s="7"/>
      <c r="I557" s="6" t="s">
        <v>6360</v>
      </c>
      <c r="J557" s="6" t="s">
        <v>3338</v>
      </c>
      <c r="K557" s="6" t="s">
        <v>6948</v>
      </c>
      <c r="L557" s="6" t="s">
        <v>5385</v>
      </c>
      <c r="M557" s="6" t="s">
        <v>6949</v>
      </c>
      <c r="N557" s="6" t="s">
        <v>6950</v>
      </c>
      <c r="O557" s="6" t="s">
        <v>6951</v>
      </c>
      <c r="P557" s="6" t="s">
        <v>6952</v>
      </c>
      <c r="Q557" s="6" t="s">
        <v>6953</v>
      </c>
      <c r="R557" s="6" t="s">
        <v>257</v>
      </c>
      <c r="S557" s="6" t="s">
        <v>147</v>
      </c>
      <c r="T557" s="6" t="s">
        <v>250</v>
      </c>
      <c r="U557" s="6" t="s">
        <v>560</v>
      </c>
      <c r="V557" s="6" t="s">
        <v>246</v>
      </c>
      <c r="W557" s="6" t="s">
        <v>158</v>
      </c>
      <c r="X557" s="6" t="s">
        <v>458</v>
      </c>
      <c r="Y557" s="6" t="s">
        <v>162</v>
      </c>
      <c r="Z557" s="6" t="s">
        <v>165</v>
      </c>
      <c r="AA557" s="6" t="s">
        <v>262</v>
      </c>
      <c r="AB557" s="6" t="s">
        <v>171</v>
      </c>
      <c r="AC557" s="6" t="s">
        <v>174</v>
      </c>
      <c r="AD557" s="6" t="s">
        <v>175</v>
      </c>
      <c r="AE557" s="6" t="s">
        <v>271</v>
      </c>
      <c r="AF557" s="6" t="s">
        <v>181</v>
      </c>
      <c r="AG557" s="6" t="s">
        <v>182</v>
      </c>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row>
    <row r="558" ht="22.5" customHeight="1">
      <c r="A558" s="4">
        <v>46229.699938854166</v>
      </c>
      <c r="B558" s="5">
        <v>0.0</v>
      </c>
      <c r="C558" s="6" t="s">
        <v>114</v>
      </c>
      <c r="D558" s="6" t="s">
        <v>1291</v>
      </c>
      <c r="E558" s="6" t="s">
        <v>1292</v>
      </c>
      <c r="F558" s="6">
        <v>6.9070506461E10</v>
      </c>
      <c r="G558" s="6" t="s">
        <v>599</v>
      </c>
      <c r="H558" s="7"/>
      <c r="I558" s="6" t="s">
        <v>3595</v>
      </c>
      <c r="J558" s="6" t="s">
        <v>3592</v>
      </c>
      <c r="K558" s="6" t="s">
        <v>6954</v>
      </c>
      <c r="L558" s="6" t="s">
        <v>5842</v>
      </c>
      <c r="M558" s="6" t="s">
        <v>6955</v>
      </c>
      <c r="N558" s="6" t="s">
        <v>6956</v>
      </c>
      <c r="O558" s="6" t="s">
        <v>6957</v>
      </c>
      <c r="P558" s="6" t="s">
        <v>6958</v>
      </c>
      <c r="Q558" s="6" t="s">
        <v>6959</v>
      </c>
      <c r="R558" s="6" t="s">
        <v>246</v>
      </c>
      <c r="S558" s="6" t="s">
        <v>147</v>
      </c>
      <c r="T558" s="6" t="s">
        <v>250</v>
      </c>
      <c r="U558" s="6" t="s">
        <v>686</v>
      </c>
      <c r="V558" s="6" t="s">
        <v>246</v>
      </c>
      <c r="W558" s="6" t="s">
        <v>158</v>
      </c>
      <c r="X558" s="6" t="s">
        <v>257</v>
      </c>
      <c r="Y558" s="6" t="s">
        <v>162</v>
      </c>
      <c r="Z558" s="6" t="s">
        <v>165</v>
      </c>
      <c r="AA558" s="6" t="s">
        <v>262</v>
      </c>
      <c r="AB558" s="6" t="s">
        <v>521</v>
      </c>
      <c r="AC558" s="6" t="s">
        <v>174</v>
      </c>
      <c r="AD558" s="6" t="s">
        <v>175</v>
      </c>
      <c r="AE558" s="6" t="s">
        <v>271</v>
      </c>
      <c r="AF558" s="6" t="s">
        <v>181</v>
      </c>
      <c r="AG558" s="6" t="s">
        <v>182</v>
      </c>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row>
    <row r="559" ht="22.5" customHeight="1">
      <c r="A559" s="4">
        <v>46229.69994210648</v>
      </c>
      <c r="B559" s="5">
        <v>0.0</v>
      </c>
      <c r="C559" s="6" t="s">
        <v>114</v>
      </c>
      <c r="D559" s="6" t="s">
        <v>1293</v>
      </c>
      <c r="E559" s="6" t="s">
        <v>1294</v>
      </c>
      <c r="F559" s="6">
        <v>6.9070506402E10</v>
      </c>
      <c r="G559" s="6" t="s">
        <v>599</v>
      </c>
      <c r="H559" s="7"/>
      <c r="I559" s="6" t="s">
        <v>4606</v>
      </c>
      <c r="J559" s="6" t="s">
        <v>6960</v>
      </c>
      <c r="K559" s="6" t="s">
        <v>6961</v>
      </c>
      <c r="L559" s="6" t="s">
        <v>6962</v>
      </c>
      <c r="M559" s="6" t="s">
        <v>6963</v>
      </c>
      <c r="N559" s="7"/>
      <c r="O559" s="6" t="s">
        <v>6964</v>
      </c>
      <c r="P559" s="6" t="s">
        <v>6965</v>
      </c>
      <c r="Q559" s="6" t="s">
        <v>6966</v>
      </c>
      <c r="R559" s="6" t="s">
        <v>246</v>
      </c>
      <c r="S559" s="6" t="s">
        <v>147</v>
      </c>
      <c r="T559" s="6" t="s">
        <v>250</v>
      </c>
      <c r="U559" s="6" t="s">
        <v>252</v>
      </c>
      <c r="V559" s="6" t="s">
        <v>246</v>
      </c>
      <c r="W559" s="6" t="s">
        <v>158</v>
      </c>
      <c r="X559" s="6" t="s">
        <v>257</v>
      </c>
      <c r="Y559" s="6" t="s">
        <v>162</v>
      </c>
      <c r="Z559" s="6" t="s">
        <v>165</v>
      </c>
      <c r="AA559" s="6" t="s">
        <v>262</v>
      </c>
      <c r="AB559" s="6" t="s">
        <v>171</v>
      </c>
      <c r="AC559" s="6" t="s">
        <v>174</v>
      </c>
      <c r="AD559" s="6" t="s">
        <v>175</v>
      </c>
      <c r="AE559" s="6" t="s">
        <v>271</v>
      </c>
      <c r="AF559" s="6" t="s">
        <v>181</v>
      </c>
      <c r="AG559" s="6" t="s">
        <v>812</v>
      </c>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row>
    <row r="560" ht="22.5" customHeight="1">
      <c r="A560" s="4">
        <v>46229.69995171296</v>
      </c>
      <c r="B560" s="5">
        <v>0.0</v>
      </c>
      <c r="C560" s="6" t="s">
        <v>114</v>
      </c>
      <c r="D560" s="6" t="s">
        <v>1295</v>
      </c>
      <c r="E560" s="6" t="s">
        <v>1296</v>
      </c>
      <c r="F560" s="6">
        <v>6.9070500824E10</v>
      </c>
      <c r="G560" s="6" t="s">
        <v>496</v>
      </c>
      <c r="H560" s="7"/>
      <c r="I560" s="6" t="s">
        <v>6967</v>
      </c>
      <c r="J560" s="6" t="s">
        <v>6968</v>
      </c>
      <c r="K560" s="6" t="s">
        <v>6969</v>
      </c>
      <c r="L560" s="6" t="s">
        <v>4532</v>
      </c>
      <c r="M560" s="6" t="s">
        <v>6970</v>
      </c>
      <c r="N560" s="6" t="s">
        <v>5864</v>
      </c>
      <c r="O560" s="6" t="s">
        <v>6971</v>
      </c>
      <c r="P560" s="6" t="s">
        <v>6972</v>
      </c>
      <c r="Q560" s="6" t="s">
        <v>6973</v>
      </c>
      <c r="R560" s="6" t="s">
        <v>246</v>
      </c>
      <c r="S560" s="6" t="s">
        <v>147</v>
      </c>
      <c r="T560" s="6" t="s">
        <v>250</v>
      </c>
      <c r="U560" s="6" t="s">
        <v>252</v>
      </c>
      <c r="V560" s="6" t="s">
        <v>246</v>
      </c>
      <c r="W560" s="6" t="s">
        <v>158</v>
      </c>
      <c r="X560" s="6" t="s">
        <v>257</v>
      </c>
      <c r="Y560" s="6" t="s">
        <v>162</v>
      </c>
      <c r="Z560" s="6" t="s">
        <v>165</v>
      </c>
      <c r="AA560" s="6" t="s">
        <v>262</v>
      </c>
      <c r="AB560" s="6" t="s">
        <v>171</v>
      </c>
      <c r="AC560" s="6" t="s">
        <v>174</v>
      </c>
      <c r="AD560" s="6" t="s">
        <v>175</v>
      </c>
      <c r="AE560" s="6" t="s">
        <v>271</v>
      </c>
      <c r="AF560" s="6" t="s">
        <v>181</v>
      </c>
      <c r="AG560" s="6" t="s">
        <v>182</v>
      </c>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row>
    <row r="561" ht="22.5" customHeight="1">
      <c r="A561" s="4">
        <v>46229.69995178241</v>
      </c>
      <c r="B561" s="5">
        <v>0.0</v>
      </c>
      <c r="C561" s="6" t="s">
        <v>114</v>
      </c>
      <c r="D561" s="6" t="s">
        <v>1298</v>
      </c>
      <c r="E561" s="6" t="s">
        <v>1299</v>
      </c>
      <c r="F561" s="6">
        <v>6.9070506406E10</v>
      </c>
      <c r="G561" s="6" t="s">
        <v>599</v>
      </c>
      <c r="H561" s="7"/>
      <c r="I561" s="6" t="s">
        <v>6974</v>
      </c>
      <c r="J561" s="6" t="s">
        <v>6975</v>
      </c>
      <c r="K561" s="6" t="s">
        <v>6976</v>
      </c>
      <c r="L561" s="6" t="s">
        <v>6977</v>
      </c>
      <c r="M561" s="6" t="s">
        <v>6978</v>
      </c>
      <c r="N561" s="7"/>
      <c r="O561" s="6" t="s">
        <v>6979</v>
      </c>
      <c r="P561" s="6" t="s">
        <v>6980</v>
      </c>
      <c r="Q561" s="6" t="s">
        <v>6981</v>
      </c>
      <c r="R561" s="6" t="s">
        <v>246</v>
      </c>
      <c r="S561" s="6" t="s">
        <v>147</v>
      </c>
      <c r="T561" s="6" t="s">
        <v>250</v>
      </c>
      <c r="U561" s="6" t="s">
        <v>252</v>
      </c>
      <c r="V561" s="6" t="s">
        <v>246</v>
      </c>
      <c r="W561" s="6" t="s">
        <v>158</v>
      </c>
      <c r="X561" s="6" t="s">
        <v>257</v>
      </c>
      <c r="Y561" s="6" t="s">
        <v>162</v>
      </c>
      <c r="Z561" s="6" t="s">
        <v>165</v>
      </c>
      <c r="AA561" s="6" t="s">
        <v>262</v>
      </c>
      <c r="AB561" s="6" t="s">
        <v>521</v>
      </c>
      <c r="AC561" s="6" t="s">
        <v>174</v>
      </c>
      <c r="AD561" s="6" t="s">
        <v>175</v>
      </c>
      <c r="AE561" s="6" t="s">
        <v>178</v>
      </c>
      <c r="AF561" s="6" t="s">
        <v>181</v>
      </c>
      <c r="AG561" s="6" t="s">
        <v>182</v>
      </c>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row>
    <row r="562" ht="22.5" customHeight="1">
      <c r="A562" s="4">
        <v>46229.69996138889</v>
      </c>
      <c r="B562" s="5">
        <v>0.0</v>
      </c>
      <c r="C562" s="6" t="s">
        <v>114</v>
      </c>
      <c r="D562" s="6" t="s">
        <v>1302</v>
      </c>
      <c r="E562" s="6" t="s">
        <v>1303</v>
      </c>
      <c r="F562" s="6">
        <v>6.9070509829E10</v>
      </c>
      <c r="G562" s="6" t="s">
        <v>496</v>
      </c>
      <c r="H562" s="7"/>
      <c r="I562" s="6" t="s">
        <v>6982</v>
      </c>
      <c r="J562" s="6" t="s">
        <v>6983</v>
      </c>
      <c r="K562" s="6" t="s">
        <v>6984</v>
      </c>
      <c r="L562" s="6" t="s">
        <v>6985</v>
      </c>
      <c r="M562" s="6" t="s">
        <v>6986</v>
      </c>
      <c r="N562" s="6" t="s">
        <v>6987</v>
      </c>
      <c r="O562" s="6" t="s">
        <v>6988</v>
      </c>
      <c r="P562" s="6" t="s">
        <v>6989</v>
      </c>
      <c r="Q562" s="6" t="s">
        <v>6990</v>
      </c>
      <c r="R562" s="6" t="s">
        <v>246</v>
      </c>
      <c r="S562" s="6" t="s">
        <v>147</v>
      </c>
      <c r="T562" s="6" t="s">
        <v>250</v>
      </c>
      <c r="U562" s="6" t="s">
        <v>2254</v>
      </c>
      <c r="V562" s="6" t="s">
        <v>246</v>
      </c>
      <c r="W562" s="6" t="s">
        <v>158</v>
      </c>
      <c r="X562" s="6" t="s">
        <v>257</v>
      </c>
      <c r="Y562" s="6" t="s">
        <v>162</v>
      </c>
      <c r="Z562" s="6" t="s">
        <v>165</v>
      </c>
      <c r="AA562" s="6" t="s">
        <v>262</v>
      </c>
      <c r="AB562" s="6" t="s">
        <v>171</v>
      </c>
      <c r="AC562" s="6" t="s">
        <v>174</v>
      </c>
      <c r="AD562" s="6" t="s">
        <v>175</v>
      </c>
      <c r="AE562" s="6" t="s">
        <v>271</v>
      </c>
      <c r="AF562" s="6" t="s">
        <v>181</v>
      </c>
      <c r="AG562" s="6" t="s">
        <v>182</v>
      </c>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row>
    <row r="563" ht="22.5" customHeight="1">
      <c r="A563" s="4">
        <v>46229.699961493054</v>
      </c>
      <c r="B563" s="5">
        <v>0.0</v>
      </c>
      <c r="C563" s="6" t="s">
        <v>3296</v>
      </c>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6" t="s">
        <v>2670</v>
      </c>
      <c r="AI563" s="6" t="s">
        <v>2671</v>
      </c>
      <c r="AJ563" s="6">
        <v>6.9070509212E10</v>
      </c>
      <c r="AK563" s="6" t="s">
        <v>4331</v>
      </c>
      <c r="AL563" s="7"/>
      <c r="AM563" s="6" t="s">
        <v>6991</v>
      </c>
      <c r="AN563" s="6" t="s">
        <v>6992</v>
      </c>
      <c r="AO563" s="6" t="s">
        <v>6724</v>
      </c>
      <c r="AP563" s="6" t="s">
        <v>6993</v>
      </c>
      <c r="AQ563" s="6" t="s">
        <v>6994</v>
      </c>
      <c r="AR563" s="7"/>
      <c r="AS563" s="6" t="s">
        <v>6995</v>
      </c>
      <c r="AT563" s="6" t="s">
        <v>6996</v>
      </c>
      <c r="AU563" s="6" t="s">
        <v>6997</v>
      </c>
      <c r="AV563" s="6" t="s">
        <v>3312</v>
      </c>
      <c r="AW563" s="6" t="s">
        <v>3307</v>
      </c>
      <c r="AX563" s="6" t="s">
        <v>3312</v>
      </c>
      <c r="AY563" s="6" t="s">
        <v>4067</v>
      </c>
      <c r="AZ563" s="6" t="s">
        <v>3306</v>
      </c>
      <c r="BA563" s="6" t="s">
        <v>3311</v>
      </c>
      <c r="BB563" s="6" t="s">
        <v>4693</v>
      </c>
      <c r="BC563" s="6" t="s">
        <v>3313</v>
      </c>
      <c r="BD563" s="6" t="s">
        <v>165</v>
      </c>
      <c r="BE563" s="6" t="s">
        <v>3888</v>
      </c>
      <c r="BF563" s="6" t="s">
        <v>3315</v>
      </c>
      <c r="BG563" s="6" t="s">
        <v>4068</v>
      </c>
      <c r="BH563" s="6" t="s">
        <v>3317</v>
      </c>
      <c r="BI563" s="6" t="s">
        <v>271</v>
      </c>
      <c r="BJ563" s="6" t="s">
        <v>3318</v>
      </c>
      <c r="BK563" s="6" t="s">
        <v>3319</v>
      </c>
    </row>
    <row r="564" ht="22.5" customHeight="1">
      <c r="A564" s="4">
        <v>46229.69996866898</v>
      </c>
      <c r="B564" s="5">
        <v>0.0</v>
      </c>
      <c r="C564" s="6" t="s">
        <v>114</v>
      </c>
      <c r="D564" s="6" t="s">
        <v>211</v>
      </c>
      <c r="E564" s="6" t="s">
        <v>1306</v>
      </c>
      <c r="F564" s="6">
        <v>6.907050106E10</v>
      </c>
      <c r="G564" s="6" t="s">
        <v>1470</v>
      </c>
      <c r="H564" s="7"/>
      <c r="I564" s="6" t="s">
        <v>6998</v>
      </c>
      <c r="J564" s="6" t="s">
        <v>6999</v>
      </c>
      <c r="K564" s="6" t="s">
        <v>7000</v>
      </c>
      <c r="L564" s="6" t="s">
        <v>7001</v>
      </c>
      <c r="M564" s="6" t="s">
        <v>7002</v>
      </c>
      <c r="N564" s="6" t="s">
        <v>7003</v>
      </c>
      <c r="O564" s="6" t="s">
        <v>7004</v>
      </c>
      <c r="P564" s="6" t="s">
        <v>7005</v>
      </c>
      <c r="Q564" s="6" t="s">
        <v>7006</v>
      </c>
      <c r="R564" s="6" t="s">
        <v>257</v>
      </c>
      <c r="S564" s="6" t="s">
        <v>147</v>
      </c>
      <c r="T564" s="6" t="s">
        <v>250</v>
      </c>
      <c r="U564" s="6" t="s">
        <v>686</v>
      </c>
      <c r="V564" s="6" t="s">
        <v>246</v>
      </c>
      <c r="W564" s="6" t="s">
        <v>158</v>
      </c>
      <c r="X564" s="6" t="s">
        <v>257</v>
      </c>
      <c r="Y564" s="6" t="s">
        <v>162</v>
      </c>
      <c r="Z564" s="6" t="s">
        <v>165</v>
      </c>
      <c r="AA564" s="6" t="s">
        <v>262</v>
      </c>
      <c r="AB564" s="6" t="s">
        <v>171</v>
      </c>
      <c r="AC564" s="6" t="s">
        <v>174</v>
      </c>
      <c r="AD564" s="6" t="s">
        <v>175</v>
      </c>
      <c r="AE564" s="6" t="s">
        <v>271</v>
      </c>
      <c r="AF564" s="6" t="s">
        <v>181</v>
      </c>
      <c r="AG564" s="6" t="s">
        <v>182</v>
      </c>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row>
    <row r="565" ht="22.5" customHeight="1">
      <c r="A565" s="4">
        <v>46229.69997103009</v>
      </c>
      <c r="B565" s="5">
        <v>0.0</v>
      </c>
      <c r="C565" s="6" t="s">
        <v>114</v>
      </c>
      <c r="D565" s="6" t="s">
        <v>1308</v>
      </c>
      <c r="E565" s="6" t="s">
        <v>1310</v>
      </c>
      <c r="F565" s="6">
        <v>6.9070508251E10</v>
      </c>
      <c r="G565" s="6" t="s">
        <v>730</v>
      </c>
      <c r="H565" s="7"/>
      <c r="I565" s="6" t="s">
        <v>7007</v>
      </c>
      <c r="J565" s="6" t="s">
        <v>7008</v>
      </c>
      <c r="K565" s="6" t="s">
        <v>6024</v>
      </c>
      <c r="L565" s="6" t="s">
        <v>6867</v>
      </c>
      <c r="M565" s="6" t="s">
        <v>7009</v>
      </c>
      <c r="N565" s="6" t="s">
        <v>7010</v>
      </c>
      <c r="O565" s="6" t="s">
        <v>7011</v>
      </c>
      <c r="P565" s="6" t="s">
        <v>7012</v>
      </c>
      <c r="Q565" s="6" t="s">
        <v>7013</v>
      </c>
      <c r="R565" s="6" t="s">
        <v>246</v>
      </c>
      <c r="S565" s="6" t="s">
        <v>147</v>
      </c>
      <c r="T565" s="6" t="s">
        <v>250</v>
      </c>
      <c r="U565" s="6" t="s">
        <v>252</v>
      </c>
      <c r="V565" s="6" t="s">
        <v>246</v>
      </c>
      <c r="W565" s="6" t="s">
        <v>158</v>
      </c>
      <c r="X565" s="6" t="s">
        <v>458</v>
      </c>
      <c r="Y565" s="6" t="s">
        <v>162</v>
      </c>
      <c r="Z565" s="6" t="s">
        <v>165</v>
      </c>
      <c r="AA565" s="6" t="s">
        <v>262</v>
      </c>
      <c r="AB565" s="6" t="s">
        <v>171</v>
      </c>
      <c r="AC565" s="6" t="s">
        <v>174</v>
      </c>
      <c r="AD565" s="6" t="s">
        <v>175</v>
      </c>
      <c r="AE565" s="6" t="s">
        <v>271</v>
      </c>
      <c r="AF565" s="6" t="s">
        <v>181</v>
      </c>
      <c r="AG565" s="6" t="s">
        <v>182</v>
      </c>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row>
    <row r="566" ht="22.5" customHeight="1">
      <c r="A566" s="4">
        <v>46229.69997606482</v>
      </c>
      <c r="B566" s="5">
        <v>0.0</v>
      </c>
      <c r="C566" s="6" t="s">
        <v>114</v>
      </c>
      <c r="D566" s="6" t="s">
        <v>1312</v>
      </c>
      <c r="E566" s="6" t="s">
        <v>1313</v>
      </c>
      <c r="F566" s="6">
        <v>6.9070502404E10</v>
      </c>
      <c r="G566" s="6" t="s">
        <v>122</v>
      </c>
      <c r="H566" s="6" t="s">
        <v>7014</v>
      </c>
      <c r="I566" s="6" t="s">
        <v>7015</v>
      </c>
      <c r="J566" s="6" t="s">
        <v>7016</v>
      </c>
      <c r="K566" s="6" t="s">
        <v>7016</v>
      </c>
      <c r="L566" s="6" t="s">
        <v>7016</v>
      </c>
      <c r="M566" s="6" t="s">
        <v>7016</v>
      </c>
      <c r="N566" s="6" t="s">
        <v>7017</v>
      </c>
      <c r="O566" s="6" t="s">
        <v>7018</v>
      </c>
      <c r="P566" s="6" t="s">
        <v>7019</v>
      </c>
      <c r="Q566" s="6" t="s">
        <v>7019</v>
      </c>
      <c r="R566" s="6" t="s">
        <v>246</v>
      </c>
      <c r="S566" s="6" t="s">
        <v>147</v>
      </c>
      <c r="T566" s="6" t="s">
        <v>250</v>
      </c>
      <c r="U566" s="6" t="s">
        <v>2254</v>
      </c>
      <c r="V566" s="6" t="s">
        <v>246</v>
      </c>
      <c r="W566" s="6" t="s">
        <v>158</v>
      </c>
      <c r="X566" s="6" t="s">
        <v>161</v>
      </c>
      <c r="Y566" s="6" t="s">
        <v>162</v>
      </c>
      <c r="Z566" s="6" t="s">
        <v>152</v>
      </c>
      <c r="AA566" s="6" t="s">
        <v>168</v>
      </c>
      <c r="AB566" s="6" t="s">
        <v>171</v>
      </c>
      <c r="AC566" s="6" t="s">
        <v>174</v>
      </c>
      <c r="AD566" s="6" t="s">
        <v>175</v>
      </c>
      <c r="AE566" s="6" t="s">
        <v>178</v>
      </c>
      <c r="AF566" s="6" t="s">
        <v>181</v>
      </c>
      <c r="AG566" s="6" t="s">
        <v>182</v>
      </c>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row>
    <row r="567" ht="22.5" customHeight="1">
      <c r="A567" s="4">
        <v>46229.699976689815</v>
      </c>
      <c r="B567" s="5">
        <v>0.0</v>
      </c>
      <c r="C567" s="6" t="s">
        <v>3296</v>
      </c>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6" t="s">
        <v>2672</v>
      </c>
      <c r="AI567" s="6" t="s">
        <v>2673</v>
      </c>
      <c r="AJ567" s="6">
        <v>6.9070507827E10</v>
      </c>
      <c r="AK567" s="6" t="s">
        <v>5236</v>
      </c>
      <c r="AL567" s="7"/>
      <c r="AM567" s="6" t="s">
        <v>6899</v>
      </c>
      <c r="AN567" s="6" t="s">
        <v>7020</v>
      </c>
      <c r="AO567" s="6" t="s">
        <v>7021</v>
      </c>
      <c r="AP567" s="6" t="s">
        <v>7022</v>
      </c>
      <c r="AQ567" s="6" t="s">
        <v>7023</v>
      </c>
      <c r="AR567" s="7"/>
      <c r="AS567" s="6" t="s">
        <v>7024</v>
      </c>
      <c r="AT567" s="6" t="s">
        <v>7025</v>
      </c>
      <c r="AU567" s="6" t="s">
        <v>7026</v>
      </c>
      <c r="AV567" s="6" t="s">
        <v>3306</v>
      </c>
      <c r="AW567" s="6" t="s">
        <v>3307</v>
      </c>
      <c r="AX567" s="6" t="s">
        <v>3887</v>
      </c>
      <c r="AY567" s="6" t="s">
        <v>4067</v>
      </c>
      <c r="AZ567" s="6" t="s">
        <v>3306</v>
      </c>
      <c r="BA567" s="6" t="s">
        <v>3311</v>
      </c>
      <c r="BB567" s="6" t="s">
        <v>4693</v>
      </c>
      <c r="BC567" s="6" t="s">
        <v>3313</v>
      </c>
      <c r="BD567" s="6" t="s">
        <v>165</v>
      </c>
      <c r="BE567" s="6" t="s">
        <v>3888</v>
      </c>
      <c r="BF567" s="6" t="s">
        <v>3889</v>
      </c>
      <c r="BG567" s="6" t="s">
        <v>4068</v>
      </c>
      <c r="BH567" s="6" t="s">
        <v>3317</v>
      </c>
      <c r="BI567" s="6" t="s">
        <v>178</v>
      </c>
      <c r="BJ567" s="6" t="s">
        <v>3318</v>
      </c>
      <c r="BK567" s="6" t="s">
        <v>3319</v>
      </c>
    </row>
    <row r="568" ht="22.5" customHeight="1">
      <c r="A568" s="4">
        <v>46229.699977337965</v>
      </c>
      <c r="B568" s="5">
        <v>0.0</v>
      </c>
      <c r="C568" s="6" t="s">
        <v>114</v>
      </c>
      <c r="D568" s="6" t="s">
        <v>1314</v>
      </c>
      <c r="E568" s="6" t="s">
        <v>1315</v>
      </c>
      <c r="F568" s="6">
        <v>6.9070502241E10</v>
      </c>
      <c r="G568" s="6" t="s">
        <v>496</v>
      </c>
      <c r="H568" s="6" t="s">
        <v>7027</v>
      </c>
      <c r="I568" s="6" t="s">
        <v>7028</v>
      </c>
      <c r="J568" s="6" t="s">
        <v>5449</v>
      </c>
      <c r="K568" s="6" t="s">
        <v>7029</v>
      </c>
      <c r="L568" s="6" t="s">
        <v>7030</v>
      </c>
      <c r="M568" s="6" t="s">
        <v>7031</v>
      </c>
      <c r="N568" s="7"/>
      <c r="O568" s="6" t="s">
        <v>7032</v>
      </c>
      <c r="P568" s="6" t="s">
        <v>7033</v>
      </c>
      <c r="Q568" s="6" t="s">
        <v>7034</v>
      </c>
      <c r="R568" s="6" t="s">
        <v>246</v>
      </c>
      <c r="S568" s="6" t="s">
        <v>147</v>
      </c>
      <c r="T568" s="6" t="s">
        <v>250</v>
      </c>
      <c r="U568" s="6" t="s">
        <v>686</v>
      </c>
      <c r="V568" s="6" t="s">
        <v>246</v>
      </c>
      <c r="W568" s="6" t="s">
        <v>158</v>
      </c>
      <c r="X568" s="6" t="s">
        <v>257</v>
      </c>
      <c r="Y568" s="6" t="s">
        <v>162</v>
      </c>
      <c r="Z568" s="6" t="s">
        <v>165</v>
      </c>
      <c r="AA568" s="6" t="s">
        <v>262</v>
      </c>
      <c r="AB568" s="6" t="s">
        <v>521</v>
      </c>
      <c r="AC568" s="6" t="s">
        <v>174</v>
      </c>
      <c r="AD568" s="6" t="s">
        <v>1723</v>
      </c>
      <c r="AE568" s="6" t="s">
        <v>271</v>
      </c>
      <c r="AF568" s="6" t="s">
        <v>181</v>
      </c>
      <c r="AG568" s="6" t="s">
        <v>182</v>
      </c>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row>
    <row r="569" ht="22.5" customHeight="1">
      <c r="A569" s="4">
        <v>46229.699999930555</v>
      </c>
      <c r="B569" s="5">
        <v>0.0</v>
      </c>
      <c r="C569" s="6" t="s">
        <v>3296</v>
      </c>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6" t="s">
        <v>2674</v>
      </c>
      <c r="AI569" s="6" t="s">
        <v>2675</v>
      </c>
      <c r="AJ569" s="6">
        <v>6.9070503482E10</v>
      </c>
      <c r="AK569" s="6" t="s">
        <v>3297</v>
      </c>
      <c r="AL569" s="7"/>
      <c r="AM569" s="6" t="s">
        <v>7035</v>
      </c>
      <c r="AN569" s="6" t="s">
        <v>7036</v>
      </c>
      <c r="AO569" s="6" t="s">
        <v>7037</v>
      </c>
      <c r="AP569" s="6" t="s">
        <v>7038</v>
      </c>
      <c r="AQ569" s="6" t="s">
        <v>7039</v>
      </c>
      <c r="AR569" s="6" t="s">
        <v>7040</v>
      </c>
      <c r="AS569" s="6" t="s">
        <v>7041</v>
      </c>
      <c r="AT569" s="6" t="s">
        <v>7042</v>
      </c>
      <c r="AU569" s="6" t="s">
        <v>7043</v>
      </c>
      <c r="AV569" s="6" t="s">
        <v>3306</v>
      </c>
      <c r="AW569" s="6" t="s">
        <v>3307</v>
      </c>
      <c r="AX569" s="6" t="s">
        <v>3887</v>
      </c>
      <c r="AY569" s="6" t="s">
        <v>4067</v>
      </c>
      <c r="AZ569" s="6" t="s">
        <v>3306</v>
      </c>
      <c r="BA569" s="6" t="s">
        <v>3311</v>
      </c>
      <c r="BB569" s="6" t="s">
        <v>4693</v>
      </c>
      <c r="BC569" s="6" t="s">
        <v>3313</v>
      </c>
      <c r="BD569" s="6" t="s">
        <v>165</v>
      </c>
      <c r="BE569" s="6" t="s">
        <v>3888</v>
      </c>
      <c r="BF569" s="6" t="s">
        <v>3315</v>
      </c>
      <c r="BG569" s="6" t="s">
        <v>3316</v>
      </c>
      <c r="BH569" s="6" t="s">
        <v>3317</v>
      </c>
      <c r="BI569" s="6" t="s">
        <v>271</v>
      </c>
      <c r="BJ569" s="6" t="s">
        <v>3318</v>
      </c>
      <c r="BK569" s="6" t="s">
        <v>3319</v>
      </c>
    </row>
    <row r="570" ht="22.5" customHeight="1">
      <c r="A570" s="4">
        <v>46229.700004872684</v>
      </c>
      <c r="B570" s="5">
        <v>0.0</v>
      </c>
      <c r="C570" s="6" t="s">
        <v>114</v>
      </c>
      <c r="D570" s="6" t="s">
        <v>748</v>
      </c>
      <c r="E570" s="6" t="s">
        <v>1316</v>
      </c>
      <c r="F570" s="6">
        <v>6.9070500281E10</v>
      </c>
      <c r="G570" s="6" t="s">
        <v>599</v>
      </c>
      <c r="H570" s="7"/>
      <c r="I570" s="6" t="s">
        <v>4550</v>
      </c>
      <c r="J570" s="6" t="s">
        <v>7044</v>
      </c>
      <c r="K570" s="6" t="s">
        <v>7045</v>
      </c>
      <c r="L570" s="6" t="s">
        <v>3637</v>
      </c>
      <c r="M570" s="6" t="s">
        <v>7046</v>
      </c>
      <c r="N570" s="7"/>
      <c r="O570" s="6" t="s">
        <v>7047</v>
      </c>
      <c r="P570" s="6" t="s">
        <v>7048</v>
      </c>
      <c r="Q570" s="6" t="s">
        <v>7049</v>
      </c>
      <c r="R570" s="6" t="s">
        <v>246</v>
      </c>
      <c r="S570" s="6" t="s">
        <v>147</v>
      </c>
      <c r="T570" s="6" t="s">
        <v>250</v>
      </c>
      <c r="U570" s="6" t="s">
        <v>252</v>
      </c>
      <c r="V570" s="6" t="s">
        <v>246</v>
      </c>
      <c r="W570" s="6" t="s">
        <v>158</v>
      </c>
      <c r="X570" s="6" t="s">
        <v>257</v>
      </c>
      <c r="Y570" s="6" t="s">
        <v>162</v>
      </c>
      <c r="Z570" s="6" t="s">
        <v>165</v>
      </c>
      <c r="AA570" s="6" t="s">
        <v>262</v>
      </c>
      <c r="AB570" s="6" t="s">
        <v>171</v>
      </c>
      <c r="AC570" s="6" t="s">
        <v>174</v>
      </c>
      <c r="AD570" s="6" t="s">
        <v>175</v>
      </c>
      <c r="AE570" s="6" t="s">
        <v>271</v>
      </c>
      <c r="AF570" s="6" t="s">
        <v>181</v>
      </c>
      <c r="AG570" s="6" t="s">
        <v>182</v>
      </c>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row>
    <row r="571" ht="22.5" customHeight="1">
      <c r="A571" s="4">
        <v>46229.70000819444</v>
      </c>
      <c r="B571" s="5">
        <v>0.0</v>
      </c>
      <c r="C571" s="6" t="s">
        <v>3296</v>
      </c>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6" t="s">
        <v>2676</v>
      </c>
      <c r="AI571" s="6" t="s">
        <v>2677</v>
      </c>
      <c r="AJ571" s="6">
        <v>6.9070509217E10</v>
      </c>
      <c r="AK571" s="6" t="s">
        <v>4331</v>
      </c>
      <c r="AL571" s="7"/>
      <c r="AM571" s="6" t="s">
        <v>5874</v>
      </c>
      <c r="AN571" s="6" t="s">
        <v>7050</v>
      </c>
      <c r="AO571" s="6" t="s">
        <v>6992</v>
      </c>
      <c r="AP571" s="6" t="s">
        <v>7051</v>
      </c>
      <c r="AQ571" s="6" t="s">
        <v>7052</v>
      </c>
      <c r="AR571" s="7"/>
      <c r="AS571" s="6" t="s">
        <v>7053</v>
      </c>
      <c r="AT571" s="6" t="s">
        <v>7053</v>
      </c>
      <c r="AU571" s="6" t="s">
        <v>7054</v>
      </c>
      <c r="AV571" s="6" t="s">
        <v>3312</v>
      </c>
      <c r="AW571" s="6" t="s">
        <v>3307</v>
      </c>
      <c r="AX571" s="6" t="s">
        <v>3887</v>
      </c>
      <c r="AY571" s="6" t="s">
        <v>4067</v>
      </c>
      <c r="AZ571" s="6" t="s">
        <v>3306</v>
      </c>
      <c r="BA571" s="6" t="s">
        <v>3311</v>
      </c>
      <c r="BB571" s="6" t="s">
        <v>4693</v>
      </c>
      <c r="BC571" s="6" t="s">
        <v>3313</v>
      </c>
      <c r="BD571" s="6" t="s">
        <v>165</v>
      </c>
      <c r="BE571" s="6" t="s">
        <v>3888</v>
      </c>
      <c r="BF571" s="6" t="s">
        <v>3315</v>
      </c>
      <c r="BG571" s="6" t="s">
        <v>4068</v>
      </c>
      <c r="BH571" s="6" t="s">
        <v>3317</v>
      </c>
      <c r="BI571" s="6" t="s">
        <v>271</v>
      </c>
      <c r="BJ571" s="6" t="s">
        <v>3318</v>
      </c>
      <c r="BK571" s="6" t="s">
        <v>3319</v>
      </c>
    </row>
    <row r="572" ht="22.5" customHeight="1">
      <c r="A572" s="4">
        <v>46229.70001244213</v>
      </c>
      <c r="B572" s="5">
        <v>0.0</v>
      </c>
      <c r="C572" s="6" t="s">
        <v>114</v>
      </c>
      <c r="D572" s="6" t="s">
        <v>1317</v>
      </c>
      <c r="E572" s="6" t="s">
        <v>1318</v>
      </c>
      <c r="F572" s="6">
        <v>6.907050984E10</v>
      </c>
      <c r="G572" s="6" t="s">
        <v>496</v>
      </c>
      <c r="H572" s="6" t="s">
        <v>7055</v>
      </c>
      <c r="I572" s="6" t="s">
        <v>4474</v>
      </c>
      <c r="J572" s="6" t="s">
        <v>7056</v>
      </c>
      <c r="K572" s="6" t="s">
        <v>7057</v>
      </c>
      <c r="L572" s="6" t="s">
        <v>7058</v>
      </c>
      <c r="M572" s="6" t="s">
        <v>7059</v>
      </c>
      <c r="N572" s="6" t="s">
        <v>7060</v>
      </c>
      <c r="O572" s="6" t="s">
        <v>7061</v>
      </c>
      <c r="P572" s="6" t="s">
        <v>7062</v>
      </c>
      <c r="Q572" s="6" t="s">
        <v>7063</v>
      </c>
      <c r="R572" s="6" t="s">
        <v>257</v>
      </c>
      <c r="S572" s="6" t="s">
        <v>147</v>
      </c>
      <c r="T572" s="6" t="s">
        <v>246</v>
      </c>
      <c r="U572" s="6" t="s">
        <v>2254</v>
      </c>
      <c r="V572" s="6" t="s">
        <v>246</v>
      </c>
      <c r="W572" s="6" t="s">
        <v>158</v>
      </c>
      <c r="X572" s="6" t="s">
        <v>257</v>
      </c>
      <c r="Y572" s="6" t="s">
        <v>162</v>
      </c>
      <c r="Z572" s="6" t="s">
        <v>165</v>
      </c>
      <c r="AA572" s="6" t="s">
        <v>262</v>
      </c>
      <c r="AB572" s="6" t="s">
        <v>171</v>
      </c>
      <c r="AC572" s="6" t="s">
        <v>1669</v>
      </c>
      <c r="AD572" s="6" t="s">
        <v>175</v>
      </c>
      <c r="AE572" s="6" t="s">
        <v>271</v>
      </c>
      <c r="AF572" s="6" t="s">
        <v>181</v>
      </c>
      <c r="AG572" s="6" t="s">
        <v>641</v>
      </c>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row>
    <row r="573" ht="22.5" customHeight="1">
      <c r="A573" s="4">
        <v>46229.70002081018</v>
      </c>
      <c r="B573" s="5">
        <v>0.0</v>
      </c>
      <c r="C573" s="6" t="s">
        <v>3296</v>
      </c>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6" t="s">
        <v>2678</v>
      </c>
      <c r="AI573" s="6" t="s">
        <v>2679</v>
      </c>
      <c r="AJ573" s="6">
        <v>6.9070504006E10</v>
      </c>
      <c r="AK573" s="6" t="s">
        <v>4331</v>
      </c>
      <c r="AL573" s="6" t="s">
        <v>5874</v>
      </c>
      <c r="AM573" s="6" t="s">
        <v>7064</v>
      </c>
      <c r="AN573" s="6" t="s">
        <v>7065</v>
      </c>
      <c r="AO573" s="6" t="s">
        <v>7066</v>
      </c>
      <c r="AP573" s="6" t="s">
        <v>7067</v>
      </c>
      <c r="AQ573" s="6" t="s">
        <v>7068</v>
      </c>
      <c r="AR573" s="6" t="s">
        <v>7069</v>
      </c>
      <c r="AS573" s="6" t="s">
        <v>7070</v>
      </c>
      <c r="AT573" s="6" t="s">
        <v>7071</v>
      </c>
      <c r="AU573" s="6" t="s">
        <v>7072</v>
      </c>
      <c r="AV573" s="6" t="s">
        <v>3306</v>
      </c>
      <c r="AW573" s="6" t="s">
        <v>3307</v>
      </c>
      <c r="AX573" s="6" t="s">
        <v>3887</v>
      </c>
      <c r="AY573" s="6" t="s">
        <v>3309</v>
      </c>
      <c r="AZ573" s="6" t="s">
        <v>3310</v>
      </c>
      <c r="BA573" s="6" t="s">
        <v>3311</v>
      </c>
      <c r="BB573" s="6" t="s">
        <v>4693</v>
      </c>
      <c r="BC573" s="6" t="s">
        <v>3313</v>
      </c>
      <c r="BD573" s="6" t="s">
        <v>152</v>
      </c>
      <c r="BE573" s="6" t="s">
        <v>3314</v>
      </c>
      <c r="BF573" s="6" t="s">
        <v>3315</v>
      </c>
      <c r="BG573" s="6" t="s">
        <v>5760</v>
      </c>
      <c r="BH573" s="6" t="s">
        <v>3317</v>
      </c>
      <c r="BI573" s="6" t="s">
        <v>271</v>
      </c>
      <c r="BJ573" s="6" t="s">
        <v>3318</v>
      </c>
      <c r="BK573" s="6" t="s">
        <v>3319</v>
      </c>
    </row>
    <row r="574" ht="22.5" customHeight="1">
      <c r="A574" s="4">
        <v>46229.70002458333</v>
      </c>
      <c r="B574" s="5">
        <v>0.0</v>
      </c>
      <c r="C574" s="6" t="s">
        <v>114</v>
      </c>
      <c r="D574" s="6" t="s">
        <v>1320</v>
      </c>
      <c r="E574" s="6" t="s">
        <v>1321</v>
      </c>
      <c r="F574" s="6">
        <v>6.9070502487E10</v>
      </c>
      <c r="G574" s="6" t="s">
        <v>122</v>
      </c>
      <c r="H574" s="7"/>
      <c r="I574" s="6" t="s">
        <v>7073</v>
      </c>
      <c r="J574" s="6" t="s">
        <v>7074</v>
      </c>
      <c r="K574" s="6" t="s">
        <v>7075</v>
      </c>
      <c r="L574" s="6" t="s">
        <v>7076</v>
      </c>
      <c r="M574" s="6" t="s">
        <v>7077</v>
      </c>
      <c r="N574" s="7"/>
      <c r="O574" s="6" t="s">
        <v>7078</v>
      </c>
      <c r="P574" s="6" t="s">
        <v>7079</v>
      </c>
      <c r="Q574" s="6" t="s">
        <v>7080</v>
      </c>
      <c r="R574" s="6" t="s">
        <v>861</v>
      </c>
      <c r="S574" s="6" t="s">
        <v>147</v>
      </c>
      <c r="T574" s="6" t="s">
        <v>250</v>
      </c>
      <c r="U574" s="6" t="s">
        <v>686</v>
      </c>
      <c r="V574" s="6" t="s">
        <v>246</v>
      </c>
      <c r="W574" s="6" t="s">
        <v>158</v>
      </c>
      <c r="X574" s="6" t="s">
        <v>257</v>
      </c>
      <c r="Y574" s="6" t="s">
        <v>162</v>
      </c>
      <c r="Z574" s="6" t="s">
        <v>165</v>
      </c>
      <c r="AA574" s="6" t="s">
        <v>262</v>
      </c>
      <c r="AB574" s="6" t="s">
        <v>1266</v>
      </c>
      <c r="AC574" s="6" t="s">
        <v>174</v>
      </c>
      <c r="AD574" s="6" t="s">
        <v>175</v>
      </c>
      <c r="AE574" s="6" t="s">
        <v>178</v>
      </c>
      <c r="AF574" s="6" t="s">
        <v>181</v>
      </c>
      <c r="AG574" s="6" t="s">
        <v>182</v>
      </c>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row>
    <row r="575" ht="22.5" customHeight="1">
      <c r="A575" s="4">
        <v>46229.700027326384</v>
      </c>
      <c r="B575" s="5">
        <v>0.0</v>
      </c>
      <c r="C575" s="6" t="s">
        <v>114</v>
      </c>
      <c r="D575" s="6" t="s">
        <v>123</v>
      </c>
      <c r="E575" s="6" t="s">
        <v>1323</v>
      </c>
      <c r="F575" s="6">
        <v>6.9070501053E10</v>
      </c>
      <c r="G575" s="6" t="s">
        <v>1470</v>
      </c>
      <c r="H575" s="7"/>
      <c r="I575" s="6" t="s">
        <v>7081</v>
      </c>
      <c r="J575" s="6" t="s">
        <v>7082</v>
      </c>
      <c r="K575" s="6" t="s">
        <v>7083</v>
      </c>
      <c r="L575" s="6" t="s">
        <v>7084</v>
      </c>
      <c r="M575" s="6" t="s">
        <v>7085</v>
      </c>
      <c r="N575" s="7"/>
      <c r="O575" s="6" t="s">
        <v>7086</v>
      </c>
      <c r="P575" s="6" t="s">
        <v>7087</v>
      </c>
      <c r="Q575" s="6" t="s">
        <v>7088</v>
      </c>
      <c r="R575" s="6" t="s">
        <v>246</v>
      </c>
      <c r="S575" s="6" t="s">
        <v>147</v>
      </c>
      <c r="T575" s="6" t="s">
        <v>250</v>
      </c>
      <c r="U575" s="6" t="s">
        <v>560</v>
      </c>
      <c r="V575" s="6" t="s">
        <v>246</v>
      </c>
      <c r="W575" s="6" t="s">
        <v>158</v>
      </c>
      <c r="X575" s="6" t="s">
        <v>257</v>
      </c>
      <c r="Y575" s="6" t="s">
        <v>162</v>
      </c>
      <c r="Z575" s="6" t="s">
        <v>165</v>
      </c>
      <c r="AA575" s="6" t="s">
        <v>262</v>
      </c>
      <c r="AB575" s="6" t="s">
        <v>171</v>
      </c>
      <c r="AC575" s="6" t="s">
        <v>174</v>
      </c>
      <c r="AD575" s="6" t="s">
        <v>175</v>
      </c>
      <c r="AE575" s="6" t="s">
        <v>271</v>
      </c>
      <c r="AF575" s="6" t="s">
        <v>181</v>
      </c>
      <c r="AG575" s="6" t="s">
        <v>182</v>
      </c>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row>
    <row r="576" ht="22.5" customHeight="1">
      <c r="A576" s="4">
        <v>46229.70002859954</v>
      </c>
      <c r="B576" s="5">
        <v>0.0</v>
      </c>
      <c r="C576" s="6" t="s">
        <v>114</v>
      </c>
      <c r="D576" s="6" t="s">
        <v>288</v>
      </c>
      <c r="E576" s="6" t="s">
        <v>1325</v>
      </c>
      <c r="F576" s="6">
        <v>6.9070501014E10</v>
      </c>
      <c r="G576" s="6" t="s">
        <v>1470</v>
      </c>
      <c r="H576" s="7"/>
      <c r="I576" s="6" t="s">
        <v>7089</v>
      </c>
      <c r="J576" s="6" t="s">
        <v>5944</v>
      </c>
      <c r="K576" s="6" t="s">
        <v>7090</v>
      </c>
      <c r="L576" s="6" t="s">
        <v>7091</v>
      </c>
      <c r="M576" s="6" t="s">
        <v>7092</v>
      </c>
      <c r="N576" s="7"/>
      <c r="O576" s="6" t="s">
        <v>7093</v>
      </c>
      <c r="P576" s="6" t="s">
        <v>7094</v>
      </c>
      <c r="Q576" s="6" t="s">
        <v>7095</v>
      </c>
      <c r="R576" s="6" t="s">
        <v>246</v>
      </c>
      <c r="S576" s="6" t="s">
        <v>147</v>
      </c>
      <c r="T576" s="6" t="s">
        <v>250</v>
      </c>
      <c r="U576" s="6" t="s">
        <v>2254</v>
      </c>
      <c r="V576" s="6" t="s">
        <v>246</v>
      </c>
      <c r="W576" s="6" t="s">
        <v>158</v>
      </c>
      <c r="X576" s="6" t="s">
        <v>257</v>
      </c>
      <c r="Y576" s="6" t="s">
        <v>162</v>
      </c>
      <c r="Z576" s="6" t="s">
        <v>165</v>
      </c>
      <c r="AA576" s="6" t="s">
        <v>262</v>
      </c>
      <c r="AB576" s="6" t="s">
        <v>521</v>
      </c>
      <c r="AC576" s="6" t="s">
        <v>174</v>
      </c>
      <c r="AD576" s="6" t="s">
        <v>175</v>
      </c>
      <c r="AE576" s="6" t="s">
        <v>271</v>
      </c>
      <c r="AF576" s="6" t="s">
        <v>181</v>
      </c>
      <c r="AG576" s="6" t="s">
        <v>182</v>
      </c>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row>
    <row r="577" ht="22.5" customHeight="1">
      <c r="A577" s="4">
        <v>46229.70003289352</v>
      </c>
      <c r="B577" s="5">
        <v>0.0</v>
      </c>
      <c r="C577" s="6" t="s">
        <v>114</v>
      </c>
      <c r="D577" s="6" t="s">
        <v>1327</v>
      </c>
      <c r="E577" s="6" t="s">
        <v>1328</v>
      </c>
      <c r="F577" s="6">
        <v>6.9070501028E10</v>
      </c>
      <c r="G577" s="6" t="s">
        <v>1470</v>
      </c>
      <c r="H577" s="7"/>
      <c r="I577" s="6" t="s">
        <v>7096</v>
      </c>
      <c r="J577" s="6" t="s">
        <v>7097</v>
      </c>
      <c r="K577" s="6" t="s">
        <v>7098</v>
      </c>
      <c r="L577" s="6" t="s">
        <v>7099</v>
      </c>
      <c r="M577" s="6" t="s">
        <v>7100</v>
      </c>
      <c r="N577" s="7"/>
      <c r="O577" s="6" t="s">
        <v>7101</v>
      </c>
      <c r="P577" s="6" t="s">
        <v>7102</v>
      </c>
      <c r="Q577" s="6" t="s">
        <v>7103</v>
      </c>
      <c r="R577" s="6" t="s">
        <v>246</v>
      </c>
      <c r="S577" s="6" t="s">
        <v>147</v>
      </c>
      <c r="T577" s="6" t="s">
        <v>246</v>
      </c>
      <c r="U577" s="6" t="s">
        <v>252</v>
      </c>
      <c r="V577" s="6" t="s">
        <v>155</v>
      </c>
      <c r="W577" s="6" t="s">
        <v>158</v>
      </c>
      <c r="X577" s="6" t="s">
        <v>257</v>
      </c>
      <c r="Y577" s="6" t="s">
        <v>162</v>
      </c>
      <c r="Z577" s="6" t="s">
        <v>165</v>
      </c>
      <c r="AA577" s="6" t="s">
        <v>262</v>
      </c>
      <c r="AB577" s="6" t="s">
        <v>171</v>
      </c>
      <c r="AC577" s="6" t="s">
        <v>174</v>
      </c>
      <c r="AD577" s="6" t="s">
        <v>175</v>
      </c>
      <c r="AE577" s="6" t="s">
        <v>524</v>
      </c>
      <c r="AF577" s="6" t="s">
        <v>181</v>
      </c>
      <c r="AG577" s="6" t="s">
        <v>182</v>
      </c>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row>
    <row r="578" ht="22.5" customHeight="1">
      <c r="A578" s="4">
        <v>46229.70004325232</v>
      </c>
      <c r="B578" s="5">
        <v>0.0</v>
      </c>
      <c r="C578" s="6" t="s">
        <v>114</v>
      </c>
      <c r="D578" s="6" t="s">
        <v>1329</v>
      </c>
      <c r="E578" s="6" t="s">
        <v>1330</v>
      </c>
      <c r="F578" s="6">
        <v>6.9070500051E10</v>
      </c>
      <c r="G578" s="6" t="s">
        <v>4580</v>
      </c>
      <c r="H578" s="7"/>
      <c r="I578" s="6" t="s">
        <v>7104</v>
      </c>
      <c r="J578" s="6" t="s">
        <v>7105</v>
      </c>
      <c r="K578" s="6" t="s">
        <v>7106</v>
      </c>
      <c r="L578" s="6" t="s">
        <v>7107</v>
      </c>
      <c r="M578" s="6" t="s">
        <v>7108</v>
      </c>
      <c r="N578" s="7"/>
      <c r="O578" s="6" t="s">
        <v>7109</v>
      </c>
      <c r="P578" s="6" t="s">
        <v>7110</v>
      </c>
      <c r="Q578" s="6" t="s">
        <v>7111</v>
      </c>
      <c r="R578" s="6" t="s">
        <v>246</v>
      </c>
      <c r="S578" s="6" t="s">
        <v>147</v>
      </c>
      <c r="T578" s="6" t="s">
        <v>250</v>
      </c>
      <c r="U578" s="6" t="s">
        <v>252</v>
      </c>
      <c r="V578" s="6" t="s">
        <v>246</v>
      </c>
      <c r="W578" s="6" t="s">
        <v>158</v>
      </c>
      <c r="X578" s="6" t="s">
        <v>257</v>
      </c>
      <c r="Y578" s="6" t="s">
        <v>162</v>
      </c>
      <c r="Z578" s="6" t="s">
        <v>165</v>
      </c>
      <c r="AA578" s="6" t="s">
        <v>262</v>
      </c>
      <c r="AB578" s="6" t="s">
        <v>171</v>
      </c>
      <c r="AC578" s="6" t="s">
        <v>174</v>
      </c>
      <c r="AD578" s="6" t="s">
        <v>175</v>
      </c>
      <c r="AE578" s="6" t="s">
        <v>271</v>
      </c>
      <c r="AF578" s="6" t="s">
        <v>181</v>
      </c>
      <c r="AG578" s="6" t="s">
        <v>182</v>
      </c>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row>
    <row r="579" ht="22.5" customHeight="1">
      <c r="A579" s="4">
        <v>46229.70004383102</v>
      </c>
      <c r="B579" s="5">
        <v>0.0</v>
      </c>
      <c r="C579" s="6" t="s">
        <v>114</v>
      </c>
      <c r="D579" s="6" t="s">
        <v>1331</v>
      </c>
      <c r="E579" s="6" t="s">
        <v>1332</v>
      </c>
      <c r="F579" s="6">
        <v>6.9070501243E10</v>
      </c>
      <c r="G579" s="6" t="s">
        <v>228</v>
      </c>
      <c r="H579" s="6" t="s">
        <v>7112</v>
      </c>
      <c r="I579" s="6" t="s">
        <v>7113</v>
      </c>
      <c r="J579" s="6" t="s">
        <v>7114</v>
      </c>
      <c r="K579" s="6" t="s">
        <v>5484</v>
      </c>
      <c r="L579" s="6" t="s">
        <v>7115</v>
      </c>
      <c r="M579" s="6" t="s">
        <v>7116</v>
      </c>
      <c r="N579" s="7"/>
      <c r="O579" s="6" t="s">
        <v>7117</v>
      </c>
      <c r="P579" s="6" t="s">
        <v>7118</v>
      </c>
      <c r="Q579" s="6" t="s">
        <v>7119</v>
      </c>
      <c r="R579" s="6" t="s">
        <v>246</v>
      </c>
      <c r="S579" s="6" t="s">
        <v>147</v>
      </c>
      <c r="T579" s="6" t="s">
        <v>250</v>
      </c>
      <c r="U579" s="6" t="s">
        <v>152</v>
      </c>
      <c r="V579" s="6" t="s">
        <v>246</v>
      </c>
      <c r="W579" s="6" t="s">
        <v>158</v>
      </c>
      <c r="X579" s="6" t="s">
        <v>257</v>
      </c>
      <c r="Y579" s="6" t="s">
        <v>162</v>
      </c>
      <c r="Z579" s="6" t="s">
        <v>165</v>
      </c>
      <c r="AA579" s="6" t="s">
        <v>262</v>
      </c>
      <c r="AB579" s="6" t="s">
        <v>171</v>
      </c>
      <c r="AC579" s="6" t="s">
        <v>174</v>
      </c>
      <c r="AD579" s="6" t="s">
        <v>175</v>
      </c>
      <c r="AE579" s="6" t="s">
        <v>271</v>
      </c>
      <c r="AF579" s="6" t="s">
        <v>181</v>
      </c>
      <c r="AG579" s="6" t="s">
        <v>182</v>
      </c>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row>
    <row r="580" ht="22.5" customHeight="1">
      <c r="A580" s="4">
        <v>46229.70004465278</v>
      </c>
      <c r="B580" s="5">
        <v>0.0</v>
      </c>
      <c r="C580" s="6" t="s">
        <v>114</v>
      </c>
      <c r="D580" s="6" t="s">
        <v>311</v>
      </c>
      <c r="E580" s="6" t="s">
        <v>1333</v>
      </c>
      <c r="F580" s="6">
        <v>6.9070500297E10</v>
      </c>
      <c r="G580" s="6" t="s">
        <v>599</v>
      </c>
      <c r="H580" s="6" t="s">
        <v>2633</v>
      </c>
      <c r="I580" s="6" t="s">
        <v>7120</v>
      </c>
      <c r="J580" s="6" t="s">
        <v>3035</v>
      </c>
      <c r="K580" s="6" t="s">
        <v>7121</v>
      </c>
      <c r="L580" s="6" t="s">
        <v>7122</v>
      </c>
      <c r="M580" s="6" t="s">
        <v>5140</v>
      </c>
      <c r="N580" s="6" t="s">
        <v>4351</v>
      </c>
      <c r="O580" s="6" t="s">
        <v>7123</v>
      </c>
      <c r="P580" s="6" t="s">
        <v>7124</v>
      </c>
      <c r="Q580" s="6" t="s">
        <v>7125</v>
      </c>
      <c r="R580" s="6" t="s">
        <v>246</v>
      </c>
      <c r="S580" s="6" t="s">
        <v>147</v>
      </c>
      <c r="T580" s="6" t="s">
        <v>250</v>
      </c>
      <c r="U580" s="6" t="s">
        <v>252</v>
      </c>
      <c r="V580" s="6" t="s">
        <v>246</v>
      </c>
      <c r="W580" s="6" t="s">
        <v>158</v>
      </c>
      <c r="X580" s="6" t="s">
        <v>257</v>
      </c>
      <c r="Y580" s="6" t="s">
        <v>162</v>
      </c>
      <c r="Z580" s="6" t="s">
        <v>165</v>
      </c>
      <c r="AA580" s="6" t="s">
        <v>1322</v>
      </c>
      <c r="AB580" s="6" t="s">
        <v>521</v>
      </c>
      <c r="AC580" s="6" t="s">
        <v>2718</v>
      </c>
      <c r="AD580" s="6" t="s">
        <v>175</v>
      </c>
      <c r="AE580" s="6" t="s">
        <v>271</v>
      </c>
      <c r="AF580" s="6" t="s">
        <v>181</v>
      </c>
      <c r="AG580" s="6" t="s">
        <v>182</v>
      </c>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row>
    <row r="581" ht="22.5" customHeight="1">
      <c r="A581" s="4">
        <v>46229.700047708335</v>
      </c>
      <c r="B581" s="5">
        <v>0.0</v>
      </c>
      <c r="C581" s="6" t="s">
        <v>114</v>
      </c>
      <c r="D581" s="6" t="s">
        <v>1334</v>
      </c>
      <c r="E581" s="6" t="s">
        <v>1335</v>
      </c>
      <c r="F581" s="6">
        <v>6.90705005E10</v>
      </c>
      <c r="G581" s="6" t="s">
        <v>310</v>
      </c>
      <c r="H581" s="6" t="s">
        <v>2633</v>
      </c>
      <c r="I581" s="6" t="s">
        <v>7126</v>
      </c>
      <c r="J581" s="6" t="s">
        <v>1534</v>
      </c>
      <c r="K581" s="6" t="s">
        <v>7127</v>
      </c>
      <c r="L581" s="6" t="s">
        <v>7128</v>
      </c>
      <c r="M581" s="6" t="s">
        <v>7129</v>
      </c>
      <c r="N581" s="7"/>
      <c r="O581" s="6" t="s">
        <v>7130</v>
      </c>
      <c r="P581" s="6" t="s">
        <v>7131</v>
      </c>
      <c r="Q581" s="6" t="s">
        <v>7132</v>
      </c>
      <c r="R581" s="6" t="s">
        <v>257</v>
      </c>
      <c r="S581" s="6" t="s">
        <v>147</v>
      </c>
      <c r="T581" s="6" t="s">
        <v>250</v>
      </c>
      <c r="U581" s="6" t="s">
        <v>252</v>
      </c>
      <c r="V581" s="6" t="s">
        <v>246</v>
      </c>
      <c r="W581" s="6" t="s">
        <v>158</v>
      </c>
      <c r="X581" s="6" t="s">
        <v>257</v>
      </c>
      <c r="Y581" s="6" t="s">
        <v>162</v>
      </c>
      <c r="Z581" s="6" t="s">
        <v>165</v>
      </c>
      <c r="AA581" s="6" t="s">
        <v>262</v>
      </c>
      <c r="AB581" s="6" t="s">
        <v>171</v>
      </c>
      <c r="AC581" s="6" t="s">
        <v>174</v>
      </c>
      <c r="AD581" s="6" t="s">
        <v>1723</v>
      </c>
      <c r="AE581" s="6" t="s">
        <v>1211</v>
      </c>
      <c r="AF581" s="6" t="s">
        <v>181</v>
      </c>
      <c r="AG581" s="6" t="s">
        <v>182</v>
      </c>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row>
    <row r="582" ht="22.5" customHeight="1">
      <c r="A582" s="4">
        <v>46229.70004997685</v>
      </c>
      <c r="B582" s="5">
        <v>0.0</v>
      </c>
      <c r="C582" s="6" t="s">
        <v>114</v>
      </c>
      <c r="D582" s="6" t="s">
        <v>1336</v>
      </c>
      <c r="E582" s="6" t="s">
        <v>1337</v>
      </c>
      <c r="F582" s="6">
        <v>6.9070502474E10</v>
      </c>
      <c r="G582" s="6" t="s">
        <v>122</v>
      </c>
      <c r="H582" s="7"/>
      <c r="I582" s="6" t="s">
        <v>7133</v>
      </c>
      <c r="J582" s="6" t="s">
        <v>7134</v>
      </c>
      <c r="K582" s="6" t="s">
        <v>7135</v>
      </c>
      <c r="L582" s="6" t="s">
        <v>7136</v>
      </c>
      <c r="M582" s="6" t="s">
        <v>7137</v>
      </c>
      <c r="N582" s="6" t="s">
        <v>7138</v>
      </c>
      <c r="O582" s="6" t="s">
        <v>7139</v>
      </c>
      <c r="P582" s="6" t="s">
        <v>7140</v>
      </c>
      <c r="Q582" s="6" t="s">
        <v>7141</v>
      </c>
      <c r="R582" s="6" t="s">
        <v>246</v>
      </c>
      <c r="S582" s="6" t="s">
        <v>147</v>
      </c>
      <c r="T582" s="6" t="s">
        <v>250</v>
      </c>
      <c r="U582" s="6" t="s">
        <v>152</v>
      </c>
      <c r="V582" s="6" t="s">
        <v>246</v>
      </c>
      <c r="W582" s="6" t="s">
        <v>158</v>
      </c>
      <c r="X582" s="6" t="s">
        <v>257</v>
      </c>
      <c r="Y582" s="6" t="s">
        <v>162</v>
      </c>
      <c r="Z582" s="6" t="s">
        <v>165</v>
      </c>
      <c r="AA582" s="6" t="s">
        <v>262</v>
      </c>
      <c r="AB582" s="6" t="s">
        <v>171</v>
      </c>
      <c r="AC582" s="6" t="s">
        <v>174</v>
      </c>
      <c r="AD582" s="6" t="s">
        <v>175</v>
      </c>
      <c r="AE582" s="6" t="s">
        <v>271</v>
      </c>
      <c r="AF582" s="6" t="s">
        <v>181</v>
      </c>
      <c r="AG582" s="6" t="s">
        <v>182</v>
      </c>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row>
    <row r="583" ht="22.5" customHeight="1">
      <c r="A583" s="4">
        <v>46229.70005112269</v>
      </c>
      <c r="B583" s="5">
        <v>0.0</v>
      </c>
      <c r="C583" s="6" t="s">
        <v>3296</v>
      </c>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6" t="s">
        <v>2680</v>
      </c>
      <c r="AI583" s="6" t="s">
        <v>2681</v>
      </c>
      <c r="AJ583" s="6">
        <v>6.9070509045E10</v>
      </c>
      <c r="AK583" s="6" t="s">
        <v>5042</v>
      </c>
      <c r="AL583" s="6" t="s">
        <v>7142</v>
      </c>
      <c r="AM583" s="6" t="s">
        <v>7143</v>
      </c>
      <c r="AN583" s="6" t="s">
        <v>5044</v>
      </c>
      <c r="AO583" s="6" t="s">
        <v>7144</v>
      </c>
      <c r="AP583" s="6" t="s">
        <v>7145</v>
      </c>
      <c r="AQ583" s="6" t="s">
        <v>7146</v>
      </c>
      <c r="AR583" s="6" t="s">
        <v>2633</v>
      </c>
      <c r="AS583" s="6" t="s">
        <v>7147</v>
      </c>
      <c r="AT583" s="6" t="s">
        <v>7148</v>
      </c>
      <c r="AU583" s="6" t="s">
        <v>7149</v>
      </c>
      <c r="AV583" s="6" t="s">
        <v>3312</v>
      </c>
      <c r="AW583" s="6" t="s">
        <v>3307</v>
      </c>
      <c r="AX583" s="6" t="s">
        <v>3887</v>
      </c>
      <c r="AY583" s="6" t="s">
        <v>804</v>
      </c>
      <c r="AZ583" s="6" t="s">
        <v>3306</v>
      </c>
      <c r="BA583" s="6" t="s">
        <v>3311</v>
      </c>
      <c r="BB583" s="6" t="s">
        <v>4693</v>
      </c>
      <c r="BC583" s="6" t="s">
        <v>3313</v>
      </c>
      <c r="BD583" s="6" t="s">
        <v>165</v>
      </c>
      <c r="BE583" s="6" t="s">
        <v>3888</v>
      </c>
      <c r="BF583" s="6" t="s">
        <v>3315</v>
      </c>
      <c r="BG583" s="6" t="s">
        <v>3316</v>
      </c>
      <c r="BH583" s="6" t="s">
        <v>7150</v>
      </c>
      <c r="BI583" s="6" t="s">
        <v>271</v>
      </c>
      <c r="BJ583" s="6" t="s">
        <v>3318</v>
      </c>
      <c r="BK583" s="6" t="s">
        <v>3319</v>
      </c>
    </row>
    <row r="584" ht="22.5" customHeight="1">
      <c r="A584" s="4">
        <v>46229.700057291666</v>
      </c>
      <c r="B584" s="5">
        <v>0.0</v>
      </c>
      <c r="C584" s="6" t="s">
        <v>114</v>
      </c>
      <c r="D584" s="6" t="s">
        <v>1338</v>
      </c>
      <c r="E584" s="6" t="s">
        <v>1339</v>
      </c>
      <c r="F584" s="6">
        <v>6.9070501821E10</v>
      </c>
      <c r="G584" s="6" t="s">
        <v>730</v>
      </c>
      <c r="H584" s="7"/>
      <c r="I584" s="6" t="s">
        <v>5182</v>
      </c>
      <c r="J584" s="6" t="s">
        <v>4453</v>
      </c>
      <c r="K584" s="6" t="s">
        <v>7151</v>
      </c>
      <c r="L584" s="6" t="s">
        <v>4384</v>
      </c>
      <c r="M584" s="6" t="s">
        <v>4385</v>
      </c>
      <c r="N584" s="7"/>
      <c r="O584" s="6" t="s">
        <v>7152</v>
      </c>
      <c r="P584" s="6" t="s">
        <v>7153</v>
      </c>
      <c r="Q584" s="6" t="s">
        <v>7154</v>
      </c>
      <c r="R584" s="6" t="s">
        <v>246</v>
      </c>
      <c r="S584" s="6" t="s">
        <v>147</v>
      </c>
      <c r="T584" s="6" t="s">
        <v>250</v>
      </c>
      <c r="U584" s="6" t="s">
        <v>252</v>
      </c>
      <c r="V584" s="6" t="s">
        <v>246</v>
      </c>
      <c r="W584" s="6" t="s">
        <v>158</v>
      </c>
      <c r="X584" s="6" t="s">
        <v>257</v>
      </c>
      <c r="Y584" s="6" t="s">
        <v>162</v>
      </c>
      <c r="Z584" s="6" t="s">
        <v>165</v>
      </c>
      <c r="AA584" s="6" t="s">
        <v>262</v>
      </c>
      <c r="AB584" s="6" t="s">
        <v>171</v>
      </c>
      <c r="AC584" s="6" t="s">
        <v>174</v>
      </c>
      <c r="AD584" s="6" t="s">
        <v>175</v>
      </c>
      <c r="AE584" s="6" t="s">
        <v>271</v>
      </c>
      <c r="AF584" s="6" t="s">
        <v>181</v>
      </c>
      <c r="AG584" s="6" t="s">
        <v>182</v>
      </c>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row>
    <row r="585" ht="22.5" customHeight="1">
      <c r="A585" s="4">
        <v>46229.70006793982</v>
      </c>
      <c r="B585" s="5">
        <v>0.0</v>
      </c>
      <c r="C585" s="6" t="s">
        <v>114</v>
      </c>
      <c r="D585" s="6" t="s">
        <v>1340</v>
      </c>
      <c r="E585" s="6" t="s">
        <v>1341</v>
      </c>
      <c r="F585" s="6">
        <v>6.9070501239E10</v>
      </c>
      <c r="G585" s="6" t="s">
        <v>228</v>
      </c>
      <c r="H585" s="6" t="s">
        <v>7155</v>
      </c>
      <c r="I585" s="6" t="s">
        <v>7156</v>
      </c>
      <c r="J585" s="6" t="s">
        <v>7157</v>
      </c>
      <c r="K585" s="6" t="s">
        <v>7158</v>
      </c>
      <c r="L585" s="6" t="s">
        <v>3538</v>
      </c>
      <c r="M585" s="6" t="s">
        <v>4758</v>
      </c>
      <c r="N585" s="6" t="s">
        <v>7159</v>
      </c>
      <c r="O585" s="6" t="s">
        <v>7160</v>
      </c>
      <c r="P585" s="6" t="s">
        <v>7161</v>
      </c>
      <c r="Q585" s="6" t="s">
        <v>7162</v>
      </c>
      <c r="R585" s="6" t="s">
        <v>246</v>
      </c>
      <c r="S585" s="6" t="s">
        <v>147</v>
      </c>
      <c r="T585" s="6" t="s">
        <v>250</v>
      </c>
      <c r="U585" s="6" t="s">
        <v>560</v>
      </c>
      <c r="V585" s="6" t="s">
        <v>246</v>
      </c>
      <c r="W585" s="6" t="s">
        <v>158</v>
      </c>
      <c r="X585" s="6" t="s">
        <v>257</v>
      </c>
      <c r="Y585" s="6" t="s">
        <v>162</v>
      </c>
      <c r="Z585" s="6" t="s">
        <v>165</v>
      </c>
      <c r="AA585" s="6" t="s">
        <v>262</v>
      </c>
      <c r="AB585" s="6" t="s">
        <v>171</v>
      </c>
      <c r="AC585" s="6" t="s">
        <v>174</v>
      </c>
      <c r="AD585" s="6" t="s">
        <v>175</v>
      </c>
      <c r="AE585" s="6" t="s">
        <v>271</v>
      </c>
      <c r="AF585" s="6" t="s">
        <v>181</v>
      </c>
      <c r="AG585" s="6" t="s">
        <v>182</v>
      </c>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row>
    <row r="586" ht="22.5" customHeight="1">
      <c r="A586" s="4">
        <v>46229.700074953704</v>
      </c>
      <c r="B586" s="5">
        <v>0.0</v>
      </c>
      <c r="C586" s="6" t="s">
        <v>114</v>
      </c>
      <c r="D586" s="6" t="s">
        <v>68</v>
      </c>
      <c r="E586" s="6" t="s">
        <v>1342</v>
      </c>
      <c r="F586" s="6">
        <v>6.9070505228E10</v>
      </c>
      <c r="G586" s="6" t="s">
        <v>1470</v>
      </c>
      <c r="H586" s="7"/>
      <c r="I586" s="6" t="s">
        <v>7163</v>
      </c>
      <c r="J586" s="6" t="s">
        <v>6499</v>
      </c>
      <c r="K586" s="6" t="s">
        <v>7164</v>
      </c>
      <c r="L586" s="6" t="s">
        <v>7165</v>
      </c>
      <c r="M586" s="6" t="s">
        <v>7166</v>
      </c>
      <c r="N586" s="6" t="s">
        <v>2633</v>
      </c>
      <c r="O586" s="6" t="s">
        <v>7167</v>
      </c>
      <c r="P586" s="6" t="s">
        <v>7168</v>
      </c>
      <c r="Q586" s="6" t="s">
        <v>7169</v>
      </c>
      <c r="R586" s="6" t="s">
        <v>246</v>
      </c>
      <c r="S586" s="6" t="s">
        <v>147</v>
      </c>
      <c r="T586" s="6" t="s">
        <v>516</v>
      </c>
      <c r="U586" s="6" t="s">
        <v>686</v>
      </c>
      <c r="V586" s="6" t="s">
        <v>155</v>
      </c>
      <c r="W586" s="6" t="s">
        <v>158</v>
      </c>
      <c r="X586" s="6" t="s">
        <v>458</v>
      </c>
      <c r="Y586" s="6" t="s">
        <v>162</v>
      </c>
      <c r="Z586" s="6" t="s">
        <v>165</v>
      </c>
      <c r="AA586" s="6" t="s">
        <v>262</v>
      </c>
      <c r="AB586" s="6" t="s">
        <v>171</v>
      </c>
      <c r="AC586" s="6" t="s">
        <v>174</v>
      </c>
      <c r="AD586" s="6" t="s">
        <v>175</v>
      </c>
      <c r="AE586" s="6" t="s">
        <v>271</v>
      </c>
      <c r="AF586" s="6" t="s">
        <v>181</v>
      </c>
      <c r="AG586" s="6" t="s">
        <v>182</v>
      </c>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row>
    <row r="587" ht="22.5" customHeight="1">
      <c r="A587" s="4">
        <v>46229.700082615745</v>
      </c>
      <c r="B587" s="5">
        <v>0.0</v>
      </c>
      <c r="C587" s="6" t="s">
        <v>3296</v>
      </c>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6" t="s">
        <v>2682</v>
      </c>
      <c r="AI587" s="6" t="s">
        <v>2684</v>
      </c>
      <c r="AJ587" s="6">
        <v>6.9070507826E10</v>
      </c>
      <c r="AK587" s="6" t="s">
        <v>5236</v>
      </c>
      <c r="AL587" s="7"/>
      <c r="AM587" s="6" t="s">
        <v>7170</v>
      </c>
      <c r="AN587" s="6" t="s">
        <v>7171</v>
      </c>
      <c r="AO587" s="6" t="s">
        <v>7172</v>
      </c>
      <c r="AP587" s="6" t="s">
        <v>7173</v>
      </c>
      <c r="AQ587" s="6" t="s">
        <v>7174</v>
      </c>
      <c r="AR587" s="7"/>
      <c r="AS587" s="6" t="s">
        <v>7175</v>
      </c>
      <c r="AT587" s="6" t="s">
        <v>7176</v>
      </c>
      <c r="AU587" s="6" t="s">
        <v>7177</v>
      </c>
      <c r="AV587" s="6" t="s">
        <v>3312</v>
      </c>
      <c r="AW587" s="6" t="s">
        <v>3307</v>
      </c>
      <c r="AX587" s="6" t="s">
        <v>3887</v>
      </c>
      <c r="AY587" s="6" t="s">
        <v>5759</v>
      </c>
      <c r="AZ587" s="6" t="s">
        <v>3306</v>
      </c>
      <c r="BA587" s="6" t="s">
        <v>3311</v>
      </c>
      <c r="BB587" s="6" t="s">
        <v>4693</v>
      </c>
      <c r="BC587" s="6" t="s">
        <v>3313</v>
      </c>
      <c r="BD587" s="6" t="s">
        <v>804</v>
      </c>
      <c r="BE587" s="6" t="s">
        <v>3888</v>
      </c>
      <c r="BF587" s="6" t="s">
        <v>3315</v>
      </c>
      <c r="BG587" s="6" t="s">
        <v>5760</v>
      </c>
      <c r="BH587" s="6" t="s">
        <v>5761</v>
      </c>
      <c r="BI587" s="6" t="s">
        <v>524</v>
      </c>
      <c r="BJ587" s="6" t="s">
        <v>5247</v>
      </c>
      <c r="BK587" s="6" t="s">
        <v>7178</v>
      </c>
    </row>
    <row r="588" ht="22.5" customHeight="1">
      <c r="A588" s="4">
        <v>46229.70008625</v>
      </c>
      <c r="B588" s="5">
        <v>0.0</v>
      </c>
      <c r="C588" s="6" t="s">
        <v>114</v>
      </c>
      <c r="D588" s="6" t="s">
        <v>1343</v>
      </c>
      <c r="E588" s="6" t="s">
        <v>1344</v>
      </c>
      <c r="F588" s="6">
        <v>6.9070500295E10</v>
      </c>
      <c r="G588" s="6" t="s">
        <v>599</v>
      </c>
      <c r="H588" s="7"/>
      <c r="I588" s="6" t="s">
        <v>4004</v>
      </c>
      <c r="J588" s="6" t="s">
        <v>4805</v>
      </c>
      <c r="K588" s="6" t="s">
        <v>7179</v>
      </c>
      <c r="L588" s="6" t="s">
        <v>7180</v>
      </c>
      <c r="M588" s="6" t="s">
        <v>7181</v>
      </c>
      <c r="N588" s="7"/>
      <c r="O588" s="6" t="s">
        <v>7182</v>
      </c>
      <c r="P588" s="6" t="s">
        <v>7183</v>
      </c>
      <c r="Q588" s="6" t="s">
        <v>7184</v>
      </c>
      <c r="R588" s="6" t="s">
        <v>257</v>
      </c>
      <c r="S588" s="6" t="s">
        <v>147</v>
      </c>
      <c r="T588" s="6" t="s">
        <v>250</v>
      </c>
      <c r="U588" s="6" t="s">
        <v>252</v>
      </c>
      <c r="V588" s="6" t="s">
        <v>246</v>
      </c>
      <c r="W588" s="6" t="s">
        <v>158</v>
      </c>
      <c r="X588" s="6" t="s">
        <v>257</v>
      </c>
      <c r="Y588" s="6" t="s">
        <v>162</v>
      </c>
      <c r="Z588" s="6" t="s">
        <v>165</v>
      </c>
      <c r="AA588" s="6" t="s">
        <v>641</v>
      </c>
      <c r="AB588" s="6" t="s">
        <v>521</v>
      </c>
      <c r="AC588" s="6" t="s">
        <v>174</v>
      </c>
      <c r="AD588" s="6" t="s">
        <v>175</v>
      </c>
      <c r="AE588" s="6" t="s">
        <v>271</v>
      </c>
      <c r="AF588" s="6" t="s">
        <v>181</v>
      </c>
      <c r="AG588" s="6" t="s">
        <v>182</v>
      </c>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row>
    <row r="589" ht="22.5" customHeight="1">
      <c r="A589" s="4">
        <v>46229.70008685185</v>
      </c>
      <c r="B589" s="5">
        <v>0.0</v>
      </c>
      <c r="C589" s="6" t="s">
        <v>114</v>
      </c>
      <c r="D589" s="6" t="s">
        <v>1345</v>
      </c>
      <c r="E589" s="6" t="s">
        <v>1346</v>
      </c>
      <c r="F589" s="6">
        <v>6.9070502245E10</v>
      </c>
      <c r="G589" s="6" t="s">
        <v>496</v>
      </c>
      <c r="H589" s="7"/>
      <c r="I589" s="6" t="s">
        <v>7185</v>
      </c>
      <c r="J589" s="6" t="s">
        <v>7186</v>
      </c>
      <c r="K589" s="6" t="s">
        <v>7187</v>
      </c>
      <c r="L589" s="6" t="s">
        <v>7188</v>
      </c>
      <c r="M589" s="6" t="s">
        <v>7189</v>
      </c>
      <c r="N589" s="6" t="s">
        <v>7190</v>
      </c>
      <c r="O589" s="6" t="s">
        <v>7191</v>
      </c>
      <c r="P589" s="6" t="s">
        <v>7192</v>
      </c>
      <c r="Q589" s="6" t="s">
        <v>7193</v>
      </c>
      <c r="R589" s="6" t="s">
        <v>246</v>
      </c>
      <c r="S589" s="6" t="s">
        <v>147</v>
      </c>
      <c r="T589" s="6" t="s">
        <v>250</v>
      </c>
      <c r="U589" s="6" t="s">
        <v>252</v>
      </c>
      <c r="V589" s="6" t="s">
        <v>246</v>
      </c>
      <c r="W589" s="6" t="s">
        <v>158</v>
      </c>
      <c r="X589" s="6" t="s">
        <v>257</v>
      </c>
      <c r="Y589" s="6" t="s">
        <v>162</v>
      </c>
      <c r="Z589" s="6" t="s">
        <v>165</v>
      </c>
      <c r="AA589" s="6" t="s">
        <v>262</v>
      </c>
      <c r="AB589" s="6" t="s">
        <v>171</v>
      </c>
      <c r="AC589" s="6" t="s">
        <v>174</v>
      </c>
      <c r="AD589" s="6" t="s">
        <v>175</v>
      </c>
      <c r="AE589" s="6" t="s">
        <v>271</v>
      </c>
      <c r="AF589" s="6" t="s">
        <v>181</v>
      </c>
      <c r="AG589" s="6" t="s">
        <v>182</v>
      </c>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row>
    <row r="590" ht="22.5" customHeight="1">
      <c r="A590" s="4">
        <v>46229.70009060185</v>
      </c>
      <c r="B590" s="5">
        <v>0.0</v>
      </c>
      <c r="C590" s="6" t="s">
        <v>3296</v>
      </c>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6" t="s">
        <v>2686</v>
      </c>
      <c r="AI590" s="6" t="s">
        <v>2687</v>
      </c>
      <c r="AJ590" s="6">
        <v>6.9070503471E10</v>
      </c>
      <c r="AK590" s="6" t="s">
        <v>3297</v>
      </c>
      <c r="AL590" s="6" t="s">
        <v>7194</v>
      </c>
      <c r="AM590" s="6" t="s">
        <v>7195</v>
      </c>
      <c r="AN590" s="6" t="s">
        <v>7196</v>
      </c>
      <c r="AO590" s="6" t="s">
        <v>7197</v>
      </c>
      <c r="AP590" s="6" t="s">
        <v>7198</v>
      </c>
      <c r="AQ590" s="6" t="s">
        <v>7199</v>
      </c>
      <c r="AR590" s="6" t="s">
        <v>7200</v>
      </c>
      <c r="AS590" s="6" t="s">
        <v>7201</v>
      </c>
      <c r="AT590" s="6" t="s">
        <v>7202</v>
      </c>
      <c r="AU590" s="6" t="s">
        <v>7203</v>
      </c>
      <c r="AV590" s="6" t="s">
        <v>4861</v>
      </c>
      <c r="AW590" s="6" t="s">
        <v>3307</v>
      </c>
      <c r="AX590" s="6" t="s">
        <v>3887</v>
      </c>
      <c r="AY590" s="6" t="s">
        <v>804</v>
      </c>
      <c r="AZ590" s="6" t="s">
        <v>3306</v>
      </c>
      <c r="BA590" s="6" t="s">
        <v>7204</v>
      </c>
      <c r="BB590" s="6" t="s">
        <v>3312</v>
      </c>
      <c r="BC590" s="6" t="s">
        <v>3313</v>
      </c>
      <c r="BD590" s="6" t="s">
        <v>165</v>
      </c>
      <c r="BE590" s="6" t="s">
        <v>3888</v>
      </c>
      <c r="BF590" s="6" t="s">
        <v>3315</v>
      </c>
      <c r="BG590" s="6" t="s">
        <v>4068</v>
      </c>
      <c r="BH590" s="6" t="s">
        <v>3317</v>
      </c>
      <c r="BI590" s="6" t="s">
        <v>271</v>
      </c>
      <c r="BJ590" s="6" t="s">
        <v>3318</v>
      </c>
      <c r="BK590" s="6" t="s">
        <v>3319</v>
      </c>
    </row>
    <row r="591" ht="22.5" customHeight="1">
      <c r="A591" s="4">
        <v>46229.70009100695</v>
      </c>
      <c r="B591" s="5">
        <v>0.0</v>
      </c>
      <c r="C591" s="6" t="s">
        <v>114</v>
      </c>
      <c r="D591" s="6" t="s">
        <v>1347</v>
      </c>
      <c r="E591" s="6" t="s">
        <v>1348</v>
      </c>
      <c r="F591" s="6">
        <v>6.907050945E10</v>
      </c>
      <c r="G591" s="6" t="s">
        <v>122</v>
      </c>
      <c r="H591" s="6" t="s">
        <v>7205</v>
      </c>
      <c r="I591" s="6" t="s">
        <v>3272</v>
      </c>
      <c r="J591" s="6" t="s">
        <v>7206</v>
      </c>
      <c r="K591" s="6" t="s">
        <v>7207</v>
      </c>
      <c r="L591" s="6" t="s">
        <v>7208</v>
      </c>
      <c r="M591" s="6" t="s">
        <v>7209</v>
      </c>
      <c r="N591" s="6" t="s">
        <v>7210</v>
      </c>
      <c r="O591" s="6" t="s">
        <v>7211</v>
      </c>
      <c r="P591" s="6" t="s">
        <v>7212</v>
      </c>
      <c r="Q591" s="6" t="s">
        <v>7213</v>
      </c>
      <c r="R591" s="6" t="s">
        <v>257</v>
      </c>
      <c r="S591" s="6" t="s">
        <v>147</v>
      </c>
      <c r="T591" s="6" t="s">
        <v>250</v>
      </c>
      <c r="U591" s="6" t="s">
        <v>152</v>
      </c>
      <c r="V591" s="6" t="s">
        <v>246</v>
      </c>
      <c r="W591" s="6" t="s">
        <v>158</v>
      </c>
      <c r="X591" s="6" t="s">
        <v>257</v>
      </c>
      <c r="Y591" s="6" t="s">
        <v>162</v>
      </c>
      <c r="Z591" s="6" t="s">
        <v>165</v>
      </c>
      <c r="AA591" s="6" t="s">
        <v>168</v>
      </c>
      <c r="AB591" s="6" t="s">
        <v>171</v>
      </c>
      <c r="AC591" s="6" t="s">
        <v>174</v>
      </c>
      <c r="AD591" s="6" t="s">
        <v>175</v>
      </c>
      <c r="AE591" s="6" t="s">
        <v>271</v>
      </c>
      <c r="AF591" s="6" t="s">
        <v>181</v>
      </c>
      <c r="AG591" s="6" t="s">
        <v>182</v>
      </c>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row>
    <row r="592" ht="22.5" customHeight="1">
      <c r="A592" s="4">
        <v>46229.700095671295</v>
      </c>
      <c r="B592" s="5">
        <v>0.0</v>
      </c>
      <c r="C592" s="6" t="s">
        <v>114</v>
      </c>
      <c r="D592" s="6" t="s">
        <v>1349</v>
      </c>
      <c r="E592" s="6" t="s">
        <v>1350</v>
      </c>
      <c r="F592" s="6">
        <v>6.9070505216E10</v>
      </c>
      <c r="G592" s="6" t="s">
        <v>1470</v>
      </c>
      <c r="H592" s="7"/>
      <c r="I592" s="6" t="s">
        <v>6500</v>
      </c>
      <c r="J592" s="6" t="s">
        <v>3630</v>
      </c>
      <c r="K592" s="6" t="s">
        <v>3627</v>
      </c>
      <c r="L592" s="6" t="s">
        <v>7214</v>
      </c>
      <c r="M592" s="6" t="s">
        <v>3629</v>
      </c>
      <c r="N592" s="6" t="s">
        <v>7215</v>
      </c>
      <c r="O592" s="6" t="s">
        <v>7216</v>
      </c>
      <c r="P592" s="6" t="s">
        <v>7217</v>
      </c>
      <c r="Q592" s="6" t="s">
        <v>7218</v>
      </c>
      <c r="R592" s="6" t="s">
        <v>861</v>
      </c>
      <c r="S592" s="6" t="s">
        <v>147</v>
      </c>
      <c r="T592" s="6" t="s">
        <v>250</v>
      </c>
      <c r="U592" s="6" t="s">
        <v>686</v>
      </c>
      <c r="V592" s="6" t="s">
        <v>246</v>
      </c>
      <c r="W592" s="6" t="s">
        <v>158</v>
      </c>
      <c r="X592" s="6" t="s">
        <v>257</v>
      </c>
      <c r="Y592" s="6" t="s">
        <v>162</v>
      </c>
      <c r="Z592" s="6" t="s">
        <v>165</v>
      </c>
      <c r="AA592" s="6" t="s">
        <v>262</v>
      </c>
      <c r="AB592" s="6" t="s">
        <v>521</v>
      </c>
      <c r="AC592" s="6" t="s">
        <v>174</v>
      </c>
      <c r="AD592" s="6" t="s">
        <v>175</v>
      </c>
      <c r="AE592" s="6" t="s">
        <v>271</v>
      </c>
      <c r="AF592" s="6" t="s">
        <v>181</v>
      </c>
      <c r="AG592" s="6" t="s">
        <v>182</v>
      </c>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row>
    <row r="593" ht="22.5" customHeight="1">
      <c r="A593" s="4">
        <v>46229.70009748843</v>
      </c>
      <c r="B593" s="5">
        <v>0.0</v>
      </c>
      <c r="C593" s="6" t="s">
        <v>114</v>
      </c>
      <c r="D593" s="6" t="s">
        <v>1351</v>
      </c>
      <c r="E593" s="6" t="s">
        <v>1352</v>
      </c>
      <c r="F593" s="6">
        <v>6.9070501852E10</v>
      </c>
      <c r="G593" s="6" t="s">
        <v>730</v>
      </c>
      <c r="H593" s="7"/>
      <c r="I593" s="6" t="s">
        <v>6360</v>
      </c>
      <c r="J593" s="6" t="s">
        <v>7219</v>
      </c>
      <c r="K593" s="6" t="s">
        <v>2010</v>
      </c>
      <c r="L593" s="6" t="s">
        <v>7220</v>
      </c>
      <c r="M593" s="6" t="s">
        <v>737</v>
      </c>
      <c r="N593" s="6" t="s">
        <v>7221</v>
      </c>
      <c r="O593" s="6" t="s">
        <v>7222</v>
      </c>
      <c r="P593" s="6" t="s">
        <v>7223</v>
      </c>
      <c r="Q593" s="6" t="s">
        <v>7224</v>
      </c>
      <c r="R593" s="6" t="s">
        <v>246</v>
      </c>
      <c r="S593" s="6" t="s">
        <v>147</v>
      </c>
      <c r="T593" s="6" t="s">
        <v>250</v>
      </c>
      <c r="U593" s="6" t="s">
        <v>252</v>
      </c>
      <c r="V593" s="6" t="s">
        <v>246</v>
      </c>
      <c r="W593" s="6" t="s">
        <v>158</v>
      </c>
      <c r="X593" s="6" t="s">
        <v>257</v>
      </c>
      <c r="Y593" s="6" t="s">
        <v>162</v>
      </c>
      <c r="Z593" s="6" t="s">
        <v>165</v>
      </c>
      <c r="AA593" s="6" t="s">
        <v>262</v>
      </c>
      <c r="AB593" s="6" t="s">
        <v>171</v>
      </c>
      <c r="AC593" s="6" t="s">
        <v>174</v>
      </c>
      <c r="AD593" s="6" t="s">
        <v>175</v>
      </c>
      <c r="AE593" s="6" t="s">
        <v>271</v>
      </c>
      <c r="AF593" s="6" t="s">
        <v>181</v>
      </c>
      <c r="AG593" s="6" t="s">
        <v>182</v>
      </c>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row>
    <row r="594" ht="22.5" customHeight="1">
      <c r="A594" s="4">
        <v>46229.700100277776</v>
      </c>
      <c r="B594" s="5">
        <v>0.0</v>
      </c>
      <c r="C594" s="6" t="s">
        <v>114</v>
      </c>
      <c r="D594" s="6" t="s">
        <v>1353</v>
      </c>
      <c r="E594" s="6" t="s">
        <v>1354</v>
      </c>
      <c r="F594" s="6">
        <v>6.9070501013E10</v>
      </c>
      <c r="G594" s="6" t="s">
        <v>1470</v>
      </c>
      <c r="H594" s="7"/>
      <c r="I594" s="6" t="s">
        <v>7225</v>
      </c>
      <c r="J594" s="6" t="s">
        <v>7199</v>
      </c>
      <c r="K594" s="6" t="s">
        <v>7164</v>
      </c>
      <c r="L594" s="6" t="s">
        <v>7226</v>
      </c>
      <c r="M594" s="6" t="s">
        <v>7165</v>
      </c>
      <c r="N594" s="7"/>
      <c r="O594" s="6" t="s">
        <v>7227</v>
      </c>
      <c r="P594" s="6" t="s">
        <v>7228</v>
      </c>
      <c r="Q594" s="6" t="s">
        <v>7229</v>
      </c>
      <c r="R594" s="6" t="s">
        <v>246</v>
      </c>
      <c r="S594" s="6" t="s">
        <v>147</v>
      </c>
      <c r="T594" s="6" t="s">
        <v>250</v>
      </c>
      <c r="U594" s="6" t="s">
        <v>2254</v>
      </c>
      <c r="V594" s="6" t="s">
        <v>246</v>
      </c>
      <c r="W594" s="6" t="s">
        <v>158</v>
      </c>
      <c r="X594" s="6" t="s">
        <v>257</v>
      </c>
      <c r="Y594" s="6" t="s">
        <v>162</v>
      </c>
      <c r="Z594" s="6" t="s">
        <v>165</v>
      </c>
      <c r="AA594" s="6" t="s">
        <v>262</v>
      </c>
      <c r="AB594" s="6" t="s">
        <v>521</v>
      </c>
      <c r="AC594" s="6" t="s">
        <v>174</v>
      </c>
      <c r="AD594" s="6" t="s">
        <v>175</v>
      </c>
      <c r="AE594" s="6" t="s">
        <v>271</v>
      </c>
      <c r="AF594" s="6" t="s">
        <v>181</v>
      </c>
      <c r="AG594" s="6" t="s">
        <v>182</v>
      </c>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row>
    <row r="595" ht="22.5" customHeight="1">
      <c r="A595" s="4">
        <v>46229.70010070602</v>
      </c>
      <c r="B595" s="5">
        <v>0.0</v>
      </c>
      <c r="C595" s="6" t="s">
        <v>114</v>
      </c>
      <c r="D595" s="6" t="s">
        <v>1355</v>
      </c>
      <c r="E595" s="6" t="s">
        <v>1356</v>
      </c>
      <c r="F595" s="6">
        <v>6.9070502435E10</v>
      </c>
      <c r="G595" s="6" t="s">
        <v>122</v>
      </c>
      <c r="H595" s="7"/>
      <c r="I595" s="6" t="s">
        <v>7230</v>
      </c>
      <c r="J595" s="6" t="s">
        <v>7231</v>
      </c>
      <c r="K595" s="6" t="s">
        <v>7232</v>
      </c>
      <c r="L595" s="6" t="s">
        <v>7233</v>
      </c>
      <c r="M595" s="6" t="s">
        <v>7234</v>
      </c>
      <c r="N595" s="6" t="s">
        <v>7235</v>
      </c>
      <c r="O595" s="6" t="s">
        <v>7236</v>
      </c>
      <c r="P595" s="6" t="s">
        <v>7237</v>
      </c>
      <c r="Q595" s="6" t="s">
        <v>7238</v>
      </c>
      <c r="R595" s="6" t="s">
        <v>246</v>
      </c>
      <c r="S595" s="6" t="s">
        <v>147</v>
      </c>
      <c r="T595" s="6" t="s">
        <v>250</v>
      </c>
      <c r="U595" s="6" t="s">
        <v>152</v>
      </c>
      <c r="V595" s="6" t="s">
        <v>246</v>
      </c>
      <c r="W595" s="6" t="s">
        <v>158</v>
      </c>
      <c r="X595" s="6" t="s">
        <v>257</v>
      </c>
      <c r="Y595" s="6" t="s">
        <v>162</v>
      </c>
      <c r="Z595" s="6" t="s">
        <v>165</v>
      </c>
      <c r="AA595" s="6" t="s">
        <v>262</v>
      </c>
      <c r="AB595" s="6" t="s">
        <v>521</v>
      </c>
      <c r="AC595" s="6" t="s">
        <v>174</v>
      </c>
      <c r="AD595" s="6" t="s">
        <v>175</v>
      </c>
      <c r="AE595" s="6" t="s">
        <v>271</v>
      </c>
      <c r="AF595" s="6" t="s">
        <v>181</v>
      </c>
      <c r="AG595" s="6" t="s">
        <v>182</v>
      </c>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row>
    <row r="596" ht="22.5" customHeight="1">
      <c r="A596" s="4">
        <v>46229.70010451389</v>
      </c>
      <c r="B596" s="5">
        <v>0.0</v>
      </c>
      <c r="C596" s="6" t="s">
        <v>114</v>
      </c>
      <c r="D596" s="6" t="s">
        <v>1357</v>
      </c>
      <c r="E596" s="6" t="s">
        <v>1358</v>
      </c>
      <c r="F596" s="6">
        <v>6.9070501064E10</v>
      </c>
      <c r="G596" s="6" t="s">
        <v>1470</v>
      </c>
      <c r="H596" s="7"/>
      <c r="I596" s="6" t="s">
        <v>7009</v>
      </c>
      <c r="J596" s="6" t="s">
        <v>7239</v>
      </c>
      <c r="K596" s="6" t="s">
        <v>7240</v>
      </c>
      <c r="L596" s="6" t="s">
        <v>7241</v>
      </c>
      <c r="M596" s="6" t="s">
        <v>7242</v>
      </c>
      <c r="N596" s="6" t="s">
        <v>4353</v>
      </c>
      <c r="O596" s="6" t="s">
        <v>7243</v>
      </c>
      <c r="P596" s="6" t="s">
        <v>7244</v>
      </c>
      <c r="Q596" s="6" t="s">
        <v>7245</v>
      </c>
      <c r="R596" s="6" t="s">
        <v>246</v>
      </c>
      <c r="S596" s="6" t="s">
        <v>147</v>
      </c>
      <c r="T596" s="6" t="s">
        <v>246</v>
      </c>
      <c r="U596" s="6" t="s">
        <v>152</v>
      </c>
      <c r="V596" s="6" t="s">
        <v>246</v>
      </c>
      <c r="W596" s="6" t="s">
        <v>158</v>
      </c>
      <c r="X596" s="6" t="s">
        <v>257</v>
      </c>
      <c r="Y596" s="6" t="s">
        <v>162</v>
      </c>
      <c r="Z596" s="6" t="s">
        <v>165</v>
      </c>
      <c r="AA596" s="6" t="s">
        <v>262</v>
      </c>
      <c r="AB596" s="6" t="s">
        <v>171</v>
      </c>
      <c r="AC596" s="6" t="s">
        <v>174</v>
      </c>
      <c r="AD596" s="6" t="s">
        <v>175</v>
      </c>
      <c r="AE596" s="6" t="s">
        <v>178</v>
      </c>
      <c r="AF596" s="6" t="s">
        <v>181</v>
      </c>
      <c r="AG596" s="6" t="s">
        <v>182</v>
      </c>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row>
    <row r="597" ht="22.5" customHeight="1">
      <c r="A597" s="4">
        <v>46229.70010638889</v>
      </c>
      <c r="B597" s="5">
        <v>0.0</v>
      </c>
      <c r="C597" s="6" t="s">
        <v>114</v>
      </c>
      <c r="D597" s="6" t="s">
        <v>1359</v>
      </c>
      <c r="E597" s="6" t="s">
        <v>1360</v>
      </c>
      <c r="F597" s="6">
        <v>6.9070502444E10</v>
      </c>
      <c r="G597" s="6" t="s">
        <v>122</v>
      </c>
      <c r="H597" s="7"/>
      <c r="I597" s="6" t="s">
        <v>7246</v>
      </c>
      <c r="J597" s="6" t="s">
        <v>7247</v>
      </c>
      <c r="K597" s="6" t="s">
        <v>7248</v>
      </c>
      <c r="L597" s="6" t="s">
        <v>7233</v>
      </c>
      <c r="M597" s="6" t="s">
        <v>7249</v>
      </c>
      <c r="N597" s="7"/>
      <c r="O597" s="6" t="s">
        <v>7250</v>
      </c>
      <c r="P597" s="6" t="s">
        <v>7251</v>
      </c>
      <c r="Q597" s="6" t="s">
        <v>7252</v>
      </c>
      <c r="R597" s="6" t="s">
        <v>246</v>
      </c>
      <c r="S597" s="6" t="s">
        <v>147</v>
      </c>
      <c r="T597" s="6" t="s">
        <v>250</v>
      </c>
      <c r="U597" s="6" t="s">
        <v>152</v>
      </c>
      <c r="V597" s="6" t="s">
        <v>246</v>
      </c>
      <c r="W597" s="6" t="s">
        <v>158</v>
      </c>
      <c r="X597" s="6" t="s">
        <v>257</v>
      </c>
      <c r="Y597" s="6" t="s">
        <v>162</v>
      </c>
      <c r="Z597" s="6" t="s">
        <v>165</v>
      </c>
      <c r="AA597" s="6" t="s">
        <v>262</v>
      </c>
      <c r="AB597" s="6" t="s">
        <v>521</v>
      </c>
      <c r="AC597" s="6" t="s">
        <v>174</v>
      </c>
      <c r="AD597" s="6" t="s">
        <v>175</v>
      </c>
      <c r="AE597" s="6" t="s">
        <v>271</v>
      </c>
      <c r="AF597" s="6" t="s">
        <v>181</v>
      </c>
      <c r="AG597" s="6" t="s">
        <v>182</v>
      </c>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row>
    <row r="598" ht="22.5" customHeight="1">
      <c r="A598" s="4">
        <v>46229.70010674768</v>
      </c>
      <c r="B598" s="5">
        <v>0.0</v>
      </c>
      <c r="C598" s="6" t="s">
        <v>114</v>
      </c>
      <c r="D598" s="6" t="s">
        <v>1362</v>
      </c>
      <c r="E598" s="6" t="s">
        <v>1363</v>
      </c>
      <c r="F598" s="6">
        <v>6.9070501814E10</v>
      </c>
      <c r="G598" s="6" t="s">
        <v>730</v>
      </c>
      <c r="H598" s="6" t="s">
        <v>7253</v>
      </c>
      <c r="I598" s="6" t="s">
        <v>7254</v>
      </c>
      <c r="J598" s="6" t="s">
        <v>7255</v>
      </c>
      <c r="K598" s="6" t="s">
        <v>7256</v>
      </c>
      <c r="L598" s="6" t="s">
        <v>5182</v>
      </c>
      <c r="M598" s="6" t="s">
        <v>7257</v>
      </c>
      <c r="N598" s="6" t="s">
        <v>7253</v>
      </c>
      <c r="O598" s="6" t="s">
        <v>7258</v>
      </c>
      <c r="P598" s="6" t="s">
        <v>7259</v>
      </c>
      <c r="Q598" s="6" t="s">
        <v>7260</v>
      </c>
      <c r="R598" s="6" t="s">
        <v>246</v>
      </c>
      <c r="S598" s="6" t="s">
        <v>147</v>
      </c>
      <c r="T598" s="6" t="s">
        <v>246</v>
      </c>
      <c r="U598" s="6" t="s">
        <v>560</v>
      </c>
      <c r="V598" s="6" t="s">
        <v>246</v>
      </c>
      <c r="W598" s="6" t="s">
        <v>158</v>
      </c>
      <c r="X598" s="6" t="s">
        <v>257</v>
      </c>
      <c r="Y598" s="6" t="s">
        <v>162</v>
      </c>
      <c r="Z598" s="6" t="s">
        <v>165</v>
      </c>
      <c r="AA598" s="6" t="s">
        <v>262</v>
      </c>
      <c r="AB598" s="6" t="s">
        <v>171</v>
      </c>
      <c r="AC598" s="6" t="s">
        <v>174</v>
      </c>
      <c r="AD598" s="6" t="s">
        <v>175</v>
      </c>
      <c r="AE598" s="6" t="s">
        <v>271</v>
      </c>
      <c r="AF598" s="6" t="s">
        <v>181</v>
      </c>
      <c r="AG598" s="6" t="s">
        <v>182</v>
      </c>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row>
    <row r="599" ht="22.5" customHeight="1">
      <c r="A599" s="4">
        <v>46229.700111921295</v>
      </c>
      <c r="B599" s="5">
        <v>0.0</v>
      </c>
      <c r="C599" s="6" t="s">
        <v>114</v>
      </c>
      <c r="D599" s="6" t="s">
        <v>1366</v>
      </c>
      <c r="E599" s="6" t="s">
        <v>1367</v>
      </c>
      <c r="F599" s="6">
        <v>6.9070500451E10</v>
      </c>
      <c r="G599" s="6" t="s">
        <v>310</v>
      </c>
      <c r="H599" s="7"/>
      <c r="I599" s="6" t="s">
        <v>7261</v>
      </c>
      <c r="J599" s="6" t="s">
        <v>7262</v>
      </c>
      <c r="K599" s="6" t="s">
        <v>6798</v>
      </c>
      <c r="L599" s="6" t="s">
        <v>7263</v>
      </c>
      <c r="M599" s="6" t="s">
        <v>7264</v>
      </c>
      <c r="N599" s="7"/>
      <c r="O599" s="6" t="s">
        <v>7265</v>
      </c>
      <c r="P599" s="6" t="s">
        <v>7266</v>
      </c>
      <c r="Q599" s="6" t="s">
        <v>7267</v>
      </c>
      <c r="R599" s="6" t="s">
        <v>246</v>
      </c>
      <c r="S599" s="6" t="s">
        <v>147</v>
      </c>
      <c r="T599" s="6" t="s">
        <v>250</v>
      </c>
      <c r="U599" s="6" t="s">
        <v>252</v>
      </c>
      <c r="V599" s="6" t="s">
        <v>246</v>
      </c>
      <c r="W599" s="6" t="s">
        <v>158</v>
      </c>
      <c r="X599" s="6" t="s">
        <v>257</v>
      </c>
      <c r="Y599" s="6" t="s">
        <v>162</v>
      </c>
      <c r="Z599" s="6" t="s">
        <v>165</v>
      </c>
      <c r="AA599" s="6" t="s">
        <v>262</v>
      </c>
      <c r="AB599" s="6" t="s">
        <v>3847</v>
      </c>
      <c r="AC599" s="6" t="s">
        <v>1669</v>
      </c>
      <c r="AD599" s="6" t="s">
        <v>175</v>
      </c>
      <c r="AE599" s="6" t="s">
        <v>271</v>
      </c>
      <c r="AF599" s="6" t="s">
        <v>181</v>
      </c>
      <c r="AG599" s="6" t="s">
        <v>182</v>
      </c>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row>
    <row r="600" ht="22.5" customHeight="1">
      <c r="A600" s="4">
        <v>46229.700119305555</v>
      </c>
      <c r="B600" s="5">
        <v>0.0</v>
      </c>
      <c r="C600" s="6" t="s">
        <v>114</v>
      </c>
      <c r="D600" s="6" t="s">
        <v>1370</v>
      </c>
      <c r="E600" s="6" t="s">
        <v>1372</v>
      </c>
      <c r="F600" s="6">
        <v>6.9070500232E10</v>
      </c>
      <c r="G600" s="6" t="s">
        <v>599</v>
      </c>
      <c r="H600" s="7"/>
      <c r="I600" s="6" t="s">
        <v>7268</v>
      </c>
      <c r="J600" s="6" t="s">
        <v>4166</v>
      </c>
      <c r="K600" s="6" t="s">
        <v>4167</v>
      </c>
      <c r="L600" s="6" t="s">
        <v>4168</v>
      </c>
      <c r="M600" s="6" t="s">
        <v>4169</v>
      </c>
      <c r="N600" s="6" t="s">
        <v>5567</v>
      </c>
      <c r="O600" s="6" t="s">
        <v>7269</v>
      </c>
      <c r="P600" s="6" t="s">
        <v>7270</v>
      </c>
      <c r="Q600" s="6" t="s">
        <v>7271</v>
      </c>
      <c r="R600" s="6" t="s">
        <v>246</v>
      </c>
      <c r="S600" s="6" t="s">
        <v>147</v>
      </c>
      <c r="T600" s="6" t="s">
        <v>250</v>
      </c>
      <c r="U600" s="6" t="s">
        <v>686</v>
      </c>
      <c r="V600" s="6" t="s">
        <v>246</v>
      </c>
      <c r="W600" s="6" t="s">
        <v>158</v>
      </c>
      <c r="X600" s="6" t="s">
        <v>257</v>
      </c>
      <c r="Y600" s="6" t="s">
        <v>162</v>
      </c>
      <c r="Z600" s="6" t="s">
        <v>165</v>
      </c>
      <c r="AA600" s="6" t="s">
        <v>262</v>
      </c>
      <c r="AB600" s="6" t="s">
        <v>171</v>
      </c>
      <c r="AC600" s="6" t="s">
        <v>174</v>
      </c>
      <c r="AD600" s="6" t="s">
        <v>175</v>
      </c>
      <c r="AE600" s="6" t="s">
        <v>271</v>
      </c>
      <c r="AF600" s="6" t="s">
        <v>181</v>
      </c>
      <c r="AG600" s="6" t="s">
        <v>182</v>
      </c>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row>
    <row r="601" ht="22.5" customHeight="1">
      <c r="A601" s="4">
        <v>46229.70012013889</v>
      </c>
      <c r="B601" s="5">
        <v>0.0</v>
      </c>
      <c r="C601" s="6" t="s">
        <v>114</v>
      </c>
      <c r="D601" s="6" t="s">
        <v>1375</v>
      </c>
      <c r="E601" s="6" t="s">
        <v>1376</v>
      </c>
      <c r="F601" s="6">
        <v>6.9070501052E10</v>
      </c>
      <c r="G601" s="6" t="s">
        <v>1470</v>
      </c>
      <c r="H601" s="7"/>
      <c r="I601" s="6" t="s">
        <v>7272</v>
      </c>
      <c r="J601" s="6" t="s">
        <v>7273</v>
      </c>
      <c r="K601" s="6" t="s">
        <v>7274</v>
      </c>
      <c r="L601" s="6" t="s">
        <v>4640</v>
      </c>
      <c r="M601" s="6" t="s">
        <v>3099</v>
      </c>
      <c r="N601" s="6" t="s">
        <v>4641</v>
      </c>
      <c r="O601" s="6" t="s">
        <v>7275</v>
      </c>
      <c r="P601" s="6" t="s">
        <v>7244</v>
      </c>
      <c r="Q601" s="6" t="s">
        <v>7276</v>
      </c>
      <c r="R601" s="6" t="s">
        <v>257</v>
      </c>
      <c r="S601" s="6" t="s">
        <v>147</v>
      </c>
      <c r="T601" s="6" t="s">
        <v>250</v>
      </c>
      <c r="U601" s="6" t="s">
        <v>152</v>
      </c>
      <c r="V601" s="6" t="s">
        <v>246</v>
      </c>
      <c r="W601" s="6" t="s">
        <v>158</v>
      </c>
      <c r="X601" s="6" t="s">
        <v>246</v>
      </c>
      <c r="Y601" s="6" t="s">
        <v>162</v>
      </c>
      <c r="Z601" s="6" t="s">
        <v>165</v>
      </c>
      <c r="AA601" s="6" t="s">
        <v>262</v>
      </c>
      <c r="AB601" s="6" t="s">
        <v>171</v>
      </c>
      <c r="AC601" s="6" t="s">
        <v>174</v>
      </c>
      <c r="AD601" s="6" t="s">
        <v>175</v>
      </c>
      <c r="AE601" s="6" t="s">
        <v>271</v>
      </c>
      <c r="AF601" s="6" t="s">
        <v>181</v>
      </c>
      <c r="AG601" s="6" t="s">
        <v>182</v>
      </c>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row>
    <row r="602" ht="22.5" customHeight="1">
      <c r="A602" s="4">
        <v>46229.700120740745</v>
      </c>
      <c r="B602" s="5">
        <v>0.0</v>
      </c>
      <c r="C602" s="6" t="s">
        <v>114</v>
      </c>
      <c r="D602" s="6" t="s">
        <v>1378</v>
      </c>
      <c r="E602" s="6" t="s">
        <v>1379</v>
      </c>
      <c r="F602" s="6">
        <v>6.9070508248E10</v>
      </c>
      <c r="G602" s="6" t="s">
        <v>730</v>
      </c>
      <c r="H602" s="7"/>
      <c r="I602" s="6" t="s">
        <v>7277</v>
      </c>
      <c r="J602" s="6" t="s">
        <v>7278</v>
      </c>
      <c r="K602" s="6" t="s">
        <v>7279</v>
      </c>
      <c r="L602" s="6" t="s">
        <v>7280</v>
      </c>
      <c r="M602" s="6" t="s">
        <v>7281</v>
      </c>
      <c r="N602" s="7"/>
      <c r="O602" s="6" t="s">
        <v>7282</v>
      </c>
      <c r="P602" s="6" t="s">
        <v>7283</v>
      </c>
      <c r="Q602" s="6" t="s">
        <v>7284</v>
      </c>
      <c r="R602" s="6" t="s">
        <v>246</v>
      </c>
      <c r="S602" s="6" t="s">
        <v>147</v>
      </c>
      <c r="T602" s="6" t="s">
        <v>250</v>
      </c>
      <c r="U602" s="6" t="s">
        <v>560</v>
      </c>
      <c r="V602" s="6" t="s">
        <v>155</v>
      </c>
      <c r="W602" s="6" t="s">
        <v>158</v>
      </c>
      <c r="X602" s="6" t="s">
        <v>257</v>
      </c>
      <c r="Y602" s="6" t="s">
        <v>162</v>
      </c>
      <c r="Z602" s="6" t="s">
        <v>165</v>
      </c>
      <c r="AA602" s="6" t="s">
        <v>262</v>
      </c>
      <c r="AB602" s="6" t="s">
        <v>171</v>
      </c>
      <c r="AC602" s="6" t="s">
        <v>174</v>
      </c>
      <c r="AD602" s="6" t="s">
        <v>175</v>
      </c>
      <c r="AE602" s="6" t="s">
        <v>271</v>
      </c>
      <c r="AF602" s="6" t="s">
        <v>181</v>
      </c>
      <c r="AG602" s="6" t="s">
        <v>182</v>
      </c>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row>
    <row r="603" ht="22.5" customHeight="1">
      <c r="A603" s="4">
        <v>46229.7001219213</v>
      </c>
      <c r="B603" s="5">
        <v>0.0</v>
      </c>
      <c r="C603" s="6" t="s">
        <v>114</v>
      </c>
      <c r="D603" s="6" t="s">
        <v>1380</v>
      </c>
      <c r="E603" s="6" t="s">
        <v>1381</v>
      </c>
      <c r="F603" s="6">
        <v>6.9070509611E10</v>
      </c>
      <c r="G603" s="6" t="s">
        <v>730</v>
      </c>
      <c r="H603" s="6" t="s">
        <v>7285</v>
      </c>
      <c r="I603" s="6" t="s">
        <v>7286</v>
      </c>
      <c r="J603" s="6" t="s">
        <v>7287</v>
      </c>
      <c r="K603" s="6" t="s">
        <v>7288</v>
      </c>
      <c r="L603" s="6" t="s">
        <v>7289</v>
      </c>
      <c r="M603" s="6" t="s">
        <v>7290</v>
      </c>
      <c r="N603" s="6" t="s">
        <v>7291</v>
      </c>
      <c r="O603" s="6" t="s">
        <v>7292</v>
      </c>
      <c r="P603" s="6" t="s">
        <v>7293</v>
      </c>
      <c r="Q603" s="6" t="s">
        <v>7294</v>
      </c>
      <c r="R603" s="6" t="s">
        <v>246</v>
      </c>
      <c r="S603" s="6" t="s">
        <v>147</v>
      </c>
      <c r="T603" s="6" t="s">
        <v>257</v>
      </c>
      <c r="U603" s="6" t="s">
        <v>152</v>
      </c>
      <c r="V603" s="6" t="s">
        <v>2302</v>
      </c>
      <c r="W603" s="6" t="s">
        <v>158</v>
      </c>
      <c r="X603" s="6" t="s">
        <v>257</v>
      </c>
      <c r="Y603" s="6" t="s">
        <v>162</v>
      </c>
      <c r="Z603" s="6" t="s">
        <v>165</v>
      </c>
      <c r="AA603" s="6" t="s">
        <v>1322</v>
      </c>
      <c r="AB603" s="6" t="s">
        <v>171</v>
      </c>
      <c r="AC603" s="6" t="s">
        <v>174</v>
      </c>
      <c r="AD603" s="6" t="s">
        <v>175</v>
      </c>
      <c r="AE603" s="6" t="s">
        <v>178</v>
      </c>
      <c r="AF603" s="6" t="s">
        <v>181</v>
      </c>
      <c r="AG603" s="6" t="s">
        <v>182</v>
      </c>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row>
    <row r="604" ht="22.5" customHeight="1">
      <c r="A604" s="4">
        <v>46229.70012325232</v>
      </c>
      <c r="B604" s="5">
        <v>0.0</v>
      </c>
      <c r="C604" s="6" t="s">
        <v>114</v>
      </c>
      <c r="D604" s="6" t="s">
        <v>1382</v>
      </c>
      <c r="E604" s="6" t="s">
        <v>1383</v>
      </c>
      <c r="F604" s="6">
        <v>6.9070508828E10</v>
      </c>
      <c r="G604" s="6" t="s">
        <v>5399</v>
      </c>
      <c r="H604" s="6" t="s">
        <v>2633</v>
      </c>
      <c r="I604" s="6" t="s">
        <v>6874</v>
      </c>
      <c r="J604" s="6" t="s">
        <v>7295</v>
      </c>
      <c r="K604" s="6" t="s">
        <v>3668</v>
      </c>
      <c r="L604" s="6" t="s">
        <v>7296</v>
      </c>
      <c r="M604" s="6" t="s">
        <v>7297</v>
      </c>
      <c r="N604" s="6" t="s">
        <v>7298</v>
      </c>
      <c r="O604" s="6" t="s">
        <v>7299</v>
      </c>
      <c r="P604" s="6" t="s">
        <v>7300</v>
      </c>
      <c r="Q604" s="6" t="s">
        <v>7301</v>
      </c>
      <c r="R604" s="6" t="s">
        <v>246</v>
      </c>
      <c r="S604" s="6" t="s">
        <v>147</v>
      </c>
      <c r="T604" s="6" t="s">
        <v>250</v>
      </c>
      <c r="U604" s="6" t="s">
        <v>252</v>
      </c>
      <c r="V604" s="6" t="s">
        <v>246</v>
      </c>
      <c r="W604" s="6" t="s">
        <v>158</v>
      </c>
      <c r="X604" s="6" t="s">
        <v>246</v>
      </c>
      <c r="Y604" s="6" t="s">
        <v>162</v>
      </c>
      <c r="Z604" s="6" t="s">
        <v>165</v>
      </c>
      <c r="AA604" s="6" t="s">
        <v>262</v>
      </c>
      <c r="AB604" s="6" t="s">
        <v>521</v>
      </c>
      <c r="AC604" s="6" t="s">
        <v>2718</v>
      </c>
      <c r="AD604" s="6" t="s">
        <v>175</v>
      </c>
      <c r="AE604" s="6" t="s">
        <v>271</v>
      </c>
      <c r="AF604" s="6" t="s">
        <v>181</v>
      </c>
      <c r="AG604" s="6" t="s">
        <v>182</v>
      </c>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row>
    <row r="605" ht="22.5" customHeight="1">
      <c r="A605" s="4">
        <v>46229.70012460648</v>
      </c>
      <c r="B605" s="5">
        <v>0.0</v>
      </c>
      <c r="C605" s="6" t="s">
        <v>114</v>
      </c>
      <c r="D605" s="6" t="s">
        <v>1384</v>
      </c>
      <c r="E605" s="6" t="s">
        <v>1385</v>
      </c>
      <c r="F605" s="6">
        <v>6.9070500818E10</v>
      </c>
      <c r="G605" s="6" t="s">
        <v>496</v>
      </c>
      <c r="H605" s="7"/>
      <c r="I605" s="6" t="s">
        <v>7302</v>
      </c>
      <c r="J605" s="6" t="s">
        <v>7303</v>
      </c>
      <c r="K605" s="6" t="s">
        <v>4461</v>
      </c>
      <c r="L605" s="6" t="s">
        <v>4462</v>
      </c>
      <c r="M605" s="6" t="s">
        <v>7304</v>
      </c>
      <c r="N605" s="7"/>
      <c r="O605" s="6" t="s">
        <v>7305</v>
      </c>
      <c r="P605" s="6" t="s">
        <v>7306</v>
      </c>
      <c r="Q605" s="6" t="s">
        <v>7307</v>
      </c>
      <c r="R605" s="6" t="s">
        <v>246</v>
      </c>
      <c r="S605" s="6" t="s">
        <v>147</v>
      </c>
      <c r="T605" s="6" t="s">
        <v>250</v>
      </c>
      <c r="U605" s="6" t="s">
        <v>560</v>
      </c>
      <c r="V605" s="6" t="s">
        <v>246</v>
      </c>
      <c r="W605" s="6" t="s">
        <v>158</v>
      </c>
      <c r="X605" s="6" t="s">
        <v>257</v>
      </c>
      <c r="Y605" s="6" t="s">
        <v>162</v>
      </c>
      <c r="Z605" s="6" t="s">
        <v>165</v>
      </c>
      <c r="AA605" s="6" t="s">
        <v>262</v>
      </c>
      <c r="AB605" s="6" t="s">
        <v>1266</v>
      </c>
      <c r="AC605" s="6" t="s">
        <v>174</v>
      </c>
      <c r="AD605" s="6" t="s">
        <v>175</v>
      </c>
      <c r="AE605" s="6" t="s">
        <v>271</v>
      </c>
      <c r="AF605" s="6" t="s">
        <v>181</v>
      </c>
      <c r="AG605" s="6" t="s">
        <v>182</v>
      </c>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row>
    <row r="606" ht="22.5" customHeight="1">
      <c r="A606" s="4">
        <v>46229.70012873843</v>
      </c>
      <c r="B606" s="5">
        <v>0.0</v>
      </c>
      <c r="C606" s="6" t="s">
        <v>114</v>
      </c>
      <c r="D606" s="6" t="s">
        <v>1386</v>
      </c>
      <c r="E606" s="6" t="s">
        <v>1387</v>
      </c>
      <c r="F606" s="6">
        <v>6.9070502505E10</v>
      </c>
      <c r="G606" s="6" t="s">
        <v>122</v>
      </c>
      <c r="H606" s="6" t="s">
        <v>7308</v>
      </c>
      <c r="I606" s="6" t="s">
        <v>7247</v>
      </c>
      <c r="J606" s="6" t="s">
        <v>7309</v>
      </c>
      <c r="K606" s="6" t="s">
        <v>7310</v>
      </c>
      <c r="L606" s="6" t="s">
        <v>7311</v>
      </c>
      <c r="M606" s="6" t="s">
        <v>7312</v>
      </c>
      <c r="N606" s="6" t="s">
        <v>7313</v>
      </c>
      <c r="O606" s="6" t="s">
        <v>7314</v>
      </c>
      <c r="P606" s="6" t="s">
        <v>7315</v>
      </c>
      <c r="Q606" s="6" t="s">
        <v>7316</v>
      </c>
      <c r="R606" s="6" t="s">
        <v>257</v>
      </c>
      <c r="S606" s="6" t="s">
        <v>147</v>
      </c>
      <c r="T606" s="6" t="s">
        <v>250</v>
      </c>
      <c r="U606" s="6" t="s">
        <v>152</v>
      </c>
      <c r="V606" s="6" t="s">
        <v>246</v>
      </c>
      <c r="W606" s="6" t="s">
        <v>158</v>
      </c>
      <c r="X606" s="6" t="s">
        <v>257</v>
      </c>
      <c r="Y606" s="6" t="s">
        <v>162</v>
      </c>
      <c r="Z606" s="6" t="s">
        <v>165</v>
      </c>
      <c r="AA606" s="6" t="s">
        <v>168</v>
      </c>
      <c r="AB606" s="6" t="s">
        <v>171</v>
      </c>
      <c r="AC606" s="6" t="s">
        <v>174</v>
      </c>
      <c r="AD606" s="6" t="s">
        <v>175</v>
      </c>
      <c r="AE606" s="6" t="s">
        <v>271</v>
      </c>
      <c r="AF606" s="6" t="s">
        <v>181</v>
      </c>
      <c r="AG606" s="6" t="s">
        <v>182</v>
      </c>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row>
    <row r="607" ht="22.5" customHeight="1">
      <c r="A607" s="4">
        <v>46229.700130428246</v>
      </c>
      <c r="B607" s="5">
        <v>0.0</v>
      </c>
      <c r="C607" s="6" t="s">
        <v>114</v>
      </c>
      <c r="D607" s="6" t="s">
        <v>1388</v>
      </c>
      <c r="E607" s="6" t="s">
        <v>1389</v>
      </c>
      <c r="F607" s="6">
        <v>6.9070500803E10</v>
      </c>
      <c r="G607" s="6" t="s">
        <v>496</v>
      </c>
      <c r="H607" s="7"/>
      <c r="I607" s="6" t="s">
        <v>6204</v>
      </c>
      <c r="J607" s="6" t="s">
        <v>7317</v>
      </c>
      <c r="K607" s="6" t="s">
        <v>7318</v>
      </c>
      <c r="L607" s="6" t="s">
        <v>6967</v>
      </c>
      <c r="M607" s="6" t="s">
        <v>6188</v>
      </c>
      <c r="N607" s="7"/>
      <c r="O607" s="6" t="s">
        <v>7319</v>
      </c>
      <c r="P607" s="6" t="s">
        <v>7320</v>
      </c>
      <c r="Q607" s="6" t="s">
        <v>7321</v>
      </c>
      <c r="R607" s="6" t="s">
        <v>246</v>
      </c>
      <c r="S607" s="6" t="s">
        <v>147</v>
      </c>
      <c r="T607" s="6" t="s">
        <v>250</v>
      </c>
      <c r="U607" s="6" t="s">
        <v>252</v>
      </c>
      <c r="V607" s="6" t="s">
        <v>246</v>
      </c>
      <c r="W607" s="6" t="s">
        <v>158</v>
      </c>
      <c r="X607" s="6" t="s">
        <v>257</v>
      </c>
      <c r="Y607" s="6" t="s">
        <v>162</v>
      </c>
      <c r="Z607" s="6" t="s">
        <v>165</v>
      </c>
      <c r="AA607" s="6" t="s">
        <v>262</v>
      </c>
      <c r="AB607" s="6" t="s">
        <v>171</v>
      </c>
      <c r="AC607" s="6" t="s">
        <v>174</v>
      </c>
      <c r="AD607" s="6" t="s">
        <v>175</v>
      </c>
      <c r="AE607" s="6" t="s">
        <v>271</v>
      </c>
      <c r="AF607" s="6" t="s">
        <v>181</v>
      </c>
      <c r="AG607" s="6" t="s">
        <v>182</v>
      </c>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row>
    <row r="608" ht="22.5" customHeight="1">
      <c r="A608" s="4">
        <v>46229.70013162037</v>
      </c>
      <c r="B608" s="5">
        <v>0.0</v>
      </c>
      <c r="C608" s="6" t="s">
        <v>114</v>
      </c>
      <c r="D608" s="6" t="s">
        <v>1390</v>
      </c>
      <c r="E608" s="6" t="s">
        <v>1391</v>
      </c>
      <c r="F608" s="6">
        <v>6.9070502471E10</v>
      </c>
      <c r="G608" s="6" t="s">
        <v>122</v>
      </c>
      <c r="H608" s="7"/>
      <c r="I608" s="6" t="s">
        <v>7322</v>
      </c>
      <c r="J608" s="6" t="s">
        <v>7323</v>
      </c>
      <c r="K608" s="6" t="s">
        <v>7324</v>
      </c>
      <c r="L608" s="6" t="s">
        <v>7325</v>
      </c>
      <c r="M608" s="6" t="s">
        <v>7326</v>
      </c>
      <c r="N608" s="7"/>
      <c r="O608" s="6" t="s">
        <v>7327</v>
      </c>
      <c r="P608" s="6" t="s">
        <v>7328</v>
      </c>
      <c r="Q608" s="6" t="s">
        <v>7329</v>
      </c>
      <c r="R608" s="6" t="s">
        <v>257</v>
      </c>
      <c r="S608" s="6" t="s">
        <v>147</v>
      </c>
      <c r="T608" s="6" t="s">
        <v>250</v>
      </c>
      <c r="U608" s="6" t="s">
        <v>686</v>
      </c>
      <c r="V608" s="6" t="s">
        <v>246</v>
      </c>
      <c r="W608" s="6" t="s">
        <v>158</v>
      </c>
      <c r="X608" s="6" t="s">
        <v>246</v>
      </c>
      <c r="Y608" s="6" t="s">
        <v>1205</v>
      </c>
      <c r="Z608" s="6" t="s">
        <v>165</v>
      </c>
      <c r="AA608" s="6" t="s">
        <v>641</v>
      </c>
      <c r="AB608" s="6" t="s">
        <v>3847</v>
      </c>
      <c r="AC608" s="6" t="s">
        <v>633</v>
      </c>
      <c r="AD608" s="6" t="s">
        <v>175</v>
      </c>
      <c r="AE608" s="6" t="s">
        <v>3105</v>
      </c>
      <c r="AF608" s="6" t="s">
        <v>181</v>
      </c>
      <c r="AG608" s="6" t="s">
        <v>1213</v>
      </c>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row>
    <row r="609" ht="22.5" customHeight="1">
      <c r="A609" s="4">
        <v>46229.70013439815</v>
      </c>
      <c r="B609" s="5">
        <v>0.0</v>
      </c>
      <c r="C609" s="6" t="s">
        <v>114</v>
      </c>
      <c r="D609" s="6" t="s">
        <v>1392</v>
      </c>
      <c r="E609" s="6" t="s">
        <v>1393</v>
      </c>
      <c r="F609" s="6">
        <v>6.9070501802E10</v>
      </c>
      <c r="G609" s="6" t="s">
        <v>730</v>
      </c>
      <c r="H609" s="7"/>
      <c r="I609" s="6" t="s">
        <v>4914</v>
      </c>
      <c r="J609" s="6" t="s">
        <v>5402</v>
      </c>
      <c r="K609" s="6" t="s">
        <v>6025</v>
      </c>
      <c r="L609" s="6" t="s">
        <v>5350</v>
      </c>
      <c r="M609" s="6" t="s">
        <v>7330</v>
      </c>
      <c r="N609" s="7"/>
      <c r="O609" s="6" t="s">
        <v>7331</v>
      </c>
      <c r="P609" s="6" t="s">
        <v>7332</v>
      </c>
      <c r="Q609" s="6" t="s">
        <v>7333</v>
      </c>
      <c r="R609" s="6" t="s">
        <v>246</v>
      </c>
      <c r="S609" s="6" t="s">
        <v>147</v>
      </c>
      <c r="T609" s="6" t="s">
        <v>257</v>
      </c>
      <c r="U609" s="6" t="s">
        <v>252</v>
      </c>
      <c r="V609" s="6" t="s">
        <v>246</v>
      </c>
      <c r="W609" s="6" t="s">
        <v>158</v>
      </c>
      <c r="X609" s="6" t="s">
        <v>257</v>
      </c>
      <c r="Y609" s="6" t="s">
        <v>162</v>
      </c>
      <c r="Z609" s="6" t="s">
        <v>165</v>
      </c>
      <c r="AA609" s="6" t="s">
        <v>1322</v>
      </c>
      <c r="AB609" s="6" t="s">
        <v>171</v>
      </c>
      <c r="AC609" s="6" t="s">
        <v>633</v>
      </c>
      <c r="AD609" s="6" t="s">
        <v>175</v>
      </c>
      <c r="AE609" s="6" t="s">
        <v>178</v>
      </c>
      <c r="AF609" s="6" t="s">
        <v>181</v>
      </c>
      <c r="AG609" s="6" t="s">
        <v>182</v>
      </c>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row>
    <row r="610" ht="22.5" customHeight="1">
      <c r="A610" s="4">
        <v>46229.70013673611</v>
      </c>
      <c r="B610" s="5">
        <v>0.0</v>
      </c>
      <c r="C610" s="6" t="s">
        <v>114</v>
      </c>
      <c r="D610" s="6" t="s">
        <v>1394</v>
      </c>
      <c r="E610" s="6" t="s">
        <v>1395</v>
      </c>
      <c r="F610" s="6">
        <v>6.9070502469E10</v>
      </c>
      <c r="G610" s="6" t="s">
        <v>122</v>
      </c>
      <c r="H610" s="7"/>
      <c r="I610" s="6" t="s">
        <v>7334</v>
      </c>
      <c r="J610" s="6" t="s">
        <v>7335</v>
      </c>
      <c r="K610" s="6" t="s">
        <v>7336</v>
      </c>
      <c r="L610" s="6" t="s">
        <v>7337</v>
      </c>
      <c r="M610" s="6" t="s">
        <v>7338</v>
      </c>
      <c r="N610" s="7"/>
      <c r="O610" s="6" t="s">
        <v>7339</v>
      </c>
      <c r="P610" s="6" t="s">
        <v>5325</v>
      </c>
      <c r="Q610" s="6" t="s">
        <v>5325</v>
      </c>
      <c r="R610" s="6" t="s">
        <v>246</v>
      </c>
      <c r="S610" s="6" t="s">
        <v>147</v>
      </c>
      <c r="T610" s="6" t="s">
        <v>250</v>
      </c>
      <c r="U610" s="6" t="s">
        <v>152</v>
      </c>
      <c r="V610" s="6" t="s">
        <v>246</v>
      </c>
      <c r="W610" s="6" t="s">
        <v>932</v>
      </c>
      <c r="X610" s="6" t="s">
        <v>257</v>
      </c>
      <c r="Y610" s="6" t="s">
        <v>162</v>
      </c>
      <c r="Z610" s="6" t="s">
        <v>165</v>
      </c>
      <c r="AA610" s="6" t="s">
        <v>262</v>
      </c>
      <c r="AB610" s="6" t="s">
        <v>521</v>
      </c>
      <c r="AC610" s="6" t="s">
        <v>174</v>
      </c>
      <c r="AD610" s="6" t="s">
        <v>175</v>
      </c>
      <c r="AE610" s="6" t="s">
        <v>271</v>
      </c>
      <c r="AF610" s="6" t="s">
        <v>181</v>
      </c>
      <c r="AG610" s="6" t="s">
        <v>182</v>
      </c>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row>
    <row r="611" ht="22.5" customHeight="1">
      <c r="A611" s="4">
        <v>46229.7001446875</v>
      </c>
      <c r="B611" s="5">
        <v>0.0</v>
      </c>
      <c r="C611" s="6" t="s">
        <v>114</v>
      </c>
      <c r="D611" s="6" t="s">
        <v>1396</v>
      </c>
      <c r="E611" s="6" t="s">
        <v>1397</v>
      </c>
      <c r="F611" s="6">
        <v>6.9070502462E10</v>
      </c>
      <c r="G611" s="6" t="s">
        <v>122</v>
      </c>
      <c r="H611" s="7"/>
      <c r="I611" s="6" t="s">
        <v>5584</v>
      </c>
      <c r="J611" s="6" t="s">
        <v>7247</v>
      </c>
      <c r="K611" s="6" t="s">
        <v>7231</v>
      </c>
      <c r="L611" s="6" t="s">
        <v>7340</v>
      </c>
      <c r="M611" s="6" t="s">
        <v>7232</v>
      </c>
      <c r="N611" s="6" t="s">
        <v>7341</v>
      </c>
      <c r="O611" s="6" t="s">
        <v>7342</v>
      </c>
      <c r="P611" s="6" t="s">
        <v>7343</v>
      </c>
      <c r="Q611" s="6" t="s">
        <v>7344</v>
      </c>
      <c r="R611" s="6" t="s">
        <v>257</v>
      </c>
      <c r="S611" s="6" t="s">
        <v>147</v>
      </c>
      <c r="T611" s="6" t="s">
        <v>250</v>
      </c>
      <c r="U611" s="6" t="s">
        <v>152</v>
      </c>
      <c r="V611" s="6" t="s">
        <v>246</v>
      </c>
      <c r="W611" s="6" t="s">
        <v>158</v>
      </c>
      <c r="X611" s="6" t="s">
        <v>257</v>
      </c>
      <c r="Y611" s="6" t="s">
        <v>162</v>
      </c>
      <c r="Z611" s="6" t="s">
        <v>165</v>
      </c>
      <c r="AA611" s="6" t="s">
        <v>168</v>
      </c>
      <c r="AB611" s="6" t="s">
        <v>171</v>
      </c>
      <c r="AC611" s="6" t="s">
        <v>174</v>
      </c>
      <c r="AD611" s="6" t="s">
        <v>175</v>
      </c>
      <c r="AE611" s="6" t="s">
        <v>271</v>
      </c>
      <c r="AF611" s="6" t="s">
        <v>181</v>
      </c>
      <c r="AG611" s="6" t="s">
        <v>182</v>
      </c>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row>
    <row r="612" ht="22.5" customHeight="1">
      <c r="A612" s="4">
        <v>46229.70016258102</v>
      </c>
      <c r="B612" s="5">
        <v>0.0</v>
      </c>
      <c r="C612" s="6" t="s">
        <v>114</v>
      </c>
      <c r="D612" s="6" t="s">
        <v>60</v>
      </c>
      <c r="E612" s="6" t="s">
        <v>1398</v>
      </c>
      <c r="F612" s="6">
        <v>6.9070500247E10</v>
      </c>
      <c r="G612" s="6" t="s">
        <v>599</v>
      </c>
      <c r="H612" s="7"/>
      <c r="I612" s="6" t="s">
        <v>5740</v>
      </c>
      <c r="J612" s="6" t="s">
        <v>3035</v>
      </c>
      <c r="K612" s="6" t="s">
        <v>3162</v>
      </c>
      <c r="L612" s="6" t="s">
        <v>7345</v>
      </c>
      <c r="M612" s="6" t="s">
        <v>7346</v>
      </c>
      <c r="N612" s="7"/>
      <c r="O612" s="6" t="s">
        <v>7347</v>
      </c>
      <c r="P612" s="6" t="s">
        <v>7348</v>
      </c>
      <c r="Q612" s="6" t="s">
        <v>7349</v>
      </c>
      <c r="R612" s="6" t="s">
        <v>246</v>
      </c>
      <c r="S612" s="6" t="s">
        <v>147</v>
      </c>
      <c r="T612" s="6" t="s">
        <v>250</v>
      </c>
      <c r="U612" s="6" t="s">
        <v>560</v>
      </c>
      <c r="V612" s="6" t="s">
        <v>246</v>
      </c>
      <c r="W612" s="6" t="s">
        <v>158</v>
      </c>
      <c r="X612" s="6" t="s">
        <v>257</v>
      </c>
      <c r="Y612" s="6" t="s">
        <v>162</v>
      </c>
      <c r="Z612" s="6" t="s">
        <v>165</v>
      </c>
      <c r="AA612" s="6" t="s">
        <v>262</v>
      </c>
      <c r="AB612" s="6" t="s">
        <v>171</v>
      </c>
      <c r="AC612" s="6" t="s">
        <v>174</v>
      </c>
      <c r="AD612" s="6" t="s">
        <v>175</v>
      </c>
      <c r="AE612" s="6" t="s">
        <v>271</v>
      </c>
      <c r="AF612" s="6" t="s">
        <v>181</v>
      </c>
      <c r="AG612" s="6" t="s">
        <v>182</v>
      </c>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row>
    <row r="613" ht="22.5" customHeight="1">
      <c r="A613" s="4">
        <v>46229.70016578704</v>
      </c>
      <c r="B613" s="5">
        <v>0.0</v>
      </c>
      <c r="C613" s="6" t="s">
        <v>114</v>
      </c>
      <c r="D613" s="6" t="s">
        <v>1399</v>
      </c>
      <c r="E613" s="6" t="s">
        <v>1400</v>
      </c>
      <c r="F613" s="6">
        <v>6.9070508233E10</v>
      </c>
      <c r="G613" s="6" t="s">
        <v>730</v>
      </c>
      <c r="H613" s="7"/>
      <c r="I613" s="6" t="s">
        <v>7350</v>
      </c>
      <c r="J613" s="6" t="s">
        <v>7351</v>
      </c>
      <c r="K613" s="6" t="s">
        <v>7352</v>
      </c>
      <c r="L613" s="6" t="s">
        <v>6804</v>
      </c>
      <c r="M613" s="6" t="s">
        <v>7353</v>
      </c>
      <c r="N613" s="7"/>
      <c r="O613" s="6" t="s">
        <v>7354</v>
      </c>
      <c r="P613" s="6" t="s">
        <v>7355</v>
      </c>
      <c r="Q613" s="6" t="s">
        <v>7356</v>
      </c>
      <c r="R613" s="6" t="s">
        <v>246</v>
      </c>
      <c r="S613" s="6" t="s">
        <v>147</v>
      </c>
      <c r="T613" s="6" t="s">
        <v>250</v>
      </c>
      <c r="U613" s="6" t="s">
        <v>252</v>
      </c>
      <c r="V613" s="6" t="s">
        <v>246</v>
      </c>
      <c r="W613" s="6" t="s">
        <v>158</v>
      </c>
      <c r="X613" s="6" t="s">
        <v>257</v>
      </c>
      <c r="Y613" s="6" t="s">
        <v>162</v>
      </c>
      <c r="Z613" s="6" t="s">
        <v>165</v>
      </c>
      <c r="AA613" s="6" t="s">
        <v>262</v>
      </c>
      <c r="AB613" s="6" t="s">
        <v>521</v>
      </c>
      <c r="AC613" s="6" t="s">
        <v>174</v>
      </c>
      <c r="AD613" s="6" t="s">
        <v>175</v>
      </c>
      <c r="AE613" s="6" t="s">
        <v>271</v>
      </c>
      <c r="AF613" s="6" t="s">
        <v>181</v>
      </c>
      <c r="AG613" s="6" t="s">
        <v>182</v>
      </c>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row>
    <row r="614" ht="22.5" customHeight="1">
      <c r="A614" s="4">
        <v>46229.70016707176</v>
      </c>
      <c r="B614" s="5">
        <v>0.0</v>
      </c>
      <c r="C614" s="6" t="s">
        <v>114</v>
      </c>
      <c r="D614" s="6" t="s">
        <v>1401</v>
      </c>
      <c r="E614" s="6" t="s">
        <v>1402</v>
      </c>
      <c r="F614" s="6">
        <v>6.907050081E10</v>
      </c>
      <c r="G614" s="6" t="s">
        <v>496</v>
      </c>
      <c r="H614" s="6" t="s">
        <v>2633</v>
      </c>
      <c r="I614" s="6" t="s">
        <v>7357</v>
      </c>
      <c r="J614" s="6" t="s">
        <v>7358</v>
      </c>
      <c r="K614" s="6" t="s">
        <v>7359</v>
      </c>
      <c r="L614" s="6" t="s">
        <v>1802</v>
      </c>
      <c r="M614" s="6" t="s">
        <v>7360</v>
      </c>
      <c r="N614" s="6" t="s">
        <v>7361</v>
      </c>
      <c r="O614" s="6" t="s">
        <v>7362</v>
      </c>
      <c r="P614" s="6" t="s">
        <v>7363</v>
      </c>
      <c r="Q614" s="6" t="s">
        <v>7364</v>
      </c>
      <c r="R614" s="6" t="s">
        <v>246</v>
      </c>
      <c r="S614" s="6" t="s">
        <v>1148</v>
      </c>
      <c r="T614" s="6" t="s">
        <v>149</v>
      </c>
      <c r="U614" s="6" t="s">
        <v>152</v>
      </c>
      <c r="V614" s="6" t="s">
        <v>155</v>
      </c>
      <c r="W614" s="6" t="s">
        <v>158</v>
      </c>
      <c r="X614" s="6" t="s">
        <v>161</v>
      </c>
      <c r="Y614" s="6" t="s">
        <v>162</v>
      </c>
      <c r="Z614" s="6" t="s">
        <v>165</v>
      </c>
      <c r="AA614" s="6" t="s">
        <v>262</v>
      </c>
      <c r="AB614" s="6" t="s">
        <v>3847</v>
      </c>
      <c r="AC614" s="6" t="s">
        <v>633</v>
      </c>
      <c r="AD614" s="6" t="s">
        <v>635</v>
      </c>
      <c r="AE614" s="6" t="s">
        <v>178</v>
      </c>
      <c r="AF614" s="6" t="s">
        <v>181</v>
      </c>
      <c r="AG614" s="6" t="s">
        <v>1326</v>
      </c>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row>
    <row r="615" ht="22.5" customHeight="1">
      <c r="A615" s="4">
        <v>46229.7001827662</v>
      </c>
      <c r="B615" s="5">
        <v>0.0</v>
      </c>
      <c r="C615" s="6" t="s">
        <v>114</v>
      </c>
      <c r="D615" s="6" t="s">
        <v>1403</v>
      </c>
      <c r="E615" s="6" t="s">
        <v>1404</v>
      </c>
      <c r="F615" s="6">
        <v>6.9070500854E10</v>
      </c>
      <c r="G615" s="6" t="s">
        <v>496</v>
      </c>
      <c r="H615" s="7"/>
      <c r="I615" s="6" t="s">
        <v>7365</v>
      </c>
      <c r="J615" s="6" t="s">
        <v>7366</v>
      </c>
      <c r="K615" s="6" t="s">
        <v>7367</v>
      </c>
      <c r="L615" s="6" t="s">
        <v>7368</v>
      </c>
      <c r="M615" s="6" t="s">
        <v>7369</v>
      </c>
      <c r="N615" s="6" t="s">
        <v>7370</v>
      </c>
      <c r="O615" s="6" t="s">
        <v>7371</v>
      </c>
      <c r="P615" s="6" t="s">
        <v>7372</v>
      </c>
      <c r="Q615" s="6" t="s">
        <v>7373</v>
      </c>
      <c r="R615" s="6" t="s">
        <v>145</v>
      </c>
      <c r="S615" s="6" t="s">
        <v>147</v>
      </c>
      <c r="T615" s="6" t="s">
        <v>250</v>
      </c>
      <c r="U615" s="6" t="s">
        <v>560</v>
      </c>
      <c r="V615" s="6" t="s">
        <v>246</v>
      </c>
      <c r="W615" s="6" t="s">
        <v>158</v>
      </c>
      <c r="X615" s="6" t="s">
        <v>257</v>
      </c>
      <c r="Y615" s="6" t="s">
        <v>162</v>
      </c>
      <c r="Z615" s="6" t="s">
        <v>165</v>
      </c>
      <c r="AA615" s="6" t="s">
        <v>262</v>
      </c>
      <c r="AB615" s="6" t="s">
        <v>521</v>
      </c>
      <c r="AC615" s="6" t="s">
        <v>174</v>
      </c>
      <c r="AD615" s="6" t="s">
        <v>175</v>
      </c>
      <c r="AE615" s="6" t="s">
        <v>271</v>
      </c>
      <c r="AF615" s="6" t="s">
        <v>181</v>
      </c>
      <c r="AG615" s="6" t="s">
        <v>182</v>
      </c>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row>
    <row r="616" ht="22.5" customHeight="1">
      <c r="A616" s="4">
        <v>46229.7001850463</v>
      </c>
      <c r="B616" s="5">
        <v>0.0</v>
      </c>
      <c r="C616" s="6" t="s">
        <v>114</v>
      </c>
      <c r="D616" s="6" t="s">
        <v>1405</v>
      </c>
      <c r="E616" s="6" t="s">
        <v>1406</v>
      </c>
      <c r="F616" s="6">
        <v>6.907050088E10</v>
      </c>
      <c r="G616" s="6" t="s">
        <v>496</v>
      </c>
      <c r="H616" s="7"/>
      <c r="I616" s="6" t="s">
        <v>7374</v>
      </c>
      <c r="J616" s="6" t="s">
        <v>7375</v>
      </c>
      <c r="K616" s="6" t="s">
        <v>7376</v>
      </c>
      <c r="L616" s="6" t="s">
        <v>7377</v>
      </c>
      <c r="M616" s="6" t="s">
        <v>7378</v>
      </c>
      <c r="N616" s="7"/>
      <c r="O616" s="6" t="s">
        <v>7379</v>
      </c>
      <c r="P616" s="6" t="s">
        <v>7380</v>
      </c>
      <c r="Q616" s="6" t="s">
        <v>7381</v>
      </c>
      <c r="R616" s="6" t="s">
        <v>246</v>
      </c>
      <c r="S616" s="6" t="s">
        <v>147</v>
      </c>
      <c r="T616" s="6" t="s">
        <v>250</v>
      </c>
      <c r="U616" s="6" t="s">
        <v>252</v>
      </c>
      <c r="V616" s="6" t="s">
        <v>246</v>
      </c>
      <c r="W616" s="6" t="s">
        <v>158</v>
      </c>
      <c r="X616" s="6" t="s">
        <v>257</v>
      </c>
      <c r="Y616" s="6" t="s">
        <v>162</v>
      </c>
      <c r="Z616" s="6" t="s">
        <v>165</v>
      </c>
      <c r="AA616" s="6" t="s">
        <v>262</v>
      </c>
      <c r="AB616" s="6" t="s">
        <v>521</v>
      </c>
      <c r="AC616" s="6" t="s">
        <v>174</v>
      </c>
      <c r="AD616" s="6" t="s">
        <v>175</v>
      </c>
      <c r="AE616" s="6" t="s">
        <v>271</v>
      </c>
      <c r="AF616" s="6" t="s">
        <v>181</v>
      </c>
      <c r="AG616" s="6" t="s">
        <v>182</v>
      </c>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row>
    <row r="617" ht="22.5" customHeight="1">
      <c r="A617" s="4">
        <v>46229.7002003588</v>
      </c>
      <c r="B617" s="5">
        <v>0.0</v>
      </c>
      <c r="C617" s="6" t="s">
        <v>114</v>
      </c>
      <c r="D617" s="6" t="s">
        <v>1320</v>
      </c>
      <c r="E617" s="6" t="s">
        <v>1407</v>
      </c>
      <c r="F617" s="6">
        <v>6.907050523E10</v>
      </c>
      <c r="G617" s="6" t="s">
        <v>1470</v>
      </c>
      <c r="H617" s="7"/>
      <c r="I617" s="6" t="s">
        <v>7382</v>
      </c>
      <c r="J617" s="6" t="s">
        <v>6002</v>
      </c>
      <c r="K617" s="6" t="s">
        <v>7383</v>
      </c>
      <c r="L617" s="6" t="s">
        <v>7384</v>
      </c>
      <c r="M617" s="6" t="s">
        <v>7385</v>
      </c>
      <c r="N617" s="7"/>
      <c r="O617" s="6" t="s">
        <v>7386</v>
      </c>
      <c r="P617" s="6" t="s">
        <v>7387</v>
      </c>
      <c r="Q617" s="6" t="s">
        <v>7388</v>
      </c>
      <c r="R617" s="6" t="s">
        <v>246</v>
      </c>
      <c r="S617" s="6" t="s">
        <v>147</v>
      </c>
      <c r="T617" s="6" t="s">
        <v>250</v>
      </c>
      <c r="U617" s="6" t="s">
        <v>686</v>
      </c>
      <c r="V617" s="6" t="s">
        <v>246</v>
      </c>
      <c r="W617" s="6" t="s">
        <v>158</v>
      </c>
      <c r="X617" s="6" t="s">
        <v>257</v>
      </c>
      <c r="Y617" s="6" t="s">
        <v>162</v>
      </c>
      <c r="Z617" s="6" t="s">
        <v>165</v>
      </c>
      <c r="AA617" s="6" t="s">
        <v>262</v>
      </c>
      <c r="AB617" s="6" t="s">
        <v>521</v>
      </c>
      <c r="AC617" s="6" t="s">
        <v>174</v>
      </c>
      <c r="AD617" s="6" t="s">
        <v>175</v>
      </c>
      <c r="AE617" s="6" t="s">
        <v>271</v>
      </c>
      <c r="AF617" s="6" t="s">
        <v>181</v>
      </c>
      <c r="AG617" s="6" t="s">
        <v>182</v>
      </c>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row>
    <row r="618" ht="22.5" customHeight="1">
      <c r="A618" s="4">
        <v>46229.700203113425</v>
      </c>
      <c r="B618" s="5">
        <v>0.0</v>
      </c>
      <c r="C618" s="6" t="s">
        <v>114</v>
      </c>
      <c r="D618" s="6" t="s">
        <v>1408</v>
      </c>
      <c r="E618" s="6" t="s">
        <v>1409</v>
      </c>
      <c r="F618" s="6">
        <v>6.9070506476E10</v>
      </c>
      <c r="G618" s="6" t="s">
        <v>599</v>
      </c>
      <c r="H618" s="6" t="s">
        <v>2633</v>
      </c>
      <c r="I618" s="6" t="s">
        <v>7389</v>
      </c>
      <c r="J618" s="6" t="s">
        <v>7389</v>
      </c>
      <c r="K618" s="6" t="s">
        <v>7389</v>
      </c>
      <c r="L618" s="6" t="s">
        <v>7389</v>
      </c>
      <c r="M618" s="6" t="s">
        <v>7389</v>
      </c>
      <c r="N618" s="6" t="s">
        <v>7389</v>
      </c>
      <c r="O618" s="6" t="s">
        <v>7390</v>
      </c>
      <c r="P618" s="6" t="s">
        <v>7391</v>
      </c>
      <c r="Q618" s="6" t="s">
        <v>7392</v>
      </c>
      <c r="R618" s="6" t="s">
        <v>246</v>
      </c>
      <c r="S618" s="6" t="s">
        <v>147</v>
      </c>
      <c r="T618" s="6" t="s">
        <v>250</v>
      </c>
      <c r="U618" s="6" t="s">
        <v>252</v>
      </c>
      <c r="V618" s="6" t="s">
        <v>246</v>
      </c>
      <c r="W618" s="6" t="s">
        <v>158</v>
      </c>
      <c r="X618" s="6" t="s">
        <v>257</v>
      </c>
      <c r="Y618" s="6" t="s">
        <v>162</v>
      </c>
      <c r="Z618" s="6" t="s">
        <v>165</v>
      </c>
      <c r="AA618" s="6" t="s">
        <v>262</v>
      </c>
      <c r="AB618" s="6" t="s">
        <v>521</v>
      </c>
      <c r="AC618" s="6" t="s">
        <v>174</v>
      </c>
      <c r="AD618" s="6" t="s">
        <v>175</v>
      </c>
      <c r="AE618" s="6" t="s">
        <v>178</v>
      </c>
      <c r="AF618" s="6" t="s">
        <v>181</v>
      </c>
      <c r="AG618" s="6" t="s">
        <v>182</v>
      </c>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row>
    <row r="619" ht="22.5" customHeight="1">
      <c r="A619" s="4">
        <v>46229.70020398148</v>
      </c>
      <c r="B619" s="5">
        <v>0.0</v>
      </c>
      <c r="C619" s="6" t="s">
        <v>114</v>
      </c>
      <c r="D619" s="6" t="s">
        <v>1410</v>
      </c>
      <c r="E619" s="6" t="s">
        <v>1411</v>
      </c>
      <c r="F619" s="6">
        <v>6.9070500828E10</v>
      </c>
      <c r="G619" s="6" t="s">
        <v>496</v>
      </c>
      <c r="H619" s="7"/>
      <c r="I619" s="6" t="s">
        <v>7393</v>
      </c>
      <c r="J619" s="6" t="s">
        <v>7394</v>
      </c>
      <c r="K619" s="6" t="s">
        <v>7395</v>
      </c>
      <c r="L619" s="6" t="s">
        <v>7396</v>
      </c>
      <c r="M619" s="6" t="s">
        <v>7397</v>
      </c>
      <c r="N619" s="7"/>
      <c r="O619" s="6" t="s">
        <v>7398</v>
      </c>
      <c r="P619" s="6" t="s">
        <v>7399</v>
      </c>
      <c r="Q619" s="6" t="s">
        <v>7400</v>
      </c>
      <c r="R619" s="6" t="s">
        <v>246</v>
      </c>
      <c r="S619" s="6" t="s">
        <v>147</v>
      </c>
      <c r="T619" s="6" t="s">
        <v>250</v>
      </c>
      <c r="U619" s="6" t="s">
        <v>252</v>
      </c>
      <c r="V619" s="6" t="s">
        <v>246</v>
      </c>
      <c r="W619" s="6" t="s">
        <v>158</v>
      </c>
      <c r="X619" s="6" t="s">
        <v>257</v>
      </c>
      <c r="Y619" s="6" t="s">
        <v>162</v>
      </c>
      <c r="Z619" s="6" t="s">
        <v>165</v>
      </c>
      <c r="AA619" s="6" t="s">
        <v>262</v>
      </c>
      <c r="AB619" s="6" t="s">
        <v>171</v>
      </c>
      <c r="AC619" s="6" t="s">
        <v>174</v>
      </c>
      <c r="AD619" s="6" t="s">
        <v>175</v>
      </c>
      <c r="AE619" s="6" t="s">
        <v>524</v>
      </c>
      <c r="AF619" s="6" t="s">
        <v>181</v>
      </c>
      <c r="AG619" s="6" t="s">
        <v>182</v>
      </c>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row>
    <row r="620" ht="22.5" customHeight="1">
      <c r="A620" s="4">
        <v>46229.70021517361</v>
      </c>
      <c r="B620" s="5">
        <v>0.0</v>
      </c>
      <c r="C620" s="6" t="s">
        <v>114</v>
      </c>
      <c r="D620" s="6" t="s">
        <v>1412</v>
      </c>
      <c r="E620" s="6" t="s">
        <v>1413</v>
      </c>
      <c r="F620" s="6">
        <v>6.9070502436E10</v>
      </c>
      <c r="G620" s="6" t="s">
        <v>122</v>
      </c>
      <c r="H620" s="7"/>
      <c r="I620" s="6" t="s">
        <v>4462</v>
      </c>
      <c r="J620" s="6" t="s">
        <v>7401</v>
      </c>
      <c r="K620" s="6" t="s">
        <v>4888</v>
      </c>
      <c r="L620" s="6" t="s">
        <v>4482</v>
      </c>
      <c r="M620" s="6" t="s">
        <v>4481</v>
      </c>
      <c r="N620" s="7"/>
      <c r="O620" s="6" t="s">
        <v>7402</v>
      </c>
      <c r="P620" s="6" t="s">
        <v>7403</v>
      </c>
      <c r="Q620" s="6" t="s">
        <v>7404</v>
      </c>
      <c r="R620" s="6" t="s">
        <v>246</v>
      </c>
      <c r="S620" s="6" t="s">
        <v>147</v>
      </c>
      <c r="T620" s="6" t="s">
        <v>250</v>
      </c>
      <c r="U620" s="6" t="s">
        <v>560</v>
      </c>
      <c r="V620" s="6" t="s">
        <v>246</v>
      </c>
      <c r="W620" s="6" t="s">
        <v>158</v>
      </c>
      <c r="X620" s="6" t="s">
        <v>257</v>
      </c>
      <c r="Y620" s="6" t="s">
        <v>162</v>
      </c>
      <c r="Z620" s="6" t="s">
        <v>165</v>
      </c>
      <c r="AA620" s="6" t="s">
        <v>262</v>
      </c>
      <c r="AB620" s="6" t="s">
        <v>171</v>
      </c>
      <c r="AC620" s="6" t="s">
        <v>174</v>
      </c>
      <c r="AD620" s="6" t="s">
        <v>175</v>
      </c>
      <c r="AE620" s="6" t="s">
        <v>271</v>
      </c>
      <c r="AF620" s="6" t="s">
        <v>181</v>
      </c>
      <c r="AG620" s="6" t="s">
        <v>182</v>
      </c>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row>
    <row r="621" ht="22.5" customHeight="1">
      <c r="A621" s="4">
        <v>46229.7002159375</v>
      </c>
      <c r="B621" s="5">
        <v>0.0</v>
      </c>
      <c r="C621" s="6" t="s">
        <v>114</v>
      </c>
      <c r="D621" s="6" t="s">
        <v>1414</v>
      </c>
      <c r="E621" s="6" t="s">
        <v>1415</v>
      </c>
      <c r="F621" s="6">
        <v>6.9070509454E10</v>
      </c>
      <c r="G621" s="6" t="s">
        <v>122</v>
      </c>
      <c r="H621" s="7"/>
      <c r="I621" s="6" t="s">
        <v>7405</v>
      </c>
      <c r="J621" s="6" t="s">
        <v>7406</v>
      </c>
      <c r="K621" s="6" t="s">
        <v>7407</v>
      </c>
      <c r="L621" s="6" t="s">
        <v>7408</v>
      </c>
      <c r="M621" s="6" t="s">
        <v>7409</v>
      </c>
      <c r="N621" s="7"/>
      <c r="O621" s="6" t="s">
        <v>7410</v>
      </c>
      <c r="P621" s="6" t="s">
        <v>7411</v>
      </c>
      <c r="Q621" s="6" t="s">
        <v>7412</v>
      </c>
      <c r="R621" s="6" t="s">
        <v>246</v>
      </c>
      <c r="S621" s="6" t="s">
        <v>147</v>
      </c>
      <c r="T621" s="6" t="s">
        <v>149</v>
      </c>
      <c r="U621" s="6" t="s">
        <v>686</v>
      </c>
      <c r="V621" s="6" t="s">
        <v>246</v>
      </c>
      <c r="W621" s="6" t="s">
        <v>158</v>
      </c>
      <c r="X621" s="6" t="s">
        <v>257</v>
      </c>
      <c r="Y621" s="6" t="s">
        <v>162</v>
      </c>
      <c r="Z621" s="6" t="s">
        <v>165</v>
      </c>
      <c r="AA621" s="6" t="s">
        <v>262</v>
      </c>
      <c r="AB621" s="6" t="s">
        <v>521</v>
      </c>
      <c r="AC621" s="6" t="s">
        <v>174</v>
      </c>
      <c r="AD621" s="6" t="s">
        <v>175</v>
      </c>
      <c r="AE621" s="6" t="s">
        <v>271</v>
      </c>
      <c r="AF621" s="6" t="s">
        <v>181</v>
      </c>
      <c r="AG621" s="6" t="s">
        <v>182</v>
      </c>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row>
    <row r="622" ht="22.5" customHeight="1">
      <c r="A622" s="4">
        <v>46229.700216261575</v>
      </c>
      <c r="B622" s="5">
        <v>0.0</v>
      </c>
      <c r="C622" s="6" t="s">
        <v>114</v>
      </c>
      <c r="D622" s="6" t="s">
        <v>1417</v>
      </c>
      <c r="E622" s="6" t="s">
        <v>1418</v>
      </c>
      <c r="F622" s="6">
        <v>6.907050961E10</v>
      </c>
      <c r="G622" s="6" t="s">
        <v>730</v>
      </c>
      <c r="H622" s="7"/>
      <c r="I622" s="6" t="s">
        <v>7413</v>
      </c>
      <c r="J622" s="6" t="s">
        <v>7414</v>
      </c>
      <c r="K622" s="6" t="s">
        <v>7415</v>
      </c>
      <c r="L622" s="6" t="s">
        <v>7416</v>
      </c>
      <c r="M622" s="6" t="s">
        <v>7417</v>
      </c>
      <c r="N622" s="6" t="s">
        <v>7418</v>
      </c>
      <c r="O622" s="6" t="s">
        <v>7419</v>
      </c>
      <c r="P622" s="6" t="s">
        <v>7420</v>
      </c>
      <c r="Q622" s="6" t="s">
        <v>7421</v>
      </c>
      <c r="R622" s="6" t="s">
        <v>257</v>
      </c>
      <c r="S622" s="6" t="s">
        <v>147</v>
      </c>
      <c r="T622" s="6" t="s">
        <v>250</v>
      </c>
      <c r="U622" s="6" t="s">
        <v>2254</v>
      </c>
      <c r="V622" s="6" t="s">
        <v>246</v>
      </c>
      <c r="W622" s="6" t="s">
        <v>158</v>
      </c>
      <c r="X622" s="6" t="s">
        <v>257</v>
      </c>
      <c r="Y622" s="6" t="s">
        <v>162</v>
      </c>
      <c r="Z622" s="6" t="s">
        <v>165</v>
      </c>
      <c r="AA622" s="6" t="s">
        <v>641</v>
      </c>
      <c r="AB622" s="6" t="s">
        <v>521</v>
      </c>
      <c r="AC622" s="6" t="s">
        <v>1210</v>
      </c>
      <c r="AD622" s="6" t="s">
        <v>635</v>
      </c>
      <c r="AE622" s="6" t="s">
        <v>524</v>
      </c>
      <c r="AF622" s="6" t="s">
        <v>181</v>
      </c>
      <c r="AG622" s="6" t="s">
        <v>182</v>
      </c>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row>
    <row r="623" ht="22.5" customHeight="1">
      <c r="A623" s="4">
        <v>46229.70021783565</v>
      </c>
      <c r="B623" s="5">
        <v>0.0</v>
      </c>
      <c r="C623" s="6" t="s">
        <v>3296</v>
      </c>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6" t="s">
        <v>2689</v>
      </c>
      <c r="AI623" s="6" t="s">
        <v>2690</v>
      </c>
      <c r="AJ623" s="6">
        <v>6.9070509026E10</v>
      </c>
      <c r="AK623" s="6" t="s">
        <v>5042</v>
      </c>
      <c r="AL623" s="6" t="s">
        <v>6911</v>
      </c>
      <c r="AM623" s="6" t="s">
        <v>7422</v>
      </c>
      <c r="AN623" s="6" t="s">
        <v>7423</v>
      </c>
      <c r="AO623" s="6" t="s">
        <v>7424</v>
      </c>
      <c r="AP623" s="6" t="s">
        <v>7425</v>
      </c>
      <c r="AQ623" s="6" t="s">
        <v>7426</v>
      </c>
      <c r="AR623" s="7"/>
      <c r="AS623" s="6" t="s">
        <v>7427</v>
      </c>
      <c r="AT623" s="6" t="s">
        <v>7428</v>
      </c>
      <c r="AU623" s="6" t="s">
        <v>7429</v>
      </c>
      <c r="AV623" s="6" t="s">
        <v>3312</v>
      </c>
      <c r="AW623" s="6" t="s">
        <v>3307</v>
      </c>
      <c r="AX623" s="6" t="s">
        <v>3887</v>
      </c>
      <c r="AY623" s="6" t="s">
        <v>804</v>
      </c>
      <c r="AZ623" s="6" t="s">
        <v>3306</v>
      </c>
      <c r="BA623" s="6" t="s">
        <v>7430</v>
      </c>
      <c r="BB623" s="6" t="s">
        <v>3306</v>
      </c>
      <c r="BC623" s="6" t="s">
        <v>7431</v>
      </c>
      <c r="BD623" s="6" t="s">
        <v>629</v>
      </c>
      <c r="BE623" s="6" t="s">
        <v>5761</v>
      </c>
      <c r="BF623" s="6" t="s">
        <v>3889</v>
      </c>
      <c r="BG623" s="6" t="s">
        <v>4342</v>
      </c>
      <c r="BH623" s="6" t="s">
        <v>3317</v>
      </c>
      <c r="BI623" s="6" t="s">
        <v>524</v>
      </c>
      <c r="BJ623" s="6" t="s">
        <v>5247</v>
      </c>
      <c r="BK623" s="6" t="s">
        <v>3319</v>
      </c>
    </row>
    <row r="624" ht="22.5" customHeight="1">
      <c r="A624" s="4">
        <v>46229.70021920139</v>
      </c>
      <c r="B624" s="5">
        <v>0.0</v>
      </c>
      <c r="C624" s="6" t="s">
        <v>114</v>
      </c>
      <c r="D624" s="6" t="s">
        <v>1420</v>
      </c>
      <c r="E624" s="6" t="s">
        <v>1421</v>
      </c>
      <c r="F624" s="6">
        <v>6.9070509847E10</v>
      </c>
      <c r="G624" s="6" t="s">
        <v>496</v>
      </c>
      <c r="H624" s="7"/>
      <c r="I624" s="6" t="s">
        <v>7432</v>
      </c>
      <c r="J624" s="6" t="s">
        <v>7433</v>
      </c>
      <c r="K624" s="6" t="s">
        <v>7434</v>
      </c>
      <c r="L624" s="6" t="s">
        <v>7435</v>
      </c>
      <c r="M624" s="6" t="s">
        <v>7436</v>
      </c>
      <c r="N624" s="7"/>
      <c r="O624" s="6" t="s">
        <v>7437</v>
      </c>
      <c r="P624" s="6" t="s">
        <v>7438</v>
      </c>
      <c r="Q624" s="6" t="s">
        <v>7439</v>
      </c>
      <c r="R624" s="6" t="s">
        <v>246</v>
      </c>
      <c r="S624" s="6" t="s">
        <v>147</v>
      </c>
      <c r="T624" s="6" t="s">
        <v>250</v>
      </c>
      <c r="U624" s="6" t="s">
        <v>686</v>
      </c>
      <c r="V624" s="6" t="s">
        <v>246</v>
      </c>
      <c r="W624" s="6" t="s">
        <v>158</v>
      </c>
      <c r="X624" s="6" t="s">
        <v>257</v>
      </c>
      <c r="Y624" s="6" t="s">
        <v>162</v>
      </c>
      <c r="Z624" s="6" t="s">
        <v>165</v>
      </c>
      <c r="AA624" s="6" t="s">
        <v>262</v>
      </c>
      <c r="AB624" s="6" t="s">
        <v>171</v>
      </c>
      <c r="AC624" s="6" t="s">
        <v>174</v>
      </c>
      <c r="AD624" s="6" t="s">
        <v>175</v>
      </c>
      <c r="AE624" s="6" t="s">
        <v>271</v>
      </c>
      <c r="AF624" s="6" t="s">
        <v>181</v>
      </c>
      <c r="AG624" s="6" t="s">
        <v>182</v>
      </c>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row>
    <row r="625" ht="22.5" customHeight="1">
      <c r="A625" s="4">
        <v>46229.70023021991</v>
      </c>
      <c r="B625" s="5">
        <v>0.0</v>
      </c>
      <c r="C625" s="6" t="s">
        <v>114</v>
      </c>
      <c r="D625" s="6" t="s">
        <v>1424</v>
      </c>
      <c r="E625" s="6" t="s">
        <v>1426</v>
      </c>
      <c r="F625" s="6">
        <v>6.9070509408E10</v>
      </c>
      <c r="G625" s="6" t="s">
        <v>122</v>
      </c>
      <c r="H625" s="6" t="s">
        <v>7440</v>
      </c>
      <c r="I625" s="6" t="s">
        <v>7441</v>
      </c>
      <c r="J625" s="6" t="s">
        <v>7442</v>
      </c>
      <c r="K625" s="6" t="s">
        <v>7443</v>
      </c>
      <c r="L625" s="6" t="s">
        <v>7444</v>
      </c>
      <c r="M625" s="6" t="s">
        <v>7445</v>
      </c>
      <c r="N625" s="7"/>
      <c r="O625" s="6" t="s">
        <v>7446</v>
      </c>
      <c r="P625" s="6" t="s">
        <v>7447</v>
      </c>
      <c r="Q625" s="6" t="s">
        <v>7448</v>
      </c>
      <c r="R625" s="6" t="s">
        <v>257</v>
      </c>
      <c r="S625" s="6" t="s">
        <v>147</v>
      </c>
      <c r="T625" s="6" t="s">
        <v>250</v>
      </c>
      <c r="U625" s="6" t="s">
        <v>2254</v>
      </c>
      <c r="V625" s="6" t="s">
        <v>458</v>
      </c>
      <c r="W625" s="6" t="s">
        <v>3463</v>
      </c>
      <c r="X625" s="6" t="s">
        <v>458</v>
      </c>
      <c r="Y625" s="6" t="s">
        <v>162</v>
      </c>
      <c r="Z625" s="6" t="s">
        <v>804</v>
      </c>
      <c r="AA625" s="6" t="s">
        <v>168</v>
      </c>
      <c r="AB625" s="6" t="s">
        <v>1266</v>
      </c>
      <c r="AC625" s="6" t="s">
        <v>633</v>
      </c>
      <c r="AD625" s="6" t="s">
        <v>641</v>
      </c>
      <c r="AE625" s="6" t="s">
        <v>1211</v>
      </c>
      <c r="AF625" s="6" t="s">
        <v>633</v>
      </c>
      <c r="AG625" s="6" t="s">
        <v>641</v>
      </c>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row>
    <row r="626" ht="22.5" customHeight="1">
      <c r="A626" s="4">
        <v>46229.70024046296</v>
      </c>
      <c r="B626" s="5">
        <v>0.0</v>
      </c>
      <c r="C626" s="6" t="s">
        <v>114</v>
      </c>
      <c r="D626" s="6" t="s">
        <v>1429</v>
      </c>
      <c r="E626" s="6" t="s">
        <v>1430</v>
      </c>
      <c r="F626" s="6">
        <v>6.9070502476E10</v>
      </c>
      <c r="G626" s="6" t="s">
        <v>122</v>
      </c>
      <c r="H626" s="7"/>
      <c r="I626" s="6" t="s">
        <v>5652</v>
      </c>
      <c r="J626" s="6" t="s">
        <v>5652</v>
      </c>
      <c r="K626" s="6" t="s">
        <v>7449</v>
      </c>
      <c r="L626" s="6" t="s">
        <v>7450</v>
      </c>
      <c r="M626" s="6" t="s">
        <v>7451</v>
      </c>
      <c r="N626" s="6" t="s">
        <v>7452</v>
      </c>
      <c r="O626" s="6" t="s">
        <v>7453</v>
      </c>
      <c r="P626" s="6" t="s">
        <v>7454</v>
      </c>
      <c r="Q626" s="6" t="s">
        <v>7455</v>
      </c>
      <c r="R626" s="6" t="s">
        <v>246</v>
      </c>
      <c r="S626" s="6" t="s">
        <v>147</v>
      </c>
      <c r="T626" s="6" t="s">
        <v>250</v>
      </c>
      <c r="U626" s="6" t="s">
        <v>252</v>
      </c>
      <c r="V626" s="6" t="s">
        <v>246</v>
      </c>
      <c r="W626" s="6" t="s">
        <v>158</v>
      </c>
      <c r="X626" s="6" t="s">
        <v>257</v>
      </c>
      <c r="Y626" s="6" t="s">
        <v>162</v>
      </c>
      <c r="Z626" s="6" t="s">
        <v>165</v>
      </c>
      <c r="AA626" s="6" t="s">
        <v>262</v>
      </c>
      <c r="AB626" s="6" t="s">
        <v>171</v>
      </c>
      <c r="AC626" s="6" t="s">
        <v>174</v>
      </c>
      <c r="AD626" s="6" t="s">
        <v>175</v>
      </c>
      <c r="AE626" s="6" t="s">
        <v>271</v>
      </c>
      <c r="AF626" s="6" t="s">
        <v>181</v>
      </c>
      <c r="AG626" s="6" t="s">
        <v>182</v>
      </c>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row>
    <row r="627" ht="22.5" customHeight="1">
      <c r="A627" s="4">
        <v>46229.70024774305</v>
      </c>
      <c r="B627" s="5">
        <v>0.0</v>
      </c>
      <c r="C627" s="6" t="s">
        <v>114</v>
      </c>
      <c r="D627" s="6" t="s">
        <v>1431</v>
      </c>
      <c r="E627" s="6" t="s">
        <v>1432</v>
      </c>
      <c r="F627" s="6">
        <v>6.9070501249E10</v>
      </c>
      <c r="G627" s="6" t="s">
        <v>228</v>
      </c>
      <c r="H627" s="7"/>
      <c r="I627" s="6" t="s">
        <v>7456</v>
      </c>
      <c r="J627" s="6" t="s">
        <v>7457</v>
      </c>
      <c r="K627" s="6" t="s">
        <v>7458</v>
      </c>
      <c r="L627" s="6" t="s">
        <v>7459</v>
      </c>
      <c r="M627" s="6" t="s">
        <v>7460</v>
      </c>
      <c r="N627" s="7"/>
      <c r="O627" s="6" t="s">
        <v>7461</v>
      </c>
      <c r="P627" s="6" t="s">
        <v>7462</v>
      </c>
      <c r="Q627" s="6" t="s">
        <v>7463</v>
      </c>
      <c r="R627" s="6" t="s">
        <v>246</v>
      </c>
      <c r="S627" s="6" t="s">
        <v>147</v>
      </c>
      <c r="T627" s="6" t="s">
        <v>246</v>
      </c>
      <c r="U627" s="6" t="s">
        <v>152</v>
      </c>
      <c r="V627" s="6" t="s">
        <v>246</v>
      </c>
      <c r="W627" s="6" t="s">
        <v>158</v>
      </c>
      <c r="X627" s="6" t="s">
        <v>257</v>
      </c>
      <c r="Y627" s="6" t="s">
        <v>162</v>
      </c>
      <c r="Z627" s="6" t="s">
        <v>165</v>
      </c>
      <c r="AA627" s="6" t="s">
        <v>262</v>
      </c>
      <c r="AB627" s="6" t="s">
        <v>521</v>
      </c>
      <c r="AC627" s="6" t="s">
        <v>174</v>
      </c>
      <c r="AD627" s="6" t="s">
        <v>175</v>
      </c>
      <c r="AE627" s="6" t="s">
        <v>524</v>
      </c>
      <c r="AF627" s="6" t="s">
        <v>181</v>
      </c>
      <c r="AG627" s="6" t="s">
        <v>182</v>
      </c>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row>
    <row r="628" ht="22.5" customHeight="1">
      <c r="A628" s="4">
        <v>46229.70024880787</v>
      </c>
      <c r="B628" s="5">
        <v>0.0</v>
      </c>
      <c r="C628" s="6" t="s">
        <v>114</v>
      </c>
      <c r="D628" s="6" t="s">
        <v>1433</v>
      </c>
      <c r="E628" s="6" t="s">
        <v>1434</v>
      </c>
      <c r="F628" s="6">
        <v>6.9070501261E10</v>
      </c>
      <c r="G628" s="6" t="s">
        <v>228</v>
      </c>
      <c r="H628" s="7"/>
      <c r="I628" s="6" t="s">
        <v>3329</v>
      </c>
      <c r="J628" s="6" t="s">
        <v>5996</v>
      </c>
      <c r="K628" s="6" t="s">
        <v>5998</v>
      </c>
      <c r="L628" s="6" t="s">
        <v>7464</v>
      </c>
      <c r="M628" s="6" t="s">
        <v>7465</v>
      </c>
      <c r="N628" s="7"/>
      <c r="O628" s="6" t="s">
        <v>7466</v>
      </c>
      <c r="P628" s="6" t="s">
        <v>7467</v>
      </c>
      <c r="Q628" s="6" t="s">
        <v>7468</v>
      </c>
      <c r="R628" s="6" t="s">
        <v>246</v>
      </c>
      <c r="S628" s="6" t="s">
        <v>147</v>
      </c>
      <c r="T628" s="6" t="s">
        <v>250</v>
      </c>
      <c r="U628" s="6" t="s">
        <v>152</v>
      </c>
      <c r="V628" s="6" t="s">
        <v>246</v>
      </c>
      <c r="W628" s="6" t="s">
        <v>158</v>
      </c>
      <c r="X628" s="6" t="s">
        <v>246</v>
      </c>
      <c r="Y628" s="6" t="s">
        <v>162</v>
      </c>
      <c r="Z628" s="6" t="s">
        <v>165</v>
      </c>
      <c r="AA628" s="6" t="s">
        <v>262</v>
      </c>
      <c r="AB628" s="6" t="s">
        <v>171</v>
      </c>
      <c r="AC628" s="6" t="s">
        <v>174</v>
      </c>
      <c r="AD628" s="6" t="s">
        <v>175</v>
      </c>
      <c r="AE628" s="6" t="s">
        <v>271</v>
      </c>
      <c r="AF628" s="6" t="s">
        <v>181</v>
      </c>
      <c r="AG628" s="6" t="s">
        <v>182</v>
      </c>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row>
    <row r="629" ht="22.5" customHeight="1">
      <c r="A629" s="4">
        <v>46229.70024978009</v>
      </c>
      <c r="B629" s="5">
        <v>0.0</v>
      </c>
      <c r="C629" s="6" t="s">
        <v>3296</v>
      </c>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6" t="s">
        <v>994</v>
      </c>
      <c r="AI629" s="6" t="s">
        <v>2691</v>
      </c>
      <c r="AJ629" s="6">
        <v>6.9070507822E10</v>
      </c>
      <c r="AK629" s="6" t="s">
        <v>5236</v>
      </c>
      <c r="AL629" s="7"/>
      <c r="AM629" s="6" t="s">
        <v>7469</v>
      </c>
      <c r="AN629" s="6" t="s">
        <v>7469</v>
      </c>
      <c r="AO629" s="6" t="s">
        <v>7470</v>
      </c>
      <c r="AP629" s="6" t="s">
        <v>7471</v>
      </c>
      <c r="AQ629" s="6" t="s">
        <v>7472</v>
      </c>
      <c r="AR629" s="7"/>
      <c r="AS629" s="6" t="s">
        <v>7473</v>
      </c>
      <c r="AT629" s="6" t="s">
        <v>7474</v>
      </c>
      <c r="AU629" s="6" t="s">
        <v>7475</v>
      </c>
      <c r="AV629" s="6" t="s">
        <v>3306</v>
      </c>
      <c r="AW629" s="6" t="s">
        <v>3307</v>
      </c>
      <c r="AX629" s="6" t="s">
        <v>3887</v>
      </c>
      <c r="AY629" s="6" t="s">
        <v>3309</v>
      </c>
      <c r="AZ629" s="6" t="s">
        <v>3306</v>
      </c>
      <c r="BA629" s="6" t="s">
        <v>3311</v>
      </c>
      <c r="BB629" s="6" t="s">
        <v>3312</v>
      </c>
      <c r="BC629" s="6" t="s">
        <v>3313</v>
      </c>
      <c r="BD629" s="6" t="s">
        <v>165</v>
      </c>
      <c r="BE629" s="6" t="s">
        <v>3888</v>
      </c>
      <c r="BF629" s="6" t="s">
        <v>7476</v>
      </c>
      <c r="BG629" s="6" t="s">
        <v>4068</v>
      </c>
      <c r="BH629" s="6" t="s">
        <v>3317</v>
      </c>
      <c r="BI629" s="6" t="s">
        <v>271</v>
      </c>
      <c r="BJ629" s="6" t="s">
        <v>3318</v>
      </c>
      <c r="BK629" s="6" t="s">
        <v>3319</v>
      </c>
    </row>
    <row r="630" ht="22.5" customHeight="1">
      <c r="A630" s="4">
        <v>46229.70025010417</v>
      </c>
      <c r="B630" s="5">
        <v>0.0</v>
      </c>
      <c r="C630" s="6" t="s">
        <v>114</v>
      </c>
      <c r="D630" s="6" t="s">
        <v>1435</v>
      </c>
      <c r="E630" s="6" t="s">
        <v>1436</v>
      </c>
      <c r="F630" s="6">
        <v>6.9070502499E10</v>
      </c>
      <c r="G630" s="6" t="s">
        <v>122</v>
      </c>
      <c r="H630" s="7"/>
      <c r="I630" s="6" t="s">
        <v>4482</v>
      </c>
      <c r="J630" s="6" t="s">
        <v>7477</v>
      </c>
      <c r="K630" s="6" t="s">
        <v>4462</v>
      </c>
      <c r="L630" s="6" t="s">
        <v>5938</v>
      </c>
      <c r="M630" s="6" t="s">
        <v>4458</v>
      </c>
      <c r="N630" s="6" t="s">
        <v>7401</v>
      </c>
      <c r="O630" s="6" t="s">
        <v>7478</v>
      </c>
      <c r="P630" s="6" t="s">
        <v>7479</v>
      </c>
      <c r="Q630" s="6" t="s">
        <v>7480</v>
      </c>
      <c r="R630" s="6" t="s">
        <v>246</v>
      </c>
      <c r="S630" s="6" t="s">
        <v>147</v>
      </c>
      <c r="T630" s="6" t="s">
        <v>250</v>
      </c>
      <c r="U630" s="6" t="s">
        <v>560</v>
      </c>
      <c r="V630" s="6" t="s">
        <v>246</v>
      </c>
      <c r="W630" s="6" t="s">
        <v>158</v>
      </c>
      <c r="X630" s="6" t="s">
        <v>257</v>
      </c>
      <c r="Y630" s="6" t="s">
        <v>162</v>
      </c>
      <c r="Z630" s="6" t="s">
        <v>165</v>
      </c>
      <c r="AA630" s="6" t="s">
        <v>262</v>
      </c>
      <c r="AB630" s="6" t="s">
        <v>521</v>
      </c>
      <c r="AC630" s="6" t="s">
        <v>174</v>
      </c>
      <c r="AD630" s="6" t="s">
        <v>175</v>
      </c>
      <c r="AE630" s="6" t="s">
        <v>271</v>
      </c>
      <c r="AF630" s="6" t="s">
        <v>181</v>
      </c>
      <c r="AG630" s="6" t="s">
        <v>182</v>
      </c>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row>
    <row r="631" ht="22.5" customHeight="1">
      <c r="A631" s="4">
        <v>46229.700253055555</v>
      </c>
      <c r="B631" s="5">
        <v>0.0</v>
      </c>
      <c r="C631" s="6" t="s">
        <v>114</v>
      </c>
      <c r="D631" s="6" t="s">
        <v>1437</v>
      </c>
      <c r="E631" s="6" t="s">
        <v>1438</v>
      </c>
      <c r="F631" s="6">
        <v>6.9070500865E10</v>
      </c>
      <c r="G631" s="6" t="s">
        <v>496</v>
      </c>
      <c r="H631" s="7"/>
      <c r="I631" s="6" t="s">
        <v>7481</v>
      </c>
      <c r="J631" s="6" t="s">
        <v>5610</v>
      </c>
      <c r="K631" s="6" t="s">
        <v>7247</v>
      </c>
      <c r="L631" s="6" t="s">
        <v>7482</v>
      </c>
      <c r="M631" s="6" t="s">
        <v>5436</v>
      </c>
      <c r="N631" s="7"/>
      <c r="O631" s="6" t="s">
        <v>7483</v>
      </c>
      <c r="P631" s="6" t="s">
        <v>7484</v>
      </c>
      <c r="Q631" s="6" t="s">
        <v>7485</v>
      </c>
      <c r="R631" s="6" t="s">
        <v>246</v>
      </c>
      <c r="S631" s="6" t="s">
        <v>147</v>
      </c>
      <c r="T631" s="6" t="s">
        <v>257</v>
      </c>
      <c r="U631" s="6" t="s">
        <v>560</v>
      </c>
      <c r="V631" s="6" t="s">
        <v>246</v>
      </c>
      <c r="W631" s="6" t="s">
        <v>158</v>
      </c>
      <c r="X631" s="6" t="s">
        <v>257</v>
      </c>
      <c r="Y631" s="6" t="s">
        <v>162</v>
      </c>
      <c r="Z631" s="6" t="s">
        <v>165</v>
      </c>
      <c r="AA631" s="6" t="s">
        <v>262</v>
      </c>
      <c r="AB631" s="6" t="s">
        <v>521</v>
      </c>
      <c r="AC631" s="6" t="s">
        <v>174</v>
      </c>
      <c r="AD631" s="6" t="s">
        <v>175</v>
      </c>
      <c r="AE631" s="6" t="s">
        <v>271</v>
      </c>
      <c r="AF631" s="6" t="s">
        <v>181</v>
      </c>
      <c r="AG631" s="6" t="s">
        <v>182</v>
      </c>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row>
    <row r="632" ht="22.5" customHeight="1">
      <c r="A632" s="4">
        <v>46229.70026277778</v>
      </c>
      <c r="B632" s="5">
        <v>0.0</v>
      </c>
      <c r="C632" s="6" t="s">
        <v>114</v>
      </c>
      <c r="D632" s="6" t="s">
        <v>1439</v>
      </c>
      <c r="E632" s="6" t="s">
        <v>1440</v>
      </c>
      <c r="F632" s="6">
        <v>6.9070502205E10</v>
      </c>
      <c r="G632" s="6" t="s">
        <v>496</v>
      </c>
      <c r="H632" s="7"/>
      <c r="I632" s="6" t="s">
        <v>7486</v>
      </c>
      <c r="J632" s="6" t="s">
        <v>7487</v>
      </c>
      <c r="K632" s="6" t="s">
        <v>7488</v>
      </c>
      <c r="L632" s="6" t="s">
        <v>7489</v>
      </c>
      <c r="M632" s="6" t="s">
        <v>7490</v>
      </c>
      <c r="N632" s="7"/>
      <c r="O632" s="6" t="s">
        <v>7491</v>
      </c>
      <c r="P632" s="6" t="s">
        <v>7492</v>
      </c>
      <c r="Q632" s="6" t="s">
        <v>7493</v>
      </c>
      <c r="R632" s="6" t="s">
        <v>246</v>
      </c>
      <c r="S632" s="6" t="s">
        <v>147</v>
      </c>
      <c r="T632" s="6" t="s">
        <v>250</v>
      </c>
      <c r="U632" s="6" t="s">
        <v>252</v>
      </c>
      <c r="V632" s="6" t="s">
        <v>246</v>
      </c>
      <c r="W632" s="6" t="s">
        <v>158</v>
      </c>
      <c r="X632" s="6" t="s">
        <v>257</v>
      </c>
      <c r="Y632" s="6" t="s">
        <v>162</v>
      </c>
      <c r="Z632" s="6" t="s">
        <v>165</v>
      </c>
      <c r="AA632" s="6" t="s">
        <v>262</v>
      </c>
      <c r="AB632" s="6" t="s">
        <v>171</v>
      </c>
      <c r="AC632" s="6" t="s">
        <v>174</v>
      </c>
      <c r="AD632" s="6" t="s">
        <v>175</v>
      </c>
      <c r="AE632" s="6" t="s">
        <v>271</v>
      </c>
      <c r="AF632" s="6" t="s">
        <v>181</v>
      </c>
      <c r="AG632" s="6" t="s">
        <v>182</v>
      </c>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row>
    <row r="633" ht="22.5" customHeight="1">
      <c r="A633" s="4">
        <v>46229.700265057865</v>
      </c>
      <c r="B633" s="5">
        <v>0.0</v>
      </c>
      <c r="C633" s="6" t="s">
        <v>114</v>
      </c>
      <c r="D633" s="6" t="s">
        <v>209</v>
      </c>
      <c r="E633" s="6" t="s">
        <v>1441</v>
      </c>
      <c r="F633" s="6">
        <v>6.907050125E10</v>
      </c>
      <c r="G633" s="6" t="s">
        <v>228</v>
      </c>
      <c r="H633" s="7"/>
      <c r="I633" s="6" t="s">
        <v>7494</v>
      </c>
      <c r="J633" s="6" t="s">
        <v>6923</v>
      </c>
      <c r="K633" s="6" t="s">
        <v>7495</v>
      </c>
      <c r="L633" s="6" t="s">
        <v>6922</v>
      </c>
      <c r="M633" s="6" t="s">
        <v>7496</v>
      </c>
      <c r="N633" s="7"/>
      <c r="O633" s="6" t="s">
        <v>7497</v>
      </c>
      <c r="P633" s="6" t="s">
        <v>7498</v>
      </c>
      <c r="Q633" s="6" t="s">
        <v>7499</v>
      </c>
      <c r="R633" s="6" t="s">
        <v>246</v>
      </c>
      <c r="S633" s="6" t="s">
        <v>147</v>
      </c>
      <c r="T633" s="6" t="s">
        <v>250</v>
      </c>
      <c r="U633" s="6" t="s">
        <v>686</v>
      </c>
      <c r="V633" s="6" t="s">
        <v>155</v>
      </c>
      <c r="W633" s="6" t="s">
        <v>158</v>
      </c>
      <c r="X633" s="6" t="s">
        <v>257</v>
      </c>
      <c r="Y633" s="6" t="s">
        <v>162</v>
      </c>
      <c r="Z633" s="6" t="s">
        <v>165</v>
      </c>
      <c r="AA633" s="6" t="s">
        <v>262</v>
      </c>
      <c r="AB633" s="6" t="s">
        <v>521</v>
      </c>
      <c r="AC633" s="6" t="s">
        <v>174</v>
      </c>
      <c r="AD633" s="6" t="s">
        <v>175</v>
      </c>
      <c r="AE633" s="6" t="s">
        <v>271</v>
      </c>
      <c r="AF633" s="6" t="s">
        <v>181</v>
      </c>
      <c r="AG633" s="6" t="s">
        <v>182</v>
      </c>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row>
    <row r="634" ht="22.5" customHeight="1">
      <c r="A634" s="4">
        <v>46229.70027265046</v>
      </c>
      <c r="B634" s="5">
        <v>0.0</v>
      </c>
      <c r="C634" s="6" t="s">
        <v>114</v>
      </c>
      <c r="D634" s="6" t="s">
        <v>1442</v>
      </c>
      <c r="E634" s="6" t="s">
        <v>1443</v>
      </c>
      <c r="F634" s="6">
        <v>6.9070500269E10</v>
      </c>
      <c r="G634" s="6" t="s">
        <v>599</v>
      </c>
      <c r="H634" s="7"/>
      <c r="I634" s="6" t="s">
        <v>7500</v>
      </c>
      <c r="J634" s="6" t="s">
        <v>7501</v>
      </c>
      <c r="K634" s="6" t="s">
        <v>7502</v>
      </c>
      <c r="L634" s="6" t="s">
        <v>7503</v>
      </c>
      <c r="M634" s="6" t="s">
        <v>7504</v>
      </c>
      <c r="N634" s="7"/>
      <c r="O634" s="6" t="s">
        <v>7505</v>
      </c>
      <c r="P634" s="6" t="s">
        <v>7506</v>
      </c>
      <c r="Q634" s="6" t="s">
        <v>7507</v>
      </c>
      <c r="R634" s="6" t="s">
        <v>246</v>
      </c>
      <c r="S634" s="6" t="s">
        <v>147</v>
      </c>
      <c r="T634" s="6" t="s">
        <v>246</v>
      </c>
      <c r="U634" s="6" t="s">
        <v>152</v>
      </c>
      <c r="V634" s="6" t="s">
        <v>246</v>
      </c>
      <c r="W634" s="6" t="s">
        <v>158</v>
      </c>
      <c r="X634" s="6" t="s">
        <v>161</v>
      </c>
      <c r="Y634" s="6" t="s">
        <v>162</v>
      </c>
      <c r="Z634" s="6" t="s">
        <v>165</v>
      </c>
      <c r="AA634" s="6" t="s">
        <v>262</v>
      </c>
      <c r="AB634" s="6" t="s">
        <v>521</v>
      </c>
      <c r="AC634" s="6" t="s">
        <v>2718</v>
      </c>
      <c r="AD634" s="6" t="s">
        <v>175</v>
      </c>
      <c r="AE634" s="6" t="s">
        <v>271</v>
      </c>
      <c r="AF634" s="6" t="s">
        <v>181</v>
      </c>
      <c r="AG634" s="6" t="s">
        <v>182</v>
      </c>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row>
    <row r="635" ht="22.5" customHeight="1">
      <c r="A635" s="4">
        <v>46229.70027758102</v>
      </c>
      <c r="B635" s="5">
        <v>0.0</v>
      </c>
      <c r="C635" s="6" t="s">
        <v>114</v>
      </c>
      <c r="D635" s="6" t="s">
        <v>1444</v>
      </c>
      <c r="E635" s="6" t="s">
        <v>1445</v>
      </c>
      <c r="F635" s="6">
        <v>6.9070502204E10</v>
      </c>
      <c r="G635" s="6" t="s">
        <v>496</v>
      </c>
      <c r="H635" s="6" t="s">
        <v>2633</v>
      </c>
      <c r="I635" s="6" t="s">
        <v>4519</v>
      </c>
      <c r="J635" s="6" t="s">
        <v>7508</v>
      </c>
      <c r="K635" s="6" t="s">
        <v>7509</v>
      </c>
      <c r="L635" s="6" t="s">
        <v>7510</v>
      </c>
      <c r="M635" s="6" t="s">
        <v>7511</v>
      </c>
      <c r="N635" s="6" t="s">
        <v>7512</v>
      </c>
      <c r="O635" s="6" t="s">
        <v>7513</v>
      </c>
      <c r="P635" s="6" t="s">
        <v>7514</v>
      </c>
      <c r="Q635" s="6" t="s">
        <v>7515</v>
      </c>
      <c r="R635" s="6" t="s">
        <v>246</v>
      </c>
      <c r="S635" s="6" t="s">
        <v>147</v>
      </c>
      <c r="T635" s="6" t="s">
        <v>250</v>
      </c>
      <c r="U635" s="6" t="s">
        <v>686</v>
      </c>
      <c r="V635" s="6" t="s">
        <v>246</v>
      </c>
      <c r="W635" s="6" t="s">
        <v>158</v>
      </c>
      <c r="X635" s="6" t="s">
        <v>257</v>
      </c>
      <c r="Y635" s="6" t="s">
        <v>162</v>
      </c>
      <c r="Z635" s="6" t="s">
        <v>165</v>
      </c>
      <c r="AA635" s="6" t="s">
        <v>262</v>
      </c>
      <c r="AB635" s="6" t="s">
        <v>171</v>
      </c>
      <c r="AC635" s="6" t="s">
        <v>174</v>
      </c>
      <c r="AD635" s="6" t="s">
        <v>175</v>
      </c>
      <c r="AE635" s="6" t="s">
        <v>271</v>
      </c>
      <c r="AF635" s="6" t="s">
        <v>181</v>
      </c>
      <c r="AG635" s="6" t="s">
        <v>182</v>
      </c>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row>
    <row r="636" ht="22.5" customHeight="1">
      <c r="A636" s="4">
        <v>46229.700278055556</v>
      </c>
      <c r="B636" s="5">
        <v>0.0</v>
      </c>
      <c r="C636" s="6" t="s">
        <v>114</v>
      </c>
      <c r="D636" s="6" t="s">
        <v>1446</v>
      </c>
      <c r="E636" s="6" t="s">
        <v>1447</v>
      </c>
      <c r="F636" s="6">
        <v>6.9070502468E10</v>
      </c>
      <c r="G636" s="6" t="s">
        <v>122</v>
      </c>
      <c r="H636" s="6" t="s">
        <v>7516</v>
      </c>
      <c r="I636" s="6" t="s">
        <v>7517</v>
      </c>
      <c r="J636" s="6" t="s">
        <v>7518</v>
      </c>
      <c r="K636" s="6" t="s">
        <v>7246</v>
      </c>
      <c r="L636" s="6" t="s">
        <v>7519</v>
      </c>
      <c r="M636" s="6" t="s">
        <v>7520</v>
      </c>
      <c r="N636" s="6" t="s">
        <v>7521</v>
      </c>
      <c r="O636" s="6" t="s">
        <v>7522</v>
      </c>
      <c r="P636" s="6" t="s">
        <v>7523</v>
      </c>
      <c r="Q636" s="6" t="s">
        <v>7524</v>
      </c>
      <c r="R636" s="6" t="s">
        <v>257</v>
      </c>
      <c r="S636" s="6" t="s">
        <v>147</v>
      </c>
      <c r="T636" s="6" t="s">
        <v>250</v>
      </c>
      <c r="U636" s="6" t="s">
        <v>252</v>
      </c>
      <c r="V636" s="6" t="s">
        <v>246</v>
      </c>
      <c r="W636" s="6" t="s">
        <v>158</v>
      </c>
      <c r="X636" s="6" t="s">
        <v>246</v>
      </c>
      <c r="Y636" s="6" t="s">
        <v>162</v>
      </c>
      <c r="Z636" s="6" t="s">
        <v>165</v>
      </c>
      <c r="AA636" s="6" t="s">
        <v>262</v>
      </c>
      <c r="AB636" s="6" t="s">
        <v>171</v>
      </c>
      <c r="AC636" s="6" t="s">
        <v>174</v>
      </c>
      <c r="AD636" s="6" t="s">
        <v>175</v>
      </c>
      <c r="AE636" s="6" t="s">
        <v>271</v>
      </c>
      <c r="AF636" s="6" t="s">
        <v>181</v>
      </c>
      <c r="AG636" s="6" t="s">
        <v>182</v>
      </c>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row>
    <row r="637" ht="22.5" customHeight="1">
      <c r="A637" s="4">
        <v>46229.70028348379</v>
      </c>
      <c r="B637" s="5">
        <v>0.0</v>
      </c>
      <c r="C637" s="6" t="s">
        <v>114</v>
      </c>
      <c r="D637" s="6" t="s">
        <v>1448</v>
      </c>
      <c r="E637" s="6" t="s">
        <v>1449</v>
      </c>
      <c r="F637" s="6">
        <v>6.9070502234E10</v>
      </c>
      <c r="G637" s="6" t="s">
        <v>496</v>
      </c>
      <c r="H637" s="7"/>
      <c r="I637" s="6" t="s">
        <v>7508</v>
      </c>
      <c r="J637" s="6" t="s">
        <v>7020</v>
      </c>
      <c r="K637" s="6" t="s">
        <v>7510</v>
      </c>
      <c r="L637" s="6" t="s">
        <v>7525</v>
      </c>
      <c r="M637" s="6" t="s">
        <v>3393</v>
      </c>
      <c r="N637" s="6" t="s">
        <v>3085</v>
      </c>
      <c r="O637" s="6" t="s">
        <v>7526</v>
      </c>
      <c r="P637" s="6" t="s">
        <v>7527</v>
      </c>
      <c r="Q637" s="6" t="s">
        <v>7528</v>
      </c>
      <c r="R637" s="6" t="s">
        <v>246</v>
      </c>
      <c r="S637" s="6" t="s">
        <v>147</v>
      </c>
      <c r="T637" s="6" t="s">
        <v>250</v>
      </c>
      <c r="U637" s="6" t="s">
        <v>686</v>
      </c>
      <c r="V637" s="6" t="s">
        <v>246</v>
      </c>
      <c r="W637" s="6" t="s">
        <v>158</v>
      </c>
      <c r="X637" s="6" t="s">
        <v>257</v>
      </c>
      <c r="Y637" s="6" t="s">
        <v>162</v>
      </c>
      <c r="Z637" s="6" t="s">
        <v>165</v>
      </c>
      <c r="AA637" s="6" t="s">
        <v>262</v>
      </c>
      <c r="AB637" s="6" t="s">
        <v>171</v>
      </c>
      <c r="AC637" s="6" t="s">
        <v>174</v>
      </c>
      <c r="AD637" s="6" t="s">
        <v>175</v>
      </c>
      <c r="AE637" s="6" t="s">
        <v>271</v>
      </c>
      <c r="AF637" s="6" t="s">
        <v>181</v>
      </c>
      <c r="AG637" s="6" t="s">
        <v>182</v>
      </c>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row>
    <row r="638" ht="22.5" customHeight="1">
      <c r="A638" s="4">
        <v>46229.70029206018</v>
      </c>
      <c r="B638" s="5">
        <v>0.0</v>
      </c>
      <c r="C638" s="6" t="s">
        <v>114</v>
      </c>
      <c r="D638" s="6" t="s">
        <v>1450</v>
      </c>
      <c r="E638" s="6" t="s">
        <v>1451</v>
      </c>
      <c r="F638" s="6">
        <v>6.9070501277E10</v>
      </c>
      <c r="G638" s="6" t="s">
        <v>228</v>
      </c>
      <c r="H638" s="7"/>
      <c r="I638" s="6" t="s">
        <v>6205</v>
      </c>
      <c r="J638" s="6" t="s">
        <v>3329</v>
      </c>
      <c r="K638" s="6" t="s">
        <v>3329</v>
      </c>
      <c r="L638" s="6" t="s">
        <v>5998</v>
      </c>
      <c r="M638" s="6" t="s">
        <v>7529</v>
      </c>
      <c r="N638" s="7"/>
      <c r="O638" s="6" t="s">
        <v>7530</v>
      </c>
      <c r="P638" s="6" t="s">
        <v>6822</v>
      </c>
      <c r="Q638" s="6" t="s">
        <v>7531</v>
      </c>
      <c r="R638" s="6" t="s">
        <v>246</v>
      </c>
      <c r="S638" s="6" t="s">
        <v>147</v>
      </c>
      <c r="T638" s="6" t="s">
        <v>250</v>
      </c>
      <c r="U638" s="6" t="s">
        <v>686</v>
      </c>
      <c r="V638" s="6" t="s">
        <v>246</v>
      </c>
      <c r="W638" s="6" t="s">
        <v>158</v>
      </c>
      <c r="X638" s="6" t="s">
        <v>257</v>
      </c>
      <c r="Y638" s="6" t="s">
        <v>162</v>
      </c>
      <c r="Z638" s="6" t="s">
        <v>165</v>
      </c>
      <c r="AA638" s="6" t="s">
        <v>262</v>
      </c>
      <c r="AB638" s="6" t="s">
        <v>171</v>
      </c>
      <c r="AC638" s="6" t="s">
        <v>174</v>
      </c>
      <c r="AD638" s="6" t="s">
        <v>1723</v>
      </c>
      <c r="AE638" s="6" t="s">
        <v>271</v>
      </c>
      <c r="AF638" s="6" t="s">
        <v>181</v>
      </c>
      <c r="AG638" s="6" t="s">
        <v>182</v>
      </c>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row>
    <row r="639" ht="22.5" customHeight="1">
      <c r="A639" s="4">
        <v>46229.700292256945</v>
      </c>
      <c r="B639" s="5">
        <v>0.0</v>
      </c>
      <c r="C639" s="6" t="s">
        <v>114</v>
      </c>
      <c r="D639" s="6" t="s">
        <v>1452</v>
      </c>
      <c r="E639" s="6" t="s">
        <v>1453</v>
      </c>
      <c r="F639" s="6">
        <v>6.9070501048E10</v>
      </c>
      <c r="G639" s="6" t="s">
        <v>1470</v>
      </c>
      <c r="H639" s="7"/>
      <c r="I639" s="6" t="s">
        <v>7532</v>
      </c>
      <c r="J639" s="6" t="s">
        <v>7533</v>
      </c>
      <c r="K639" s="6" t="s">
        <v>7534</v>
      </c>
      <c r="L639" s="6" t="s">
        <v>7535</v>
      </c>
      <c r="M639" s="6" t="s">
        <v>4379</v>
      </c>
      <c r="N639" s="7"/>
      <c r="O639" s="6" t="s">
        <v>7536</v>
      </c>
      <c r="P639" s="6" t="s">
        <v>7537</v>
      </c>
      <c r="Q639" s="6" t="s">
        <v>7538</v>
      </c>
      <c r="R639" s="6" t="s">
        <v>246</v>
      </c>
      <c r="S639" s="6" t="s">
        <v>147</v>
      </c>
      <c r="T639" s="6" t="s">
        <v>250</v>
      </c>
      <c r="U639" s="6" t="s">
        <v>560</v>
      </c>
      <c r="V639" s="6" t="s">
        <v>246</v>
      </c>
      <c r="W639" s="6" t="s">
        <v>158</v>
      </c>
      <c r="X639" s="6" t="s">
        <v>257</v>
      </c>
      <c r="Y639" s="6" t="s">
        <v>162</v>
      </c>
      <c r="Z639" s="6" t="s">
        <v>165</v>
      </c>
      <c r="AA639" s="6" t="s">
        <v>262</v>
      </c>
      <c r="AB639" s="6" t="s">
        <v>171</v>
      </c>
      <c r="AC639" s="6" t="s">
        <v>174</v>
      </c>
      <c r="AD639" s="6" t="s">
        <v>175</v>
      </c>
      <c r="AE639" s="6" t="s">
        <v>271</v>
      </c>
      <c r="AF639" s="6" t="s">
        <v>181</v>
      </c>
      <c r="AG639" s="6" t="s">
        <v>182</v>
      </c>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row>
    <row r="640" ht="22.5" customHeight="1">
      <c r="A640" s="4">
        <v>46229.700292615744</v>
      </c>
      <c r="B640" s="5">
        <v>0.0</v>
      </c>
      <c r="C640" s="6" t="s">
        <v>3296</v>
      </c>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6" t="s">
        <v>2692</v>
      </c>
      <c r="AI640" s="6" t="s">
        <v>2693</v>
      </c>
      <c r="AJ640" s="6">
        <v>6.9070503429E10</v>
      </c>
      <c r="AK640" s="6" t="s">
        <v>3297</v>
      </c>
      <c r="AL640" s="7"/>
      <c r="AM640" s="6" t="s">
        <v>7539</v>
      </c>
      <c r="AN640" s="6" t="s">
        <v>7540</v>
      </c>
      <c r="AO640" s="6" t="s">
        <v>7541</v>
      </c>
      <c r="AP640" s="6" t="s">
        <v>7542</v>
      </c>
      <c r="AQ640" s="6" t="s">
        <v>6654</v>
      </c>
      <c r="AR640" s="6" t="s">
        <v>2633</v>
      </c>
      <c r="AS640" s="6" t="s">
        <v>7543</v>
      </c>
      <c r="AT640" s="6" t="s">
        <v>7544</v>
      </c>
      <c r="AU640" s="6" t="s">
        <v>7545</v>
      </c>
      <c r="AV640" s="6" t="s">
        <v>3306</v>
      </c>
      <c r="AW640" s="6" t="s">
        <v>3307</v>
      </c>
      <c r="AX640" s="6" t="s">
        <v>4887</v>
      </c>
      <c r="AY640" s="6" t="s">
        <v>4067</v>
      </c>
      <c r="AZ640" s="6" t="s">
        <v>3306</v>
      </c>
      <c r="BA640" s="6" t="s">
        <v>3311</v>
      </c>
      <c r="BB640" s="6" t="s">
        <v>3887</v>
      </c>
      <c r="BC640" s="6" t="s">
        <v>3313</v>
      </c>
      <c r="BD640" s="6" t="s">
        <v>165</v>
      </c>
      <c r="BE640" s="6" t="s">
        <v>3888</v>
      </c>
      <c r="BF640" s="6" t="s">
        <v>3315</v>
      </c>
      <c r="BG640" s="6" t="s">
        <v>3316</v>
      </c>
      <c r="BH640" s="6" t="s">
        <v>3317</v>
      </c>
      <c r="BI640" s="6" t="s">
        <v>271</v>
      </c>
      <c r="BJ640" s="6" t="s">
        <v>5247</v>
      </c>
      <c r="BK640" s="6" t="s">
        <v>3319</v>
      </c>
    </row>
    <row r="641" ht="22.5" customHeight="1">
      <c r="A641" s="4">
        <v>46229.70029403935</v>
      </c>
      <c r="B641" s="5">
        <v>0.0</v>
      </c>
      <c r="C641" s="6" t="s">
        <v>114</v>
      </c>
      <c r="D641" s="6" t="s">
        <v>1454</v>
      </c>
      <c r="E641" s="6" t="s">
        <v>1455</v>
      </c>
      <c r="F641" s="6">
        <v>6.9070500073E10</v>
      </c>
      <c r="G641" s="6" t="s">
        <v>4580</v>
      </c>
      <c r="H641" s="7"/>
      <c r="I641" s="6" t="s">
        <v>7546</v>
      </c>
      <c r="J641" s="6" t="s">
        <v>7547</v>
      </c>
      <c r="K641" s="6" t="s">
        <v>7548</v>
      </c>
      <c r="L641" s="6" t="s">
        <v>5552</v>
      </c>
      <c r="M641" s="6" t="s">
        <v>7017</v>
      </c>
      <c r="N641" s="7"/>
      <c r="O641" s="6" t="s">
        <v>7549</v>
      </c>
      <c r="P641" s="6" t="s">
        <v>7550</v>
      </c>
      <c r="Q641" s="6" t="s">
        <v>7551</v>
      </c>
      <c r="R641" s="6" t="s">
        <v>246</v>
      </c>
      <c r="S641" s="6" t="s">
        <v>147</v>
      </c>
      <c r="T641" s="6" t="s">
        <v>250</v>
      </c>
      <c r="U641" s="6" t="s">
        <v>686</v>
      </c>
      <c r="V641" s="6" t="s">
        <v>246</v>
      </c>
      <c r="W641" s="6" t="s">
        <v>158</v>
      </c>
      <c r="X641" s="6" t="s">
        <v>257</v>
      </c>
      <c r="Y641" s="6" t="s">
        <v>162</v>
      </c>
      <c r="Z641" s="6" t="s">
        <v>165</v>
      </c>
      <c r="AA641" s="6" t="s">
        <v>262</v>
      </c>
      <c r="AB641" s="6" t="s">
        <v>171</v>
      </c>
      <c r="AC641" s="6" t="s">
        <v>174</v>
      </c>
      <c r="AD641" s="6" t="s">
        <v>175</v>
      </c>
      <c r="AE641" s="6" t="s">
        <v>271</v>
      </c>
      <c r="AF641" s="6" t="s">
        <v>181</v>
      </c>
      <c r="AG641" s="6" t="s">
        <v>182</v>
      </c>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row>
    <row r="642" ht="22.5" customHeight="1">
      <c r="A642" s="4">
        <v>46229.70029594908</v>
      </c>
      <c r="B642" s="5">
        <v>0.0</v>
      </c>
      <c r="C642" s="6" t="s">
        <v>114</v>
      </c>
      <c r="D642" s="6" t="s">
        <v>1456</v>
      </c>
      <c r="E642" s="6" t="s">
        <v>1457</v>
      </c>
      <c r="F642" s="6">
        <v>6.9070500251E10</v>
      </c>
      <c r="G642" s="6" t="s">
        <v>599</v>
      </c>
      <c r="H642" s="7"/>
      <c r="I642" s="6" t="s">
        <v>7552</v>
      </c>
      <c r="J642" s="6" t="s">
        <v>7553</v>
      </c>
      <c r="K642" s="6" t="s">
        <v>4956</v>
      </c>
      <c r="L642" s="6" t="s">
        <v>3161</v>
      </c>
      <c r="M642" s="6" t="s">
        <v>7554</v>
      </c>
      <c r="N642" s="6" t="s">
        <v>7555</v>
      </c>
      <c r="O642" s="6" t="s">
        <v>7556</v>
      </c>
      <c r="P642" s="6" t="s">
        <v>7557</v>
      </c>
      <c r="Q642" s="6" t="s">
        <v>7558</v>
      </c>
      <c r="R642" s="6" t="s">
        <v>246</v>
      </c>
      <c r="S642" s="6" t="s">
        <v>147</v>
      </c>
      <c r="T642" s="6" t="s">
        <v>250</v>
      </c>
      <c r="U642" s="6" t="s">
        <v>252</v>
      </c>
      <c r="V642" s="6" t="s">
        <v>246</v>
      </c>
      <c r="W642" s="6" t="s">
        <v>158</v>
      </c>
      <c r="X642" s="6" t="s">
        <v>257</v>
      </c>
      <c r="Y642" s="6" t="s">
        <v>162</v>
      </c>
      <c r="Z642" s="6" t="s">
        <v>165</v>
      </c>
      <c r="AA642" s="6" t="s">
        <v>1322</v>
      </c>
      <c r="AB642" s="6" t="s">
        <v>171</v>
      </c>
      <c r="AC642" s="6" t="s">
        <v>2718</v>
      </c>
      <c r="AD642" s="6" t="s">
        <v>175</v>
      </c>
      <c r="AE642" s="6" t="s">
        <v>3105</v>
      </c>
      <c r="AF642" s="6" t="s">
        <v>181</v>
      </c>
      <c r="AG642" s="6" t="s">
        <v>182</v>
      </c>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row>
    <row r="643" ht="22.5" customHeight="1">
      <c r="A643" s="4">
        <v>46229.70030224537</v>
      </c>
      <c r="B643" s="5">
        <v>0.0</v>
      </c>
      <c r="C643" s="6" t="s">
        <v>114</v>
      </c>
      <c r="D643" s="6" t="s">
        <v>1458</v>
      </c>
      <c r="E643" s="6" t="s">
        <v>1459</v>
      </c>
      <c r="F643" s="6">
        <v>6.907050083E10</v>
      </c>
      <c r="G643" s="6" t="s">
        <v>496</v>
      </c>
      <c r="H643" s="6" t="s">
        <v>7559</v>
      </c>
      <c r="I643" s="6" t="s">
        <v>7560</v>
      </c>
      <c r="J643" s="6" t="s">
        <v>7374</v>
      </c>
      <c r="K643" s="6" t="s">
        <v>7561</v>
      </c>
      <c r="L643" s="6" t="s">
        <v>7375</v>
      </c>
      <c r="M643" s="6" t="s">
        <v>7562</v>
      </c>
      <c r="N643" s="6" t="s">
        <v>7563</v>
      </c>
      <c r="O643" s="6" t="s">
        <v>7564</v>
      </c>
      <c r="P643" s="6" t="s">
        <v>7565</v>
      </c>
      <c r="Q643" s="6" t="s">
        <v>7566</v>
      </c>
      <c r="R643" s="6" t="s">
        <v>257</v>
      </c>
      <c r="S643" s="6" t="s">
        <v>147</v>
      </c>
      <c r="T643" s="6" t="s">
        <v>250</v>
      </c>
      <c r="U643" s="6" t="s">
        <v>252</v>
      </c>
      <c r="V643" s="6" t="s">
        <v>246</v>
      </c>
      <c r="W643" s="6" t="s">
        <v>158</v>
      </c>
      <c r="X643" s="6" t="s">
        <v>257</v>
      </c>
      <c r="Y643" s="6" t="s">
        <v>162</v>
      </c>
      <c r="Z643" s="6" t="s">
        <v>165</v>
      </c>
      <c r="AA643" s="6" t="s">
        <v>262</v>
      </c>
      <c r="AB643" s="6" t="s">
        <v>171</v>
      </c>
      <c r="AC643" s="6" t="s">
        <v>174</v>
      </c>
      <c r="AD643" s="6" t="s">
        <v>175</v>
      </c>
      <c r="AE643" s="6" t="s">
        <v>271</v>
      </c>
      <c r="AF643" s="6" t="s">
        <v>181</v>
      </c>
      <c r="AG643" s="6" t="s">
        <v>182</v>
      </c>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row>
    <row r="644" ht="22.5" customHeight="1">
      <c r="A644" s="4">
        <v>46229.70030297454</v>
      </c>
      <c r="B644" s="5">
        <v>0.0</v>
      </c>
      <c r="C644" s="6" t="s">
        <v>114</v>
      </c>
      <c r="D644" s="6" t="s">
        <v>1460</v>
      </c>
      <c r="E644" s="6" t="s">
        <v>1461</v>
      </c>
      <c r="F644" s="6">
        <v>6.9070509816E10</v>
      </c>
      <c r="G644" s="6" t="s">
        <v>496</v>
      </c>
      <c r="H644" s="7"/>
      <c r="I644" s="6" t="s">
        <v>7567</v>
      </c>
      <c r="J644" s="6" t="s">
        <v>7568</v>
      </c>
      <c r="K644" s="6" t="s">
        <v>7569</v>
      </c>
      <c r="L644" s="6" t="s">
        <v>7570</v>
      </c>
      <c r="M644" s="6" t="s">
        <v>7571</v>
      </c>
      <c r="N644" s="7"/>
      <c r="O644" s="6" t="s">
        <v>7572</v>
      </c>
      <c r="P644" s="6" t="s">
        <v>7573</v>
      </c>
      <c r="Q644" s="6" t="s">
        <v>7574</v>
      </c>
      <c r="R644" s="6" t="s">
        <v>246</v>
      </c>
      <c r="S644" s="6" t="s">
        <v>147</v>
      </c>
      <c r="T644" s="6" t="s">
        <v>250</v>
      </c>
      <c r="U644" s="6" t="s">
        <v>686</v>
      </c>
      <c r="V644" s="6" t="s">
        <v>246</v>
      </c>
      <c r="W644" s="6" t="s">
        <v>158</v>
      </c>
      <c r="X644" s="6" t="s">
        <v>257</v>
      </c>
      <c r="Y644" s="6" t="s">
        <v>162</v>
      </c>
      <c r="Z644" s="6" t="s">
        <v>165</v>
      </c>
      <c r="AA644" s="6" t="s">
        <v>262</v>
      </c>
      <c r="AB644" s="6" t="s">
        <v>171</v>
      </c>
      <c r="AC644" s="6" t="s">
        <v>174</v>
      </c>
      <c r="AD644" s="6" t="s">
        <v>175</v>
      </c>
      <c r="AE644" s="6" t="s">
        <v>271</v>
      </c>
      <c r="AF644" s="6" t="s">
        <v>181</v>
      </c>
      <c r="AG644" s="6" t="s">
        <v>182</v>
      </c>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row>
    <row r="645" ht="22.5" customHeight="1">
      <c r="A645" s="4">
        <v>46229.70030401621</v>
      </c>
      <c r="B645" s="5">
        <v>0.0</v>
      </c>
      <c r="C645" s="6" t="s">
        <v>114</v>
      </c>
      <c r="D645" s="6" t="s">
        <v>1462</v>
      </c>
      <c r="E645" s="6" t="s">
        <v>1463</v>
      </c>
      <c r="F645" s="6">
        <v>6.9070509421E10</v>
      </c>
      <c r="G645" s="6" t="s">
        <v>122</v>
      </c>
      <c r="H645" s="7"/>
      <c r="I645" s="6" t="s">
        <v>7575</v>
      </c>
      <c r="J645" s="6" t="s">
        <v>7576</v>
      </c>
      <c r="K645" s="6" t="s">
        <v>7577</v>
      </c>
      <c r="L645" s="6" t="s">
        <v>7578</v>
      </c>
      <c r="M645" s="6" t="s">
        <v>7579</v>
      </c>
      <c r="N645" s="7"/>
      <c r="O645" s="6" t="s">
        <v>7580</v>
      </c>
      <c r="P645" s="6" t="s">
        <v>7581</v>
      </c>
      <c r="Q645" s="6" t="s">
        <v>7582</v>
      </c>
      <c r="R645" s="6" t="s">
        <v>257</v>
      </c>
      <c r="S645" s="6" t="s">
        <v>147</v>
      </c>
      <c r="T645" s="6" t="s">
        <v>257</v>
      </c>
      <c r="U645" s="6" t="s">
        <v>560</v>
      </c>
      <c r="V645" s="6" t="s">
        <v>246</v>
      </c>
      <c r="W645" s="6" t="s">
        <v>158</v>
      </c>
      <c r="X645" s="6" t="s">
        <v>257</v>
      </c>
      <c r="Y645" s="6" t="s">
        <v>162</v>
      </c>
      <c r="Z645" s="6" t="s">
        <v>165</v>
      </c>
      <c r="AA645" s="6" t="s">
        <v>262</v>
      </c>
      <c r="AB645" s="6" t="s">
        <v>171</v>
      </c>
      <c r="AC645" s="6" t="s">
        <v>174</v>
      </c>
      <c r="AD645" s="6" t="s">
        <v>175</v>
      </c>
      <c r="AE645" s="6" t="s">
        <v>524</v>
      </c>
      <c r="AF645" s="6" t="s">
        <v>181</v>
      </c>
      <c r="AG645" s="6" t="s">
        <v>182</v>
      </c>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row>
    <row r="646" ht="22.5" customHeight="1">
      <c r="A646" s="4">
        <v>46229.70030525463</v>
      </c>
      <c r="B646" s="5">
        <v>0.0</v>
      </c>
      <c r="C646" s="6" t="s">
        <v>114</v>
      </c>
      <c r="D646" s="6" t="s">
        <v>1464</v>
      </c>
      <c r="E646" s="6" t="s">
        <v>1465</v>
      </c>
      <c r="F646" s="6">
        <v>6.9070506464E10</v>
      </c>
      <c r="G646" s="6" t="s">
        <v>599</v>
      </c>
      <c r="H646" s="6" t="s">
        <v>7583</v>
      </c>
      <c r="I646" s="6" t="s">
        <v>3772</v>
      </c>
      <c r="J646" s="6" t="s">
        <v>7584</v>
      </c>
      <c r="K646" s="6" t="s">
        <v>7585</v>
      </c>
      <c r="L646" s="6" t="s">
        <v>7586</v>
      </c>
      <c r="M646" s="6" t="s">
        <v>7587</v>
      </c>
      <c r="N646" s="6" t="s">
        <v>7588</v>
      </c>
      <c r="O646" s="6" t="s">
        <v>7589</v>
      </c>
      <c r="P646" s="6" t="s">
        <v>7590</v>
      </c>
      <c r="Q646" s="6" t="s">
        <v>7591</v>
      </c>
      <c r="R646" s="6" t="s">
        <v>861</v>
      </c>
      <c r="S646" s="6" t="s">
        <v>147</v>
      </c>
      <c r="T646" s="6" t="s">
        <v>250</v>
      </c>
      <c r="U646" s="6" t="s">
        <v>152</v>
      </c>
      <c r="V646" s="6" t="s">
        <v>246</v>
      </c>
      <c r="W646" s="6" t="s">
        <v>158</v>
      </c>
      <c r="X646" s="6" t="s">
        <v>458</v>
      </c>
      <c r="Y646" s="6" t="s">
        <v>162</v>
      </c>
      <c r="Z646" s="6" t="s">
        <v>165</v>
      </c>
      <c r="AA646" s="6" t="s">
        <v>262</v>
      </c>
      <c r="AB646" s="6" t="s">
        <v>171</v>
      </c>
      <c r="AC646" s="6" t="s">
        <v>633</v>
      </c>
      <c r="AD646" s="6" t="s">
        <v>175</v>
      </c>
      <c r="AE646" s="6" t="s">
        <v>271</v>
      </c>
      <c r="AF646" s="6" t="s">
        <v>181</v>
      </c>
      <c r="AG646" s="6" t="s">
        <v>182</v>
      </c>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row>
    <row r="647" ht="22.5" customHeight="1">
      <c r="A647" s="4">
        <v>46229.700313333335</v>
      </c>
      <c r="B647" s="5">
        <v>0.0</v>
      </c>
      <c r="C647" s="6" t="s">
        <v>114</v>
      </c>
      <c r="D647" s="6" t="s">
        <v>1466</v>
      </c>
      <c r="E647" s="6" t="s">
        <v>1467</v>
      </c>
      <c r="F647" s="6">
        <v>6.907050084E10</v>
      </c>
      <c r="G647" s="6" t="s">
        <v>496</v>
      </c>
      <c r="H647" s="7"/>
      <c r="I647" s="6" t="s">
        <v>7592</v>
      </c>
      <c r="J647" s="6" t="s">
        <v>7593</v>
      </c>
      <c r="K647" s="6" t="s">
        <v>7594</v>
      </c>
      <c r="L647" s="6" t="s">
        <v>7595</v>
      </c>
      <c r="M647" s="6" t="s">
        <v>7596</v>
      </c>
      <c r="N647" s="6" t="s">
        <v>7597</v>
      </c>
      <c r="O647" s="6" t="s">
        <v>7598</v>
      </c>
      <c r="P647" s="6" t="s">
        <v>7599</v>
      </c>
      <c r="Q647" s="6" t="s">
        <v>7600</v>
      </c>
      <c r="R647" s="6" t="s">
        <v>246</v>
      </c>
      <c r="S647" s="6" t="s">
        <v>147</v>
      </c>
      <c r="T647" s="6" t="s">
        <v>250</v>
      </c>
      <c r="U647" s="6" t="s">
        <v>252</v>
      </c>
      <c r="V647" s="6" t="s">
        <v>246</v>
      </c>
      <c r="W647" s="6" t="s">
        <v>158</v>
      </c>
      <c r="X647" s="6" t="s">
        <v>257</v>
      </c>
      <c r="Y647" s="6" t="s">
        <v>162</v>
      </c>
      <c r="Z647" s="6" t="s">
        <v>165</v>
      </c>
      <c r="AA647" s="6" t="s">
        <v>262</v>
      </c>
      <c r="AB647" s="6" t="s">
        <v>171</v>
      </c>
      <c r="AC647" s="6" t="s">
        <v>174</v>
      </c>
      <c r="AD647" s="6" t="s">
        <v>175</v>
      </c>
      <c r="AE647" s="6" t="s">
        <v>271</v>
      </c>
      <c r="AF647" s="6" t="s">
        <v>181</v>
      </c>
      <c r="AG647" s="6" t="s">
        <v>182</v>
      </c>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row>
    <row r="648" ht="22.5" customHeight="1">
      <c r="A648" s="4">
        <v>46229.70031579861</v>
      </c>
      <c r="B648" s="5">
        <v>0.0</v>
      </c>
      <c r="C648" s="6" t="s">
        <v>114</v>
      </c>
      <c r="D648" s="6" t="s">
        <v>1468</v>
      </c>
      <c r="E648" s="6" t="s">
        <v>1469</v>
      </c>
      <c r="F648" s="6">
        <v>6.9070500291E10</v>
      </c>
      <c r="G648" s="6" t="s">
        <v>599</v>
      </c>
      <c r="H648" s="7"/>
      <c r="I648" s="6" t="s">
        <v>6731</v>
      </c>
      <c r="J648" s="6" t="s">
        <v>7601</v>
      </c>
      <c r="K648" s="6" t="s">
        <v>2864</v>
      </c>
      <c r="L648" s="6" t="s">
        <v>7602</v>
      </c>
      <c r="M648" s="6" t="s">
        <v>7603</v>
      </c>
      <c r="N648" s="7"/>
      <c r="O648" s="6" t="s">
        <v>7604</v>
      </c>
      <c r="P648" s="6" t="s">
        <v>7605</v>
      </c>
      <c r="Q648" s="6" t="s">
        <v>7606</v>
      </c>
      <c r="R648" s="6" t="s">
        <v>246</v>
      </c>
      <c r="S648" s="6" t="s">
        <v>147</v>
      </c>
      <c r="T648" s="6" t="s">
        <v>250</v>
      </c>
      <c r="U648" s="6" t="s">
        <v>2254</v>
      </c>
      <c r="V648" s="6" t="s">
        <v>246</v>
      </c>
      <c r="W648" s="6" t="s">
        <v>158</v>
      </c>
      <c r="X648" s="6" t="s">
        <v>257</v>
      </c>
      <c r="Y648" s="6" t="s">
        <v>162</v>
      </c>
      <c r="Z648" s="6" t="s">
        <v>165</v>
      </c>
      <c r="AA648" s="6" t="s">
        <v>262</v>
      </c>
      <c r="AB648" s="6" t="s">
        <v>171</v>
      </c>
      <c r="AC648" s="6" t="s">
        <v>174</v>
      </c>
      <c r="AD648" s="6" t="s">
        <v>175</v>
      </c>
      <c r="AE648" s="6" t="s">
        <v>178</v>
      </c>
      <c r="AF648" s="6" t="s">
        <v>181</v>
      </c>
      <c r="AG648" s="6" t="s">
        <v>182</v>
      </c>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row>
    <row r="649" ht="22.5" customHeight="1">
      <c r="A649" s="4">
        <v>46229.70031670139</v>
      </c>
      <c r="B649" s="5">
        <v>0.0</v>
      </c>
      <c r="C649" s="6" t="s">
        <v>114</v>
      </c>
      <c r="D649" s="6" t="s">
        <v>358</v>
      </c>
      <c r="E649" s="6" t="s">
        <v>1471</v>
      </c>
      <c r="F649" s="6">
        <v>6.9070500223E10</v>
      </c>
      <c r="G649" s="6" t="s">
        <v>599</v>
      </c>
      <c r="H649" s="7"/>
      <c r="I649" s="6" t="s">
        <v>4606</v>
      </c>
      <c r="J649" s="6" t="s">
        <v>7607</v>
      </c>
      <c r="K649" s="6" t="s">
        <v>3322</v>
      </c>
      <c r="L649" s="6" t="s">
        <v>6305</v>
      </c>
      <c r="M649" s="6" t="s">
        <v>3161</v>
      </c>
      <c r="N649" s="7"/>
      <c r="O649" s="6" t="s">
        <v>7608</v>
      </c>
      <c r="P649" s="6" t="s">
        <v>7609</v>
      </c>
      <c r="Q649" s="6" t="s">
        <v>7610</v>
      </c>
      <c r="R649" s="6" t="s">
        <v>257</v>
      </c>
      <c r="S649" s="6" t="s">
        <v>147</v>
      </c>
      <c r="T649" s="6" t="s">
        <v>250</v>
      </c>
      <c r="U649" s="6" t="s">
        <v>686</v>
      </c>
      <c r="V649" s="6" t="s">
        <v>155</v>
      </c>
      <c r="W649" s="6" t="s">
        <v>158</v>
      </c>
      <c r="X649" s="6" t="s">
        <v>257</v>
      </c>
      <c r="Y649" s="6" t="s">
        <v>162</v>
      </c>
      <c r="Z649" s="6" t="s">
        <v>165</v>
      </c>
      <c r="AA649" s="6" t="s">
        <v>262</v>
      </c>
      <c r="AB649" s="6" t="s">
        <v>171</v>
      </c>
      <c r="AC649" s="6" t="s">
        <v>174</v>
      </c>
      <c r="AD649" s="6" t="s">
        <v>175</v>
      </c>
      <c r="AE649" s="6" t="s">
        <v>271</v>
      </c>
      <c r="AF649" s="6" t="s">
        <v>181</v>
      </c>
      <c r="AG649" s="6" t="s">
        <v>182</v>
      </c>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row>
    <row r="650" ht="22.5" customHeight="1">
      <c r="A650" s="4">
        <v>46229.70033390046</v>
      </c>
      <c r="B650" s="5">
        <v>0.0</v>
      </c>
      <c r="C650" s="6" t="s">
        <v>114</v>
      </c>
      <c r="D650" s="6" t="s">
        <v>1473</v>
      </c>
      <c r="E650" s="6" t="s">
        <v>1475</v>
      </c>
      <c r="F650" s="6">
        <v>6.9070504026E10</v>
      </c>
      <c r="G650" s="6" t="s">
        <v>228</v>
      </c>
      <c r="H650" s="7"/>
      <c r="I650" s="6" t="s">
        <v>7611</v>
      </c>
      <c r="J650" s="6" t="s">
        <v>7612</v>
      </c>
      <c r="K650" s="6" t="s">
        <v>7613</v>
      </c>
      <c r="L650" s="6" t="s">
        <v>7614</v>
      </c>
      <c r="M650" s="6" t="s">
        <v>7615</v>
      </c>
      <c r="N650" s="7"/>
      <c r="O650" s="6" t="s">
        <v>7616</v>
      </c>
      <c r="P650" s="6" t="s">
        <v>7617</v>
      </c>
      <c r="Q650" s="6" t="s">
        <v>7618</v>
      </c>
      <c r="R650" s="6" t="s">
        <v>246</v>
      </c>
      <c r="S650" s="6" t="s">
        <v>147</v>
      </c>
      <c r="T650" s="6" t="s">
        <v>149</v>
      </c>
      <c r="U650" s="6" t="s">
        <v>252</v>
      </c>
      <c r="V650" s="6" t="s">
        <v>246</v>
      </c>
      <c r="W650" s="6" t="s">
        <v>158</v>
      </c>
      <c r="X650" s="6" t="s">
        <v>257</v>
      </c>
      <c r="Y650" s="6" t="s">
        <v>162</v>
      </c>
      <c r="Z650" s="6" t="s">
        <v>804</v>
      </c>
      <c r="AA650" s="6" t="s">
        <v>262</v>
      </c>
      <c r="AB650" s="6" t="s">
        <v>171</v>
      </c>
      <c r="AC650" s="6" t="s">
        <v>174</v>
      </c>
      <c r="AD650" s="6" t="s">
        <v>175</v>
      </c>
      <c r="AE650" s="6" t="s">
        <v>271</v>
      </c>
      <c r="AF650" s="6" t="s">
        <v>181</v>
      </c>
      <c r="AG650" s="6" t="s">
        <v>182</v>
      </c>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row>
    <row r="651" ht="22.5" customHeight="1">
      <c r="A651" s="4">
        <v>46229.700335636575</v>
      </c>
      <c r="B651" s="5">
        <v>0.0</v>
      </c>
      <c r="C651" s="6" t="s">
        <v>114</v>
      </c>
      <c r="D651" s="6" t="s">
        <v>1123</v>
      </c>
      <c r="E651" s="6" t="s">
        <v>1478</v>
      </c>
      <c r="F651" s="6">
        <v>6.9070501016E10</v>
      </c>
      <c r="G651" s="6" t="s">
        <v>1470</v>
      </c>
      <c r="H651" s="7"/>
      <c r="I651" s="6" t="s">
        <v>7619</v>
      </c>
      <c r="J651" s="6" t="s">
        <v>7620</v>
      </c>
      <c r="K651" s="6" t="s">
        <v>7621</v>
      </c>
      <c r="L651" s="6" t="s">
        <v>7622</v>
      </c>
      <c r="M651" s="6" t="s">
        <v>7623</v>
      </c>
      <c r="N651" s="7"/>
      <c r="O651" s="6" t="s">
        <v>7624</v>
      </c>
      <c r="P651" s="6" t="s">
        <v>7625</v>
      </c>
      <c r="Q651" s="6" t="s">
        <v>7626</v>
      </c>
      <c r="R651" s="6" t="s">
        <v>246</v>
      </c>
      <c r="S651" s="6" t="s">
        <v>147</v>
      </c>
      <c r="T651" s="6" t="s">
        <v>250</v>
      </c>
      <c r="U651" s="6" t="s">
        <v>152</v>
      </c>
      <c r="V651" s="6" t="s">
        <v>246</v>
      </c>
      <c r="W651" s="6" t="s">
        <v>158</v>
      </c>
      <c r="X651" s="6" t="s">
        <v>257</v>
      </c>
      <c r="Y651" s="6" t="s">
        <v>162</v>
      </c>
      <c r="Z651" s="6" t="s">
        <v>165</v>
      </c>
      <c r="AA651" s="6" t="s">
        <v>262</v>
      </c>
      <c r="AB651" s="6" t="s">
        <v>521</v>
      </c>
      <c r="AC651" s="6" t="s">
        <v>174</v>
      </c>
      <c r="AD651" s="6" t="s">
        <v>175</v>
      </c>
      <c r="AE651" s="6" t="s">
        <v>271</v>
      </c>
      <c r="AF651" s="6" t="s">
        <v>181</v>
      </c>
      <c r="AG651" s="6" t="s">
        <v>182</v>
      </c>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row>
    <row r="652" ht="22.5" customHeight="1">
      <c r="A652" s="4">
        <v>46229.700335891204</v>
      </c>
      <c r="B652" s="5">
        <v>0.0</v>
      </c>
      <c r="C652" s="6" t="s">
        <v>114</v>
      </c>
      <c r="D652" s="6" t="s">
        <v>1480</v>
      </c>
      <c r="E652" s="6" t="s">
        <v>1482</v>
      </c>
      <c r="F652" s="6">
        <v>6.9070501225E10</v>
      </c>
      <c r="G652" s="6" t="s">
        <v>228</v>
      </c>
      <c r="H652" s="7"/>
      <c r="I652" s="6" t="s">
        <v>3749</v>
      </c>
      <c r="J652" s="6" t="s">
        <v>7627</v>
      </c>
      <c r="K652" s="6" t="s">
        <v>7628</v>
      </c>
      <c r="L652" s="6" t="s">
        <v>7629</v>
      </c>
      <c r="M652" s="6" t="s">
        <v>7630</v>
      </c>
      <c r="N652" s="7"/>
      <c r="O652" s="6" t="s">
        <v>7631</v>
      </c>
      <c r="P652" s="6" t="s">
        <v>7632</v>
      </c>
      <c r="Q652" s="6" t="s">
        <v>7633</v>
      </c>
      <c r="R652" s="6" t="s">
        <v>246</v>
      </c>
      <c r="S652" s="6" t="s">
        <v>147</v>
      </c>
      <c r="T652" s="6" t="s">
        <v>250</v>
      </c>
      <c r="U652" s="6" t="s">
        <v>560</v>
      </c>
      <c r="V652" s="6" t="s">
        <v>246</v>
      </c>
      <c r="W652" s="6" t="s">
        <v>158</v>
      </c>
      <c r="X652" s="6" t="s">
        <v>246</v>
      </c>
      <c r="Y652" s="6" t="s">
        <v>162</v>
      </c>
      <c r="Z652" s="6" t="s">
        <v>165</v>
      </c>
      <c r="AA652" s="6" t="s">
        <v>262</v>
      </c>
      <c r="AB652" s="6" t="s">
        <v>171</v>
      </c>
      <c r="AC652" s="6" t="s">
        <v>174</v>
      </c>
      <c r="AD652" s="6" t="s">
        <v>175</v>
      </c>
      <c r="AE652" s="6" t="s">
        <v>271</v>
      </c>
      <c r="AF652" s="6" t="s">
        <v>181</v>
      </c>
      <c r="AG652" s="6" t="s">
        <v>182</v>
      </c>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row>
    <row r="653" ht="22.5" customHeight="1">
      <c r="A653" s="4">
        <v>46229.70034081019</v>
      </c>
      <c r="B653" s="5">
        <v>0.0</v>
      </c>
      <c r="C653" s="6" t="s">
        <v>114</v>
      </c>
      <c r="D653" s="6" t="s">
        <v>1484</v>
      </c>
      <c r="E653" s="6" t="s">
        <v>1486</v>
      </c>
      <c r="F653" s="6">
        <v>6.9070502225E10</v>
      </c>
      <c r="G653" s="6" t="s">
        <v>496</v>
      </c>
      <c r="H653" s="7"/>
      <c r="I653" s="6" t="s">
        <v>7634</v>
      </c>
      <c r="J653" s="6" t="s">
        <v>7635</v>
      </c>
      <c r="K653" s="6" t="s">
        <v>3083</v>
      </c>
      <c r="L653" s="6" t="s">
        <v>4409</v>
      </c>
      <c r="M653" s="6" t="s">
        <v>7636</v>
      </c>
      <c r="N653" s="6" t="s">
        <v>7637</v>
      </c>
      <c r="O653" s="6" t="s">
        <v>7638</v>
      </c>
      <c r="P653" s="6" t="s">
        <v>7639</v>
      </c>
      <c r="Q653" s="6" t="s">
        <v>7640</v>
      </c>
      <c r="R653" s="6" t="s">
        <v>246</v>
      </c>
      <c r="S653" s="6" t="s">
        <v>147</v>
      </c>
      <c r="T653" s="6" t="s">
        <v>250</v>
      </c>
      <c r="U653" s="6" t="s">
        <v>686</v>
      </c>
      <c r="V653" s="6" t="s">
        <v>246</v>
      </c>
      <c r="W653" s="6" t="s">
        <v>158</v>
      </c>
      <c r="X653" s="6" t="s">
        <v>257</v>
      </c>
      <c r="Y653" s="6" t="s">
        <v>162</v>
      </c>
      <c r="Z653" s="6" t="s">
        <v>165</v>
      </c>
      <c r="AA653" s="6" t="s">
        <v>262</v>
      </c>
      <c r="AB653" s="6" t="s">
        <v>171</v>
      </c>
      <c r="AC653" s="6" t="s">
        <v>174</v>
      </c>
      <c r="AD653" s="6" t="s">
        <v>175</v>
      </c>
      <c r="AE653" s="6" t="s">
        <v>271</v>
      </c>
      <c r="AF653" s="6" t="s">
        <v>181</v>
      </c>
      <c r="AG653" s="6" t="s">
        <v>182</v>
      </c>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row>
    <row r="654" ht="22.5" customHeight="1">
      <c r="A654" s="4">
        <v>46229.70034365741</v>
      </c>
      <c r="B654" s="5">
        <v>0.0</v>
      </c>
      <c r="C654" s="6" t="s">
        <v>114</v>
      </c>
      <c r="D654" s="6" t="s">
        <v>1487</v>
      </c>
      <c r="E654" s="6" t="s">
        <v>1488</v>
      </c>
      <c r="F654" s="6">
        <v>6.9070509607E10</v>
      </c>
      <c r="G654" s="6" t="s">
        <v>730</v>
      </c>
      <c r="H654" s="6" t="s">
        <v>7641</v>
      </c>
      <c r="I654" s="6" t="s">
        <v>7642</v>
      </c>
      <c r="J654" s="6" t="s">
        <v>7643</v>
      </c>
      <c r="K654" s="6" t="s">
        <v>7644</v>
      </c>
      <c r="L654" s="6" t="s">
        <v>7645</v>
      </c>
      <c r="M654" s="6" t="s">
        <v>7646</v>
      </c>
      <c r="N654" s="7"/>
      <c r="O654" s="6" t="s">
        <v>7647</v>
      </c>
      <c r="P654" s="6" t="s">
        <v>7648</v>
      </c>
      <c r="Q654" s="6" t="s">
        <v>7649</v>
      </c>
      <c r="R654" s="6" t="s">
        <v>257</v>
      </c>
      <c r="S654" s="6" t="s">
        <v>147</v>
      </c>
      <c r="T654" s="6" t="s">
        <v>149</v>
      </c>
      <c r="U654" s="6" t="s">
        <v>152</v>
      </c>
      <c r="V654" s="6" t="s">
        <v>246</v>
      </c>
      <c r="W654" s="6" t="s">
        <v>158</v>
      </c>
      <c r="X654" s="6" t="s">
        <v>458</v>
      </c>
      <c r="Y654" s="6" t="s">
        <v>162</v>
      </c>
      <c r="Z654" s="6" t="s">
        <v>165</v>
      </c>
      <c r="AA654" s="6" t="s">
        <v>262</v>
      </c>
      <c r="AB654" s="6" t="s">
        <v>521</v>
      </c>
      <c r="AC654" s="6" t="s">
        <v>174</v>
      </c>
      <c r="AD654" s="6" t="s">
        <v>175</v>
      </c>
      <c r="AE654" s="6" t="s">
        <v>271</v>
      </c>
      <c r="AF654" s="6" t="s">
        <v>181</v>
      </c>
      <c r="AG654" s="6" t="s">
        <v>182</v>
      </c>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row>
    <row r="655" ht="22.5" customHeight="1">
      <c r="A655" s="4">
        <v>46229.70034384259</v>
      </c>
      <c r="B655" s="5">
        <v>0.0</v>
      </c>
      <c r="C655" s="6" t="s">
        <v>114</v>
      </c>
      <c r="D655" s="6" t="s">
        <v>1489</v>
      </c>
      <c r="E655" s="6" t="s">
        <v>1490</v>
      </c>
      <c r="F655" s="6">
        <v>6.9070500235E10</v>
      </c>
      <c r="G655" s="6" t="s">
        <v>599</v>
      </c>
      <c r="H655" s="7"/>
      <c r="I655" s="6" t="s">
        <v>7650</v>
      </c>
      <c r="J655" s="6" t="s">
        <v>7651</v>
      </c>
      <c r="K655" s="6" t="s">
        <v>7652</v>
      </c>
      <c r="L655" s="6" t="s">
        <v>7653</v>
      </c>
      <c r="M655" s="6" t="s">
        <v>7654</v>
      </c>
      <c r="N655" s="6" t="s">
        <v>7655</v>
      </c>
      <c r="O655" s="6" t="s">
        <v>7656</v>
      </c>
      <c r="P655" s="6" t="s">
        <v>7657</v>
      </c>
      <c r="Q655" s="6" t="s">
        <v>7658</v>
      </c>
      <c r="R655" s="6" t="s">
        <v>246</v>
      </c>
      <c r="S655" s="6" t="s">
        <v>147</v>
      </c>
      <c r="T655" s="6" t="s">
        <v>250</v>
      </c>
      <c r="U655" s="6" t="s">
        <v>560</v>
      </c>
      <c r="V655" s="6" t="s">
        <v>246</v>
      </c>
      <c r="W655" s="6" t="s">
        <v>158</v>
      </c>
      <c r="X655" s="6" t="s">
        <v>257</v>
      </c>
      <c r="Y655" s="6" t="s">
        <v>162</v>
      </c>
      <c r="Z655" s="6" t="s">
        <v>165</v>
      </c>
      <c r="AA655" s="6" t="s">
        <v>262</v>
      </c>
      <c r="AB655" s="6" t="s">
        <v>521</v>
      </c>
      <c r="AC655" s="6" t="s">
        <v>1669</v>
      </c>
      <c r="AD655" s="6" t="s">
        <v>175</v>
      </c>
      <c r="AE655" s="6" t="s">
        <v>271</v>
      </c>
      <c r="AF655" s="6" t="s">
        <v>181</v>
      </c>
      <c r="AG655" s="6" t="s">
        <v>182</v>
      </c>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row>
    <row r="656" ht="22.5" customHeight="1">
      <c r="A656" s="4">
        <v>46229.70035162037</v>
      </c>
      <c r="B656" s="5">
        <v>0.0</v>
      </c>
      <c r="C656" s="6" t="s">
        <v>114</v>
      </c>
      <c r="D656" s="6" t="s">
        <v>1491</v>
      </c>
      <c r="E656" s="6" t="s">
        <v>1492</v>
      </c>
      <c r="F656" s="6">
        <v>6.9070500821E10</v>
      </c>
      <c r="G656" s="6" t="s">
        <v>496</v>
      </c>
      <c r="H656" s="7"/>
      <c r="I656" s="6" t="s">
        <v>2068</v>
      </c>
      <c r="J656" s="6" t="s">
        <v>7659</v>
      </c>
      <c r="K656" s="6" t="s">
        <v>7660</v>
      </c>
      <c r="L656" s="6" t="s">
        <v>7661</v>
      </c>
      <c r="M656" s="6" t="s">
        <v>7662</v>
      </c>
      <c r="N656" s="7"/>
      <c r="O656" s="6" t="s">
        <v>7663</v>
      </c>
      <c r="P656" s="6" t="s">
        <v>7664</v>
      </c>
      <c r="Q656" s="6" t="s">
        <v>7665</v>
      </c>
      <c r="R656" s="6" t="s">
        <v>246</v>
      </c>
      <c r="S656" s="6" t="s">
        <v>147</v>
      </c>
      <c r="T656" s="6" t="s">
        <v>250</v>
      </c>
      <c r="U656" s="6" t="s">
        <v>560</v>
      </c>
      <c r="V656" s="6" t="s">
        <v>246</v>
      </c>
      <c r="W656" s="6" t="s">
        <v>158</v>
      </c>
      <c r="X656" s="6" t="s">
        <v>257</v>
      </c>
      <c r="Y656" s="6" t="s">
        <v>162</v>
      </c>
      <c r="Z656" s="6" t="s">
        <v>165</v>
      </c>
      <c r="AA656" s="6" t="s">
        <v>262</v>
      </c>
      <c r="AB656" s="6" t="s">
        <v>171</v>
      </c>
      <c r="AC656" s="6" t="s">
        <v>174</v>
      </c>
      <c r="AD656" s="6" t="s">
        <v>175</v>
      </c>
      <c r="AE656" s="6" t="s">
        <v>271</v>
      </c>
      <c r="AF656" s="6" t="s">
        <v>181</v>
      </c>
      <c r="AG656" s="6" t="s">
        <v>182</v>
      </c>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row>
    <row r="657" ht="22.5" customHeight="1">
      <c r="A657" s="4">
        <v>46229.700354016204</v>
      </c>
      <c r="B657" s="5">
        <v>0.0</v>
      </c>
      <c r="C657" s="6" t="s">
        <v>114</v>
      </c>
      <c r="D657" s="6" t="s">
        <v>1493</v>
      </c>
      <c r="E657" s="6" t="s">
        <v>1494</v>
      </c>
      <c r="F657" s="6">
        <v>6.9070500208E10</v>
      </c>
      <c r="G657" s="6" t="s">
        <v>599</v>
      </c>
      <c r="H657" s="7"/>
      <c r="I657" s="6" t="s">
        <v>7666</v>
      </c>
      <c r="J657" s="6" t="s">
        <v>3280</v>
      </c>
      <c r="K657" s="6" t="s">
        <v>7667</v>
      </c>
      <c r="L657" s="6" t="s">
        <v>7668</v>
      </c>
      <c r="M657" s="6" t="s">
        <v>7669</v>
      </c>
      <c r="N657" s="7"/>
      <c r="O657" s="6" t="s">
        <v>7670</v>
      </c>
      <c r="P657" s="6" t="s">
        <v>7671</v>
      </c>
      <c r="Q657" s="6" t="s">
        <v>7672</v>
      </c>
      <c r="R657" s="6" t="s">
        <v>246</v>
      </c>
      <c r="S657" s="6" t="s">
        <v>147</v>
      </c>
      <c r="T657" s="6" t="s">
        <v>250</v>
      </c>
      <c r="U657" s="6" t="s">
        <v>560</v>
      </c>
      <c r="V657" s="6" t="s">
        <v>246</v>
      </c>
      <c r="W657" s="6" t="s">
        <v>158</v>
      </c>
      <c r="X657" s="6" t="s">
        <v>257</v>
      </c>
      <c r="Y657" s="6" t="s">
        <v>162</v>
      </c>
      <c r="Z657" s="6" t="s">
        <v>165</v>
      </c>
      <c r="AA657" s="6" t="s">
        <v>262</v>
      </c>
      <c r="AB657" s="6" t="s">
        <v>521</v>
      </c>
      <c r="AC657" s="6" t="s">
        <v>1669</v>
      </c>
      <c r="AD657" s="6" t="s">
        <v>175</v>
      </c>
      <c r="AE657" s="6" t="s">
        <v>271</v>
      </c>
      <c r="AF657" s="6" t="s">
        <v>181</v>
      </c>
      <c r="AG657" s="6" t="s">
        <v>182</v>
      </c>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row>
    <row r="658" ht="22.5" customHeight="1">
      <c r="A658" s="4">
        <v>46229.700354699075</v>
      </c>
      <c r="B658" s="5">
        <v>0.0</v>
      </c>
      <c r="C658" s="6" t="s">
        <v>114</v>
      </c>
      <c r="D658" s="6" t="s">
        <v>1495</v>
      </c>
      <c r="E658" s="6" t="s">
        <v>1496</v>
      </c>
      <c r="F658" s="6">
        <v>6.9070501246E10</v>
      </c>
      <c r="G658" s="6" t="s">
        <v>228</v>
      </c>
      <c r="H658" s="7"/>
      <c r="I658" s="6" t="s">
        <v>7673</v>
      </c>
      <c r="J658" s="6" t="s">
        <v>7674</v>
      </c>
      <c r="K658" s="6" t="s">
        <v>7675</v>
      </c>
      <c r="L658" s="6" t="s">
        <v>7676</v>
      </c>
      <c r="M658" s="6" t="s">
        <v>7677</v>
      </c>
      <c r="N658" s="7"/>
      <c r="O658" s="6" t="s">
        <v>7678</v>
      </c>
      <c r="P658" s="6" t="s">
        <v>7679</v>
      </c>
      <c r="Q658" s="6" t="s">
        <v>7680</v>
      </c>
      <c r="R658" s="6" t="s">
        <v>246</v>
      </c>
      <c r="S658" s="6" t="s">
        <v>147</v>
      </c>
      <c r="T658" s="6" t="s">
        <v>246</v>
      </c>
      <c r="U658" s="6" t="s">
        <v>152</v>
      </c>
      <c r="V658" s="6" t="s">
        <v>246</v>
      </c>
      <c r="W658" s="6" t="s">
        <v>158</v>
      </c>
      <c r="X658" s="6" t="s">
        <v>257</v>
      </c>
      <c r="Y658" s="6" t="s">
        <v>162</v>
      </c>
      <c r="Z658" s="6" t="s">
        <v>165</v>
      </c>
      <c r="AA658" s="6" t="s">
        <v>262</v>
      </c>
      <c r="AB658" s="6" t="s">
        <v>521</v>
      </c>
      <c r="AC658" s="6" t="s">
        <v>174</v>
      </c>
      <c r="AD658" s="6" t="s">
        <v>175</v>
      </c>
      <c r="AE658" s="6" t="s">
        <v>271</v>
      </c>
      <c r="AF658" s="6" t="s">
        <v>181</v>
      </c>
      <c r="AG658" s="6" t="s">
        <v>182</v>
      </c>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row>
    <row r="659" ht="22.5" customHeight="1">
      <c r="A659" s="4">
        <v>46229.70035490741</v>
      </c>
      <c r="B659" s="5">
        <v>0.0</v>
      </c>
      <c r="C659" s="6" t="s">
        <v>114</v>
      </c>
      <c r="D659" s="6" t="s">
        <v>1497</v>
      </c>
      <c r="E659" s="6" t="s">
        <v>1498</v>
      </c>
      <c r="F659" s="6">
        <v>6.9070501077E10</v>
      </c>
      <c r="G659" s="6" t="s">
        <v>1470</v>
      </c>
      <c r="H659" s="7"/>
      <c r="I659" s="6" t="s">
        <v>5802</v>
      </c>
      <c r="J659" s="6" t="s">
        <v>7681</v>
      </c>
      <c r="K659" s="6" t="s">
        <v>7682</v>
      </c>
      <c r="L659" s="6" t="s">
        <v>7683</v>
      </c>
      <c r="M659" s="6" t="s">
        <v>7684</v>
      </c>
      <c r="N659" s="7"/>
      <c r="O659" s="6" t="s">
        <v>7685</v>
      </c>
      <c r="P659" s="6" t="s">
        <v>7686</v>
      </c>
      <c r="Q659" s="6" t="s">
        <v>7687</v>
      </c>
      <c r="R659" s="6" t="s">
        <v>257</v>
      </c>
      <c r="S659" s="6" t="s">
        <v>147</v>
      </c>
      <c r="T659" s="6" t="s">
        <v>516</v>
      </c>
      <c r="U659" s="6" t="s">
        <v>152</v>
      </c>
      <c r="V659" s="6" t="s">
        <v>155</v>
      </c>
      <c r="W659" s="6" t="s">
        <v>158</v>
      </c>
      <c r="X659" s="6" t="s">
        <v>458</v>
      </c>
      <c r="Y659" s="6" t="s">
        <v>162</v>
      </c>
      <c r="Z659" s="6" t="s">
        <v>165</v>
      </c>
      <c r="AA659" s="6" t="s">
        <v>262</v>
      </c>
      <c r="AB659" s="6" t="s">
        <v>521</v>
      </c>
      <c r="AC659" s="6" t="s">
        <v>1210</v>
      </c>
      <c r="AD659" s="6" t="s">
        <v>1723</v>
      </c>
      <c r="AE659" s="6" t="s">
        <v>1211</v>
      </c>
      <c r="AF659" s="6" t="s">
        <v>181</v>
      </c>
      <c r="AG659" s="6" t="s">
        <v>1326</v>
      </c>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row>
    <row r="660" ht="22.5" customHeight="1">
      <c r="A660" s="4">
        <v>46229.7003597338</v>
      </c>
      <c r="B660" s="5">
        <v>0.0</v>
      </c>
      <c r="C660" s="6" t="s">
        <v>114</v>
      </c>
      <c r="D660" s="6" t="s">
        <v>1499</v>
      </c>
      <c r="E660" s="6" t="s">
        <v>1500</v>
      </c>
      <c r="F660" s="6">
        <v>6.9070509412E10</v>
      </c>
      <c r="G660" s="6" t="s">
        <v>122</v>
      </c>
      <c r="H660" s="7"/>
      <c r="I660" s="6" t="s">
        <v>7688</v>
      </c>
      <c r="J660" s="6" t="s">
        <v>7689</v>
      </c>
      <c r="K660" s="6" t="s">
        <v>7690</v>
      </c>
      <c r="L660" s="6" t="s">
        <v>7691</v>
      </c>
      <c r="M660" s="6" t="s">
        <v>7692</v>
      </c>
      <c r="N660" s="6" t="s">
        <v>7693</v>
      </c>
      <c r="O660" s="6" t="s">
        <v>7694</v>
      </c>
      <c r="P660" s="6" t="s">
        <v>7695</v>
      </c>
      <c r="Q660" s="6" t="s">
        <v>7696</v>
      </c>
      <c r="R660" s="6" t="s">
        <v>246</v>
      </c>
      <c r="S660" s="6" t="s">
        <v>147</v>
      </c>
      <c r="T660" s="6" t="s">
        <v>250</v>
      </c>
      <c r="U660" s="6" t="s">
        <v>252</v>
      </c>
      <c r="V660" s="6" t="s">
        <v>246</v>
      </c>
      <c r="W660" s="6" t="s">
        <v>158</v>
      </c>
      <c r="X660" s="6" t="s">
        <v>257</v>
      </c>
      <c r="Y660" s="6" t="s">
        <v>162</v>
      </c>
      <c r="Z660" s="6" t="s">
        <v>165</v>
      </c>
      <c r="AA660" s="6" t="s">
        <v>262</v>
      </c>
      <c r="AB660" s="6" t="s">
        <v>171</v>
      </c>
      <c r="AC660" s="6" t="s">
        <v>174</v>
      </c>
      <c r="AD660" s="6" t="s">
        <v>175</v>
      </c>
      <c r="AE660" s="6" t="s">
        <v>271</v>
      </c>
      <c r="AF660" s="6" t="s">
        <v>181</v>
      </c>
      <c r="AG660" s="6" t="s">
        <v>182</v>
      </c>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row>
    <row r="661" ht="22.5" customHeight="1">
      <c r="A661" s="4">
        <v>46229.70036416667</v>
      </c>
      <c r="B661" s="5">
        <v>0.0</v>
      </c>
      <c r="C661" s="6" t="s">
        <v>114</v>
      </c>
      <c r="D661" s="6" t="s">
        <v>1501</v>
      </c>
      <c r="E661" s="6" t="s">
        <v>1502</v>
      </c>
      <c r="F661" s="6">
        <v>6.9070509407E10</v>
      </c>
      <c r="G661" s="6" t="s">
        <v>122</v>
      </c>
      <c r="H661" s="7"/>
      <c r="I661" s="6" t="s">
        <v>7688</v>
      </c>
      <c r="J661" s="6" t="s">
        <v>5488</v>
      </c>
      <c r="K661" s="6" t="s">
        <v>3057</v>
      </c>
      <c r="L661" s="6" t="s">
        <v>7691</v>
      </c>
      <c r="M661" s="6" t="s">
        <v>6581</v>
      </c>
      <c r="N661" s="6" t="s">
        <v>7697</v>
      </c>
      <c r="O661" s="6" t="s">
        <v>7698</v>
      </c>
      <c r="P661" s="6" t="s">
        <v>7699</v>
      </c>
      <c r="Q661" s="6" t="s">
        <v>7700</v>
      </c>
      <c r="R661" s="6" t="s">
        <v>246</v>
      </c>
      <c r="S661" s="6" t="s">
        <v>147</v>
      </c>
      <c r="T661" s="6" t="s">
        <v>250</v>
      </c>
      <c r="U661" s="6" t="s">
        <v>252</v>
      </c>
      <c r="V661" s="6" t="s">
        <v>246</v>
      </c>
      <c r="W661" s="6" t="s">
        <v>158</v>
      </c>
      <c r="X661" s="6" t="s">
        <v>257</v>
      </c>
      <c r="Y661" s="6" t="s">
        <v>162</v>
      </c>
      <c r="Z661" s="6" t="s">
        <v>165</v>
      </c>
      <c r="AA661" s="6" t="s">
        <v>262</v>
      </c>
      <c r="AB661" s="6" t="s">
        <v>171</v>
      </c>
      <c r="AC661" s="6" t="s">
        <v>174</v>
      </c>
      <c r="AD661" s="6" t="s">
        <v>175</v>
      </c>
      <c r="AE661" s="6" t="s">
        <v>271</v>
      </c>
      <c r="AF661" s="6" t="s">
        <v>181</v>
      </c>
      <c r="AG661" s="6" t="s">
        <v>182</v>
      </c>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row>
    <row r="662" ht="22.5" customHeight="1">
      <c r="A662" s="4">
        <v>46229.70036565972</v>
      </c>
      <c r="B662" s="5">
        <v>0.0</v>
      </c>
      <c r="C662" s="6" t="s">
        <v>114</v>
      </c>
      <c r="D662" s="6" t="s">
        <v>1503</v>
      </c>
      <c r="E662" s="6" t="s">
        <v>1504</v>
      </c>
      <c r="F662" s="6">
        <v>6.9070500861E10</v>
      </c>
      <c r="G662" s="6" t="s">
        <v>496</v>
      </c>
      <c r="H662" s="7"/>
      <c r="I662" s="6" t="s">
        <v>7701</v>
      </c>
      <c r="J662" s="6" t="s">
        <v>7702</v>
      </c>
      <c r="K662" s="6" t="s">
        <v>7703</v>
      </c>
      <c r="L662" s="6" t="s">
        <v>7134</v>
      </c>
      <c r="M662" s="6" t="s">
        <v>7704</v>
      </c>
      <c r="N662" s="7"/>
      <c r="O662" s="6" t="s">
        <v>7705</v>
      </c>
      <c r="P662" s="6" t="s">
        <v>7706</v>
      </c>
      <c r="Q662" s="6" t="s">
        <v>7707</v>
      </c>
      <c r="R662" s="6" t="s">
        <v>246</v>
      </c>
      <c r="S662" s="6" t="s">
        <v>147</v>
      </c>
      <c r="T662" s="6" t="s">
        <v>246</v>
      </c>
      <c r="U662" s="6" t="s">
        <v>560</v>
      </c>
      <c r="V662" s="6" t="s">
        <v>246</v>
      </c>
      <c r="W662" s="6" t="s">
        <v>158</v>
      </c>
      <c r="X662" s="6" t="s">
        <v>257</v>
      </c>
      <c r="Y662" s="6" t="s">
        <v>162</v>
      </c>
      <c r="Z662" s="6" t="s">
        <v>165</v>
      </c>
      <c r="AA662" s="6" t="s">
        <v>1322</v>
      </c>
      <c r="AB662" s="6" t="s">
        <v>171</v>
      </c>
      <c r="AC662" s="6" t="s">
        <v>174</v>
      </c>
      <c r="AD662" s="6" t="s">
        <v>175</v>
      </c>
      <c r="AE662" s="6" t="s">
        <v>271</v>
      </c>
      <c r="AF662" s="6" t="s">
        <v>181</v>
      </c>
      <c r="AG662" s="6" t="s">
        <v>182</v>
      </c>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row>
    <row r="663" ht="22.5" customHeight="1">
      <c r="A663" s="4">
        <v>46229.70037075231</v>
      </c>
      <c r="B663" s="5">
        <v>0.0</v>
      </c>
      <c r="C663" s="6" t="s">
        <v>114</v>
      </c>
      <c r="D663" s="6" t="s">
        <v>1505</v>
      </c>
      <c r="E663" s="6" t="s">
        <v>1506</v>
      </c>
      <c r="F663" s="6">
        <v>6.9070505226E10</v>
      </c>
      <c r="G663" s="6" t="s">
        <v>1470</v>
      </c>
      <c r="H663" s="7"/>
      <c r="I663" s="6" t="s">
        <v>7708</v>
      </c>
      <c r="J663" s="6" t="s">
        <v>7709</v>
      </c>
      <c r="K663" s="6" t="s">
        <v>3736</v>
      </c>
      <c r="L663" s="6" t="s">
        <v>7710</v>
      </c>
      <c r="M663" s="6" t="s">
        <v>7711</v>
      </c>
      <c r="N663" s="7"/>
      <c r="O663" s="6" t="s">
        <v>7712</v>
      </c>
      <c r="P663" s="6" t="s">
        <v>7713</v>
      </c>
      <c r="Q663" s="6" t="s">
        <v>7714</v>
      </c>
      <c r="R663" s="6" t="s">
        <v>246</v>
      </c>
      <c r="S663" s="6" t="s">
        <v>147</v>
      </c>
      <c r="T663" s="6" t="s">
        <v>250</v>
      </c>
      <c r="U663" s="6" t="s">
        <v>252</v>
      </c>
      <c r="V663" s="6" t="s">
        <v>246</v>
      </c>
      <c r="W663" s="6" t="s">
        <v>158</v>
      </c>
      <c r="X663" s="6" t="s">
        <v>458</v>
      </c>
      <c r="Y663" s="6" t="s">
        <v>162</v>
      </c>
      <c r="Z663" s="6" t="s">
        <v>165</v>
      </c>
      <c r="AA663" s="6" t="s">
        <v>262</v>
      </c>
      <c r="AB663" s="6" t="s">
        <v>521</v>
      </c>
      <c r="AC663" s="6" t="s">
        <v>174</v>
      </c>
      <c r="AD663" s="6" t="s">
        <v>175</v>
      </c>
      <c r="AE663" s="6" t="s">
        <v>271</v>
      </c>
      <c r="AF663" s="6" t="s">
        <v>181</v>
      </c>
      <c r="AG663" s="6" t="s">
        <v>182</v>
      </c>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row>
    <row r="664" ht="22.5" customHeight="1">
      <c r="A664" s="4">
        <v>46229.70038076389</v>
      </c>
      <c r="B664" s="5">
        <v>0.0</v>
      </c>
      <c r="C664" s="6" t="s">
        <v>114</v>
      </c>
      <c r="D664" s="6" t="s">
        <v>1507</v>
      </c>
      <c r="E664" s="6" t="s">
        <v>1508</v>
      </c>
      <c r="F664" s="6">
        <v>6.9070500085E10</v>
      </c>
      <c r="G664" s="6" t="s">
        <v>4580</v>
      </c>
      <c r="H664" s="7"/>
      <c r="I664" s="6" t="s">
        <v>7715</v>
      </c>
      <c r="J664" s="6" t="s">
        <v>7716</v>
      </c>
      <c r="K664" s="6" t="s">
        <v>7717</v>
      </c>
      <c r="L664" s="6" t="s">
        <v>7718</v>
      </c>
      <c r="M664" s="6" t="s">
        <v>7719</v>
      </c>
      <c r="N664" s="7"/>
      <c r="O664" s="6" t="s">
        <v>7720</v>
      </c>
      <c r="P664" s="6" t="s">
        <v>7721</v>
      </c>
      <c r="Q664" s="6" t="s">
        <v>7722</v>
      </c>
      <c r="R664" s="6" t="s">
        <v>257</v>
      </c>
      <c r="S664" s="6" t="s">
        <v>147</v>
      </c>
      <c r="T664" s="6" t="s">
        <v>250</v>
      </c>
      <c r="U664" s="6" t="s">
        <v>252</v>
      </c>
      <c r="V664" s="6" t="s">
        <v>246</v>
      </c>
      <c r="W664" s="6" t="s">
        <v>158</v>
      </c>
      <c r="X664" s="6" t="s">
        <v>458</v>
      </c>
      <c r="Y664" s="6" t="s">
        <v>162</v>
      </c>
      <c r="Z664" s="6" t="s">
        <v>165</v>
      </c>
      <c r="AA664" s="6" t="s">
        <v>262</v>
      </c>
      <c r="AB664" s="6" t="s">
        <v>521</v>
      </c>
      <c r="AC664" s="6" t="s">
        <v>174</v>
      </c>
      <c r="AD664" s="6" t="s">
        <v>1723</v>
      </c>
      <c r="AE664" s="6" t="s">
        <v>271</v>
      </c>
      <c r="AF664" s="6" t="s">
        <v>811</v>
      </c>
      <c r="AG664" s="6" t="s">
        <v>812</v>
      </c>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row>
    <row r="665" ht="22.5" customHeight="1">
      <c r="A665" s="4">
        <v>46229.70038193287</v>
      </c>
      <c r="B665" s="5">
        <v>0.0</v>
      </c>
      <c r="C665" s="6" t="s">
        <v>114</v>
      </c>
      <c r="D665" s="6" t="s">
        <v>1509</v>
      </c>
      <c r="E665" s="6" t="s">
        <v>1510</v>
      </c>
      <c r="F665" s="6">
        <v>6.9070500242E10</v>
      </c>
      <c r="G665" s="6" t="s">
        <v>599</v>
      </c>
      <c r="H665" s="7"/>
      <c r="I665" s="6" t="s">
        <v>7723</v>
      </c>
      <c r="J665" s="6" t="s">
        <v>7724</v>
      </c>
      <c r="K665" s="6" t="s">
        <v>5842</v>
      </c>
      <c r="L665" s="6" t="s">
        <v>3570</v>
      </c>
      <c r="M665" s="6" t="s">
        <v>7725</v>
      </c>
      <c r="N665" s="6" t="s">
        <v>6694</v>
      </c>
      <c r="O665" s="6" t="s">
        <v>7726</v>
      </c>
      <c r="P665" s="6" t="s">
        <v>7727</v>
      </c>
      <c r="Q665" s="6" t="s">
        <v>7728</v>
      </c>
      <c r="R665" s="6" t="s">
        <v>246</v>
      </c>
      <c r="S665" s="6" t="s">
        <v>147</v>
      </c>
      <c r="T665" s="6" t="s">
        <v>250</v>
      </c>
      <c r="U665" s="6" t="s">
        <v>252</v>
      </c>
      <c r="V665" s="6" t="s">
        <v>155</v>
      </c>
      <c r="W665" s="6" t="s">
        <v>158</v>
      </c>
      <c r="X665" s="6" t="s">
        <v>257</v>
      </c>
      <c r="Y665" s="6" t="s">
        <v>162</v>
      </c>
      <c r="Z665" s="6" t="s">
        <v>165</v>
      </c>
      <c r="AA665" s="6" t="s">
        <v>262</v>
      </c>
      <c r="AB665" s="6" t="s">
        <v>171</v>
      </c>
      <c r="AC665" s="6" t="s">
        <v>174</v>
      </c>
      <c r="AD665" s="6" t="s">
        <v>175</v>
      </c>
      <c r="AE665" s="6" t="s">
        <v>271</v>
      </c>
      <c r="AF665" s="6" t="s">
        <v>181</v>
      </c>
      <c r="AG665" s="6" t="s">
        <v>182</v>
      </c>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row>
    <row r="666" ht="22.5" customHeight="1">
      <c r="A666" s="4">
        <v>46229.70038325232</v>
      </c>
      <c r="B666" s="5">
        <v>0.0</v>
      </c>
      <c r="C666" s="6" t="s">
        <v>114</v>
      </c>
      <c r="D666" s="6" t="s">
        <v>1511</v>
      </c>
      <c r="E666" s="6" t="s">
        <v>1512</v>
      </c>
      <c r="F666" s="6">
        <v>6.9070501273E10</v>
      </c>
      <c r="G666" s="6" t="s">
        <v>228</v>
      </c>
      <c r="H666" s="6" t="s">
        <v>2633</v>
      </c>
      <c r="I666" s="6" t="s">
        <v>7240</v>
      </c>
      <c r="J666" s="6" t="s">
        <v>4092</v>
      </c>
      <c r="K666" s="6" t="s">
        <v>7729</v>
      </c>
      <c r="L666" s="6" t="s">
        <v>7730</v>
      </c>
      <c r="M666" s="6" t="s">
        <v>7731</v>
      </c>
      <c r="N666" s="6" t="s">
        <v>2633</v>
      </c>
      <c r="O666" s="6" t="s">
        <v>7732</v>
      </c>
      <c r="P666" s="6" t="s">
        <v>7733</v>
      </c>
      <c r="Q666" s="6" t="s">
        <v>7734</v>
      </c>
      <c r="R666" s="6" t="s">
        <v>861</v>
      </c>
      <c r="S666" s="6" t="s">
        <v>147</v>
      </c>
      <c r="T666" s="6" t="s">
        <v>250</v>
      </c>
      <c r="U666" s="6" t="s">
        <v>686</v>
      </c>
      <c r="V666" s="6" t="s">
        <v>155</v>
      </c>
      <c r="W666" s="6" t="s">
        <v>932</v>
      </c>
      <c r="X666" s="6" t="s">
        <v>458</v>
      </c>
      <c r="Y666" s="6" t="s">
        <v>162</v>
      </c>
      <c r="Z666" s="6" t="s">
        <v>165</v>
      </c>
      <c r="AA666" s="6" t="s">
        <v>262</v>
      </c>
      <c r="AB666" s="6" t="s">
        <v>171</v>
      </c>
      <c r="AC666" s="6" t="s">
        <v>174</v>
      </c>
      <c r="AD666" s="6" t="s">
        <v>175</v>
      </c>
      <c r="AE666" s="6" t="s">
        <v>271</v>
      </c>
      <c r="AF666" s="6" t="s">
        <v>181</v>
      </c>
      <c r="AG666" s="6" t="s">
        <v>182</v>
      </c>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row>
    <row r="667" ht="22.5" customHeight="1">
      <c r="A667" s="4">
        <v>46229.70038472222</v>
      </c>
      <c r="B667" s="5">
        <v>0.0</v>
      </c>
      <c r="C667" s="6" t="s">
        <v>114</v>
      </c>
      <c r="D667" s="6" t="s">
        <v>1513</v>
      </c>
      <c r="E667" s="6" t="s">
        <v>1514</v>
      </c>
      <c r="F667" s="6">
        <v>6.9070500309E10</v>
      </c>
      <c r="G667" s="6" t="s">
        <v>599</v>
      </c>
      <c r="H667" s="7"/>
      <c r="I667" s="6" t="s">
        <v>7735</v>
      </c>
      <c r="J667" s="6" t="s">
        <v>7725</v>
      </c>
      <c r="K667" s="6" t="s">
        <v>7736</v>
      </c>
      <c r="L667" s="6" t="s">
        <v>5108</v>
      </c>
      <c r="M667" s="6" t="s">
        <v>6699</v>
      </c>
      <c r="N667" s="7"/>
      <c r="O667" s="6" t="s">
        <v>7737</v>
      </c>
      <c r="P667" s="6" t="s">
        <v>7738</v>
      </c>
      <c r="Q667" s="6" t="s">
        <v>7739</v>
      </c>
      <c r="R667" s="6" t="s">
        <v>246</v>
      </c>
      <c r="S667" s="6" t="s">
        <v>147</v>
      </c>
      <c r="T667" s="6" t="s">
        <v>250</v>
      </c>
      <c r="U667" s="6" t="s">
        <v>252</v>
      </c>
      <c r="V667" s="6" t="s">
        <v>155</v>
      </c>
      <c r="W667" s="6" t="s">
        <v>158</v>
      </c>
      <c r="X667" s="6" t="s">
        <v>257</v>
      </c>
      <c r="Y667" s="6" t="s">
        <v>162</v>
      </c>
      <c r="Z667" s="6" t="s">
        <v>165</v>
      </c>
      <c r="AA667" s="6" t="s">
        <v>262</v>
      </c>
      <c r="AB667" s="6" t="s">
        <v>171</v>
      </c>
      <c r="AC667" s="6" t="s">
        <v>174</v>
      </c>
      <c r="AD667" s="6" t="s">
        <v>175</v>
      </c>
      <c r="AE667" s="6" t="s">
        <v>271</v>
      </c>
      <c r="AF667" s="6" t="s">
        <v>181</v>
      </c>
      <c r="AG667" s="6" t="s">
        <v>182</v>
      </c>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row>
    <row r="668" ht="22.5" customHeight="1">
      <c r="A668" s="4">
        <v>46229.70038577546</v>
      </c>
      <c r="B668" s="5">
        <v>0.0</v>
      </c>
      <c r="C668" s="6" t="s">
        <v>114</v>
      </c>
      <c r="D668" s="6" t="s">
        <v>1515</v>
      </c>
      <c r="E668" s="6" t="s">
        <v>1516</v>
      </c>
      <c r="F668" s="6">
        <v>6.9070502473E10</v>
      </c>
      <c r="G668" s="6" t="s">
        <v>122</v>
      </c>
      <c r="H668" s="6" t="s">
        <v>7134</v>
      </c>
      <c r="I668" s="6" t="s">
        <v>7740</v>
      </c>
      <c r="J668" s="6" t="s">
        <v>7741</v>
      </c>
      <c r="K668" s="6" t="s">
        <v>7516</v>
      </c>
      <c r="L668" s="6" t="s">
        <v>7742</v>
      </c>
      <c r="M668" s="6" t="s">
        <v>7743</v>
      </c>
      <c r="N668" s="7"/>
      <c r="O668" s="6" t="s">
        <v>7744</v>
      </c>
      <c r="P668" s="6" t="s">
        <v>7745</v>
      </c>
      <c r="Q668" s="6" t="s">
        <v>7746</v>
      </c>
      <c r="R668" s="6" t="s">
        <v>257</v>
      </c>
      <c r="S668" s="6" t="s">
        <v>147</v>
      </c>
      <c r="T668" s="6" t="s">
        <v>250</v>
      </c>
      <c r="U668" s="6" t="s">
        <v>252</v>
      </c>
      <c r="V668" s="6" t="s">
        <v>246</v>
      </c>
      <c r="W668" s="6" t="s">
        <v>158</v>
      </c>
      <c r="X668" s="6" t="s">
        <v>246</v>
      </c>
      <c r="Y668" s="6" t="s">
        <v>162</v>
      </c>
      <c r="Z668" s="6" t="s">
        <v>165</v>
      </c>
      <c r="AA668" s="6" t="s">
        <v>262</v>
      </c>
      <c r="AB668" s="6" t="s">
        <v>171</v>
      </c>
      <c r="AC668" s="6" t="s">
        <v>174</v>
      </c>
      <c r="AD668" s="6" t="s">
        <v>175</v>
      </c>
      <c r="AE668" s="6" t="s">
        <v>271</v>
      </c>
      <c r="AF668" s="6" t="s">
        <v>181</v>
      </c>
      <c r="AG668" s="6" t="s">
        <v>182</v>
      </c>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row>
    <row r="669" ht="22.5" customHeight="1">
      <c r="A669" s="4">
        <v>46229.70038865741</v>
      </c>
      <c r="B669" s="5">
        <v>0.0</v>
      </c>
      <c r="C669" s="6" t="s">
        <v>114</v>
      </c>
      <c r="D669" s="6" t="s">
        <v>1517</v>
      </c>
      <c r="E669" s="6" t="s">
        <v>1518</v>
      </c>
      <c r="F669" s="6">
        <v>6.907050943E10</v>
      </c>
      <c r="G669" s="6" t="s">
        <v>122</v>
      </c>
      <c r="H669" s="6" t="s">
        <v>7747</v>
      </c>
      <c r="I669" s="6" t="s">
        <v>7748</v>
      </c>
      <c r="J669" s="6" t="s">
        <v>7749</v>
      </c>
      <c r="K669" s="6" t="s">
        <v>7750</v>
      </c>
      <c r="L669" s="6" t="s">
        <v>7751</v>
      </c>
      <c r="M669" s="6" t="s">
        <v>7752</v>
      </c>
      <c r="N669" s="7"/>
      <c r="O669" s="6" t="s">
        <v>7753</v>
      </c>
      <c r="P669" s="6" t="s">
        <v>7754</v>
      </c>
      <c r="Q669" s="6" t="s">
        <v>7755</v>
      </c>
      <c r="R669" s="6" t="s">
        <v>246</v>
      </c>
      <c r="S669" s="6" t="s">
        <v>147</v>
      </c>
      <c r="T669" s="6" t="s">
        <v>250</v>
      </c>
      <c r="U669" s="6" t="s">
        <v>252</v>
      </c>
      <c r="V669" s="6" t="s">
        <v>155</v>
      </c>
      <c r="W669" s="6" t="s">
        <v>932</v>
      </c>
      <c r="X669" s="6" t="s">
        <v>161</v>
      </c>
      <c r="Y669" s="6" t="s">
        <v>162</v>
      </c>
      <c r="Z669" s="6" t="s">
        <v>165</v>
      </c>
      <c r="AA669" s="6" t="s">
        <v>262</v>
      </c>
      <c r="AB669" s="6" t="s">
        <v>171</v>
      </c>
      <c r="AC669" s="6" t="s">
        <v>174</v>
      </c>
      <c r="AD669" s="6" t="s">
        <v>175</v>
      </c>
      <c r="AE669" s="6" t="s">
        <v>524</v>
      </c>
      <c r="AF669" s="6" t="s">
        <v>181</v>
      </c>
      <c r="AG669" s="6" t="s">
        <v>182</v>
      </c>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row>
    <row r="670" ht="22.5" customHeight="1">
      <c r="A670" s="4">
        <v>46229.70038946759</v>
      </c>
      <c r="B670" s="5">
        <v>0.0</v>
      </c>
      <c r="C670" s="6" t="s">
        <v>114</v>
      </c>
      <c r="D670" s="6" t="s">
        <v>1519</v>
      </c>
      <c r="E670" s="6" t="s">
        <v>1520</v>
      </c>
      <c r="F670" s="6">
        <v>6.9070501824E10</v>
      </c>
      <c r="G670" s="6" t="s">
        <v>730</v>
      </c>
      <c r="H670" s="7"/>
      <c r="I670" s="6" t="s">
        <v>7756</v>
      </c>
      <c r="J670" s="6" t="s">
        <v>6789</v>
      </c>
      <c r="K670" s="6" t="s">
        <v>7757</v>
      </c>
      <c r="L670" s="6" t="s">
        <v>6023</v>
      </c>
      <c r="M670" s="6" t="s">
        <v>7758</v>
      </c>
      <c r="N670" s="7"/>
      <c r="O670" s="6" t="s">
        <v>7759</v>
      </c>
      <c r="P670" s="6" t="s">
        <v>7760</v>
      </c>
      <c r="Q670" s="6" t="s">
        <v>7761</v>
      </c>
      <c r="R670" s="6" t="s">
        <v>257</v>
      </c>
      <c r="S670" s="6" t="s">
        <v>147</v>
      </c>
      <c r="T670" s="6" t="s">
        <v>250</v>
      </c>
      <c r="U670" s="6" t="s">
        <v>2254</v>
      </c>
      <c r="V670" s="6" t="s">
        <v>155</v>
      </c>
      <c r="W670" s="6" t="s">
        <v>158</v>
      </c>
      <c r="X670" s="6" t="s">
        <v>257</v>
      </c>
      <c r="Y670" s="6" t="s">
        <v>162</v>
      </c>
      <c r="Z670" s="6" t="s">
        <v>165</v>
      </c>
      <c r="AA670" s="6" t="s">
        <v>262</v>
      </c>
      <c r="AB670" s="6" t="s">
        <v>171</v>
      </c>
      <c r="AC670" s="6" t="s">
        <v>174</v>
      </c>
      <c r="AD670" s="6" t="s">
        <v>175</v>
      </c>
      <c r="AE670" s="6" t="s">
        <v>271</v>
      </c>
      <c r="AF670" s="6" t="s">
        <v>181</v>
      </c>
      <c r="AG670" s="6" t="s">
        <v>182</v>
      </c>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row>
    <row r="671" ht="22.5" customHeight="1">
      <c r="A671" s="4">
        <v>46229.70039371528</v>
      </c>
      <c r="B671" s="5">
        <v>0.0</v>
      </c>
      <c r="C671" s="6" t="s">
        <v>114</v>
      </c>
      <c r="D671" s="6" t="s">
        <v>1464</v>
      </c>
      <c r="E671" s="6" t="s">
        <v>1521</v>
      </c>
      <c r="F671" s="6">
        <v>6.9070502425E10</v>
      </c>
      <c r="G671" s="6" t="s">
        <v>122</v>
      </c>
      <c r="H671" s="6" t="s">
        <v>7762</v>
      </c>
      <c r="I671" s="6" t="s">
        <v>7763</v>
      </c>
      <c r="J671" s="6" t="s">
        <v>7764</v>
      </c>
      <c r="K671" s="6" t="s">
        <v>7765</v>
      </c>
      <c r="L671" s="6" t="s">
        <v>7766</v>
      </c>
      <c r="M671" s="6" t="s">
        <v>7767</v>
      </c>
      <c r="N671" s="7"/>
      <c r="O671" s="6" t="s">
        <v>7768</v>
      </c>
      <c r="P671" s="6" t="s">
        <v>7769</v>
      </c>
      <c r="Q671" s="6" t="s">
        <v>7770</v>
      </c>
      <c r="R671" s="6" t="s">
        <v>246</v>
      </c>
      <c r="S671" s="6" t="s">
        <v>147</v>
      </c>
      <c r="T671" s="6" t="s">
        <v>250</v>
      </c>
      <c r="U671" s="6" t="s">
        <v>686</v>
      </c>
      <c r="V671" s="6" t="s">
        <v>246</v>
      </c>
      <c r="W671" s="6" t="s">
        <v>158</v>
      </c>
      <c r="X671" s="6" t="s">
        <v>257</v>
      </c>
      <c r="Y671" s="6" t="s">
        <v>162</v>
      </c>
      <c r="Z671" s="6" t="s">
        <v>165</v>
      </c>
      <c r="AA671" s="6" t="s">
        <v>262</v>
      </c>
      <c r="AB671" s="6" t="s">
        <v>521</v>
      </c>
      <c r="AC671" s="6" t="s">
        <v>174</v>
      </c>
      <c r="AD671" s="6" t="s">
        <v>175</v>
      </c>
      <c r="AE671" s="6" t="s">
        <v>271</v>
      </c>
      <c r="AF671" s="6" t="s">
        <v>181</v>
      </c>
      <c r="AG671" s="6" t="s">
        <v>182</v>
      </c>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row>
    <row r="672" ht="22.5" customHeight="1">
      <c r="A672" s="4">
        <v>46229.700400312504</v>
      </c>
      <c r="B672" s="5">
        <v>0.0</v>
      </c>
      <c r="C672" s="6" t="s">
        <v>114</v>
      </c>
      <c r="D672" s="6" t="s">
        <v>1522</v>
      </c>
      <c r="E672" s="6" t="s">
        <v>1523</v>
      </c>
      <c r="F672" s="6">
        <v>6.9070502843E10</v>
      </c>
      <c r="G672" s="6" t="s">
        <v>310</v>
      </c>
      <c r="H672" s="6" t="s">
        <v>7771</v>
      </c>
      <c r="I672" s="6" t="s">
        <v>7772</v>
      </c>
      <c r="J672" s="6" t="s">
        <v>7091</v>
      </c>
      <c r="K672" s="6" t="s">
        <v>7773</v>
      </c>
      <c r="L672" s="6" t="s">
        <v>7774</v>
      </c>
      <c r="M672" s="6" t="s">
        <v>7775</v>
      </c>
      <c r="N672" s="7"/>
      <c r="O672" s="6" t="s">
        <v>7776</v>
      </c>
      <c r="P672" s="6" t="s">
        <v>7777</v>
      </c>
      <c r="Q672" s="6" t="s">
        <v>7778</v>
      </c>
      <c r="R672" s="6" t="s">
        <v>257</v>
      </c>
      <c r="S672" s="6" t="s">
        <v>147</v>
      </c>
      <c r="T672" s="6" t="s">
        <v>149</v>
      </c>
      <c r="U672" s="6" t="s">
        <v>252</v>
      </c>
      <c r="V672" s="6" t="s">
        <v>246</v>
      </c>
      <c r="W672" s="6" t="s">
        <v>158</v>
      </c>
      <c r="X672" s="6" t="s">
        <v>161</v>
      </c>
      <c r="Y672" s="6" t="s">
        <v>162</v>
      </c>
      <c r="Z672" s="6" t="s">
        <v>152</v>
      </c>
      <c r="AA672" s="6" t="s">
        <v>262</v>
      </c>
      <c r="AB672" s="6" t="s">
        <v>521</v>
      </c>
      <c r="AC672" s="6" t="s">
        <v>1669</v>
      </c>
      <c r="AD672" s="6" t="s">
        <v>1723</v>
      </c>
      <c r="AE672" s="6" t="s">
        <v>524</v>
      </c>
      <c r="AF672" s="6" t="s">
        <v>811</v>
      </c>
      <c r="AG672" s="6" t="s">
        <v>812</v>
      </c>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row>
    <row r="673" ht="22.5" customHeight="1">
      <c r="A673" s="4">
        <v>46229.70040543981</v>
      </c>
      <c r="B673" s="5">
        <v>0.0</v>
      </c>
      <c r="C673" s="6" t="s">
        <v>114</v>
      </c>
      <c r="D673" s="6" t="s">
        <v>1524</v>
      </c>
      <c r="E673" s="6" t="s">
        <v>1525</v>
      </c>
      <c r="F673" s="6">
        <v>6.9070502456E10</v>
      </c>
      <c r="G673" s="6" t="s">
        <v>122</v>
      </c>
      <c r="H673" s="7"/>
      <c r="I673" s="6" t="s">
        <v>7779</v>
      </c>
      <c r="J673" s="6" t="s">
        <v>7780</v>
      </c>
      <c r="K673" s="6" t="s">
        <v>7781</v>
      </c>
      <c r="L673" s="6" t="s">
        <v>7782</v>
      </c>
      <c r="M673" s="6" t="s">
        <v>7783</v>
      </c>
      <c r="N673" s="6" t="s">
        <v>7784</v>
      </c>
      <c r="O673" s="6" t="s">
        <v>7785</v>
      </c>
      <c r="P673" s="6" t="s">
        <v>7786</v>
      </c>
      <c r="Q673" s="6" t="s">
        <v>7787</v>
      </c>
      <c r="R673" s="6" t="s">
        <v>257</v>
      </c>
      <c r="S673" s="6" t="s">
        <v>147</v>
      </c>
      <c r="T673" s="6" t="s">
        <v>250</v>
      </c>
      <c r="U673" s="6" t="s">
        <v>252</v>
      </c>
      <c r="V673" s="6" t="s">
        <v>246</v>
      </c>
      <c r="W673" s="6" t="s">
        <v>158</v>
      </c>
      <c r="X673" s="6" t="s">
        <v>246</v>
      </c>
      <c r="Y673" s="6" t="s">
        <v>162</v>
      </c>
      <c r="Z673" s="6" t="s">
        <v>165</v>
      </c>
      <c r="AA673" s="6" t="s">
        <v>262</v>
      </c>
      <c r="AB673" s="6" t="s">
        <v>171</v>
      </c>
      <c r="AC673" s="6" t="s">
        <v>174</v>
      </c>
      <c r="AD673" s="6" t="s">
        <v>175</v>
      </c>
      <c r="AE673" s="6" t="s">
        <v>271</v>
      </c>
      <c r="AF673" s="6" t="s">
        <v>181</v>
      </c>
      <c r="AG673" s="6" t="s">
        <v>182</v>
      </c>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row>
    <row r="674" ht="22.5" customHeight="1">
      <c r="A674" s="4">
        <v>46229.70040707176</v>
      </c>
      <c r="B674" s="5">
        <v>0.0</v>
      </c>
      <c r="C674" s="6" t="s">
        <v>114</v>
      </c>
      <c r="D674" s="6" t="s">
        <v>209</v>
      </c>
      <c r="E674" s="6" t="s">
        <v>1526</v>
      </c>
      <c r="F674" s="6">
        <v>6.9070500226E10</v>
      </c>
      <c r="G674" s="6" t="s">
        <v>599</v>
      </c>
      <c r="H674" s="6" t="s">
        <v>7788</v>
      </c>
      <c r="I674" s="6" t="s">
        <v>7789</v>
      </c>
      <c r="J674" s="6" t="s">
        <v>4167</v>
      </c>
      <c r="K674" s="6" t="s">
        <v>7790</v>
      </c>
      <c r="L674" s="6" t="s">
        <v>7791</v>
      </c>
      <c r="M674" s="6" t="s">
        <v>7792</v>
      </c>
      <c r="N674" s="6" t="s">
        <v>7793</v>
      </c>
      <c r="O674" s="6" t="s">
        <v>7794</v>
      </c>
      <c r="P674" s="6" t="s">
        <v>7795</v>
      </c>
      <c r="Q674" s="6" t="s">
        <v>7796</v>
      </c>
      <c r="R674" s="6" t="s">
        <v>861</v>
      </c>
      <c r="S674" s="6" t="s">
        <v>147</v>
      </c>
      <c r="T674" s="6" t="s">
        <v>250</v>
      </c>
      <c r="U674" s="6" t="s">
        <v>152</v>
      </c>
      <c r="V674" s="6" t="s">
        <v>246</v>
      </c>
      <c r="W674" s="6" t="s">
        <v>158</v>
      </c>
      <c r="X674" s="6" t="s">
        <v>161</v>
      </c>
      <c r="Y674" s="6" t="s">
        <v>162</v>
      </c>
      <c r="Z674" s="6" t="s">
        <v>165</v>
      </c>
      <c r="AA674" s="6" t="s">
        <v>262</v>
      </c>
      <c r="AB674" s="6" t="s">
        <v>171</v>
      </c>
      <c r="AC674" s="6" t="s">
        <v>174</v>
      </c>
      <c r="AD674" s="6" t="s">
        <v>635</v>
      </c>
      <c r="AE674" s="6" t="s">
        <v>271</v>
      </c>
      <c r="AF674" s="6" t="s">
        <v>181</v>
      </c>
      <c r="AG674" s="6" t="s">
        <v>182</v>
      </c>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row>
    <row r="675" ht="22.5" customHeight="1">
      <c r="A675" s="4">
        <v>46229.70040825232</v>
      </c>
      <c r="B675" s="5">
        <v>0.0</v>
      </c>
      <c r="C675" s="6" t="s">
        <v>114</v>
      </c>
      <c r="D675" s="6" t="s">
        <v>1527</v>
      </c>
      <c r="E675" s="6" t="s">
        <v>1528</v>
      </c>
      <c r="F675" s="6">
        <v>6.9070500862E10</v>
      </c>
      <c r="G675" s="6" t="s">
        <v>496</v>
      </c>
      <c r="H675" s="7"/>
      <c r="I675" s="6" t="s">
        <v>7797</v>
      </c>
      <c r="J675" s="6" t="s">
        <v>2864</v>
      </c>
      <c r="K675" s="6" t="s">
        <v>7798</v>
      </c>
      <c r="L675" s="6" t="s">
        <v>7799</v>
      </c>
      <c r="M675" s="6" t="s">
        <v>7800</v>
      </c>
      <c r="N675" s="6" t="s">
        <v>7801</v>
      </c>
      <c r="O675" s="6" t="s">
        <v>7802</v>
      </c>
      <c r="P675" s="6" t="s">
        <v>7803</v>
      </c>
      <c r="Q675" s="6" t="s">
        <v>7804</v>
      </c>
      <c r="R675" s="6" t="s">
        <v>246</v>
      </c>
      <c r="S675" s="6" t="s">
        <v>147</v>
      </c>
      <c r="T675" s="6" t="s">
        <v>149</v>
      </c>
      <c r="U675" s="6" t="s">
        <v>560</v>
      </c>
      <c r="V675" s="6" t="s">
        <v>155</v>
      </c>
      <c r="W675" s="6" t="s">
        <v>158</v>
      </c>
      <c r="X675" s="6" t="s">
        <v>458</v>
      </c>
      <c r="Y675" s="6" t="s">
        <v>162</v>
      </c>
      <c r="Z675" s="6" t="s">
        <v>165</v>
      </c>
      <c r="AA675" s="6" t="s">
        <v>262</v>
      </c>
      <c r="AB675" s="6" t="s">
        <v>171</v>
      </c>
      <c r="AC675" s="6" t="s">
        <v>174</v>
      </c>
      <c r="AD675" s="6" t="s">
        <v>175</v>
      </c>
      <c r="AE675" s="6" t="s">
        <v>271</v>
      </c>
      <c r="AF675" s="6" t="s">
        <v>181</v>
      </c>
      <c r="AG675" s="6" t="s">
        <v>182</v>
      </c>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row>
    <row r="676" ht="22.5" customHeight="1">
      <c r="A676" s="4">
        <v>46229.70041125</v>
      </c>
      <c r="B676" s="5">
        <v>0.0</v>
      </c>
      <c r="C676" s="6" t="s">
        <v>114</v>
      </c>
      <c r="D676" s="6" t="s">
        <v>1530</v>
      </c>
      <c r="E676" s="6" t="s">
        <v>1531</v>
      </c>
      <c r="F676" s="6">
        <v>6.9070502402E10</v>
      </c>
      <c r="G676" s="6" t="s">
        <v>122</v>
      </c>
      <c r="H676" s="6" t="s">
        <v>7805</v>
      </c>
      <c r="I676" s="6" t="s">
        <v>7517</v>
      </c>
      <c r="J676" s="6" t="s">
        <v>7806</v>
      </c>
      <c r="K676" s="6" t="s">
        <v>7807</v>
      </c>
      <c r="L676" s="6" t="s">
        <v>7808</v>
      </c>
      <c r="M676" s="6" t="s">
        <v>7809</v>
      </c>
      <c r="N676" s="6" t="s">
        <v>7810</v>
      </c>
      <c r="O676" s="6" t="s">
        <v>7811</v>
      </c>
      <c r="P676" s="6" t="s">
        <v>7812</v>
      </c>
      <c r="Q676" s="6" t="s">
        <v>7813</v>
      </c>
      <c r="R676" s="6" t="s">
        <v>257</v>
      </c>
      <c r="S676" s="6" t="s">
        <v>147</v>
      </c>
      <c r="T676" s="6" t="s">
        <v>250</v>
      </c>
      <c r="U676" s="6" t="s">
        <v>252</v>
      </c>
      <c r="V676" s="6" t="s">
        <v>246</v>
      </c>
      <c r="W676" s="6" t="s">
        <v>158</v>
      </c>
      <c r="X676" s="6" t="s">
        <v>246</v>
      </c>
      <c r="Y676" s="6" t="s">
        <v>162</v>
      </c>
      <c r="Z676" s="6" t="s">
        <v>165</v>
      </c>
      <c r="AA676" s="6" t="s">
        <v>262</v>
      </c>
      <c r="AB676" s="6" t="s">
        <v>171</v>
      </c>
      <c r="AC676" s="6" t="s">
        <v>174</v>
      </c>
      <c r="AD676" s="6" t="s">
        <v>175</v>
      </c>
      <c r="AE676" s="6" t="s">
        <v>271</v>
      </c>
      <c r="AF676" s="6" t="s">
        <v>181</v>
      </c>
      <c r="AG676" s="6" t="s">
        <v>182</v>
      </c>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row>
    <row r="677" ht="22.5" customHeight="1">
      <c r="A677" s="4">
        <v>46229.700414340274</v>
      </c>
      <c r="B677" s="5">
        <v>0.0</v>
      </c>
      <c r="C677" s="6" t="s">
        <v>114</v>
      </c>
      <c r="D677" s="6" t="s">
        <v>945</v>
      </c>
      <c r="E677" s="6" t="s">
        <v>1535</v>
      </c>
      <c r="F677" s="6">
        <v>6.9070506409E10</v>
      </c>
      <c r="G677" s="6" t="s">
        <v>599</v>
      </c>
      <c r="H677" s="7"/>
      <c r="I677" s="6" t="s">
        <v>5037</v>
      </c>
      <c r="J677" s="6" t="s">
        <v>4147</v>
      </c>
      <c r="K677" s="6" t="s">
        <v>4645</v>
      </c>
      <c r="L677" s="6" t="s">
        <v>608</v>
      </c>
      <c r="M677" s="6" t="s">
        <v>4648</v>
      </c>
      <c r="N677" s="7"/>
      <c r="O677" s="6" t="s">
        <v>7814</v>
      </c>
      <c r="P677" s="6" t="s">
        <v>7815</v>
      </c>
      <c r="Q677" s="6" t="s">
        <v>7816</v>
      </c>
      <c r="R677" s="6" t="s">
        <v>257</v>
      </c>
      <c r="S677" s="6" t="s">
        <v>147</v>
      </c>
      <c r="T677" s="6" t="s">
        <v>246</v>
      </c>
      <c r="U677" s="6" t="s">
        <v>560</v>
      </c>
      <c r="V677" s="6" t="s">
        <v>246</v>
      </c>
      <c r="W677" s="6" t="s">
        <v>158</v>
      </c>
      <c r="X677" s="6" t="s">
        <v>257</v>
      </c>
      <c r="Y677" s="6" t="s">
        <v>162</v>
      </c>
      <c r="Z677" s="6" t="s">
        <v>165</v>
      </c>
      <c r="AA677" s="6" t="s">
        <v>262</v>
      </c>
      <c r="AB677" s="6" t="s">
        <v>521</v>
      </c>
      <c r="AC677" s="6" t="s">
        <v>174</v>
      </c>
      <c r="AD677" s="6" t="s">
        <v>175</v>
      </c>
      <c r="AE677" s="6" t="s">
        <v>271</v>
      </c>
      <c r="AF677" s="6" t="s">
        <v>181</v>
      </c>
      <c r="AG677" s="6" t="s">
        <v>182</v>
      </c>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row>
    <row r="678" ht="22.5" customHeight="1">
      <c r="A678" s="4">
        <v>46229.700431840276</v>
      </c>
      <c r="B678" s="5">
        <v>0.0</v>
      </c>
      <c r="C678" s="6" t="s">
        <v>114</v>
      </c>
      <c r="D678" s="6" t="s">
        <v>1537</v>
      </c>
      <c r="E678" s="6" t="s">
        <v>1538</v>
      </c>
      <c r="F678" s="6">
        <v>6.9070501238E10</v>
      </c>
      <c r="G678" s="6" t="s">
        <v>228</v>
      </c>
      <c r="H678" s="7"/>
      <c r="I678" s="6" t="s">
        <v>7817</v>
      </c>
      <c r="J678" s="6" t="s">
        <v>7818</v>
      </c>
      <c r="K678" s="6" t="s">
        <v>7819</v>
      </c>
      <c r="L678" s="6" t="s">
        <v>3509</v>
      </c>
      <c r="M678" s="6" t="s">
        <v>7820</v>
      </c>
      <c r="N678" s="6" t="s">
        <v>7821</v>
      </c>
      <c r="O678" s="6" t="s">
        <v>7822</v>
      </c>
      <c r="P678" s="6" t="s">
        <v>7823</v>
      </c>
      <c r="Q678" s="6" t="s">
        <v>7824</v>
      </c>
      <c r="R678" s="6" t="s">
        <v>246</v>
      </c>
      <c r="S678" s="6" t="s">
        <v>147</v>
      </c>
      <c r="T678" s="6" t="s">
        <v>250</v>
      </c>
      <c r="U678" s="6" t="s">
        <v>252</v>
      </c>
      <c r="V678" s="6" t="s">
        <v>246</v>
      </c>
      <c r="W678" s="6" t="s">
        <v>158</v>
      </c>
      <c r="X678" s="6" t="s">
        <v>257</v>
      </c>
      <c r="Y678" s="6" t="s">
        <v>162</v>
      </c>
      <c r="Z678" s="6" t="s">
        <v>165</v>
      </c>
      <c r="AA678" s="6" t="s">
        <v>262</v>
      </c>
      <c r="AB678" s="6" t="s">
        <v>171</v>
      </c>
      <c r="AC678" s="6" t="s">
        <v>174</v>
      </c>
      <c r="AD678" s="6" t="s">
        <v>175</v>
      </c>
      <c r="AE678" s="6" t="s">
        <v>271</v>
      </c>
      <c r="AF678" s="6" t="s">
        <v>181</v>
      </c>
      <c r="AG678" s="6" t="s">
        <v>182</v>
      </c>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row>
    <row r="679" ht="22.5" customHeight="1">
      <c r="A679" s="4">
        <v>46229.700432858794</v>
      </c>
      <c r="B679" s="5">
        <v>0.0</v>
      </c>
      <c r="C679" s="6" t="s">
        <v>114</v>
      </c>
      <c r="D679" s="6" t="s">
        <v>1541</v>
      </c>
      <c r="E679" s="6" t="s">
        <v>1543</v>
      </c>
      <c r="F679" s="6">
        <v>6.9070501255E10</v>
      </c>
      <c r="G679" s="6" t="s">
        <v>228</v>
      </c>
      <c r="H679" s="7"/>
      <c r="I679" s="6" t="s">
        <v>7825</v>
      </c>
      <c r="J679" s="6" t="s">
        <v>7677</v>
      </c>
      <c r="K679" s="6" t="s">
        <v>7826</v>
      </c>
      <c r="L679" s="6" t="s">
        <v>7827</v>
      </c>
      <c r="M679" s="6" t="s">
        <v>6818</v>
      </c>
      <c r="N679" s="7"/>
      <c r="O679" s="6" t="s">
        <v>7828</v>
      </c>
      <c r="P679" s="6" t="s">
        <v>7829</v>
      </c>
      <c r="Q679" s="6" t="s">
        <v>7830</v>
      </c>
      <c r="R679" s="6" t="s">
        <v>246</v>
      </c>
      <c r="S679" s="6" t="s">
        <v>147</v>
      </c>
      <c r="T679" s="6" t="s">
        <v>246</v>
      </c>
      <c r="U679" s="6" t="s">
        <v>252</v>
      </c>
      <c r="V679" s="6" t="s">
        <v>246</v>
      </c>
      <c r="W679" s="6" t="s">
        <v>3463</v>
      </c>
      <c r="X679" s="6" t="s">
        <v>161</v>
      </c>
      <c r="Y679" s="6" t="s">
        <v>162</v>
      </c>
      <c r="Z679" s="6" t="s">
        <v>165</v>
      </c>
      <c r="AA679" s="6" t="s">
        <v>262</v>
      </c>
      <c r="AB679" s="6" t="s">
        <v>171</v>
      </c>
      <c r="AC679" s="6" t="s">
        <v>174</v>
      </c>
      <c r="AD679" s="6" t="s">
        <v>175</v>
      </c>
      <c r="AE679" s="6" t="s">
        <v>271</v>
      </c>
      <c r="AF679" s="6" t="s">
        <v>181</v>
      </c>
      <c r="AG679" s="6" t="s">
        <v>182</v>
      </c>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row>
    <row r="680" ht="22.5" customHeight="1">
      <c r="A680" s="4">
        <v>46229.70043302083</v>
      </c>
      <c r="B680" s="5">
        <v>0.0</v>
      </c>
      <c r="C680" s="6" t="s">
        <v>114</v>
      </c>
      <c r="D680" s="6" t="s">
        <v>1544</v>
      </c>
      <c r="E680" s="6" t="s">
        <v>1296</v>
      </c>
      <c r="F680" s="6">
        <v>6.9070501818E10</v>
      </c>
      <c r="G680" s="6" t="s">
        <v>730</v>
      </c>
      <c r="H680" s="7"/>
      <c r="I680" s="6" t="s">
        <v>7831</v>
      </c>
      <c r="J680" s="6" t="s">
        <v>6025</v>
      </c>
      <c r="K680" s="6" t="s">
        <v>4914</v>
      </c>
      <c r="L680" s="6" t="s">
        <v>7832</v>
      </c>
      <c r="M680" s="6" t="s">
        <v>7757</v>
      </c>
      <c r="N680" s="7"/>
      <c r="O680" s="6" t="s">
        <v>7833</v>
      </c>
      <c r="P680" s="6" t="s">
        <v>7834</v>
      </c>
      <c r="Q680" s="6" t="s">
        <v>7835</v>
      </c>
      <c r="R680" s="6" t="s">
        <v>246</v>
      </c>
      <c r="S680" s="6" t="s">
        <v>147</v>
      </c>
      <c r="T680" s="6" t="s">
        <v>250</v>
      </c>
      <c r="U680" s="6" t="s">
        <v>560</v>
      </c>
      <c r="V680" s="6" t="s">
        <v>246</v>
      </c>
      <c r="W680" s="6" t="s">
        <v>158</v>
      </c>
      <c r="X680" s="6" t="s">
        <v>257</v>
      </c>
      <c r="Y680" s="6" t="s">
        <v>162</v>
      </c>
      <c r="Z680" s="6" t="s">
        <v>165</v>
      </c>
      <c r="AA680" s="6" t="s">
        <v>262</v>
      </c>
      <c r="AB680" s="6" t="s">
        <v>521</v>
      </c>
      <c r="AC680" s="6" t="s">
        <v>174</v>
      </c>
      <c r="AD680" s="6" t="s">
        <v>175</v>
      </c>
      <c r="AE680" s="6" t="s">
        <v>271</v>
      </c>
      <c r="AF680" s="6" t="s">
        <v>181</v>
      </c>
      <c r="AG680" s="6" t="s">
        <v>182</v>
      </c>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row>
    <row r="681" ht="22.5" customHeight="1">
      <c r="A681" s="4">
        <v>46229.700433391205</v>
      </c>
      <c r="B681" s="5">
        <v>0.0</v>
      </c>
      <c r="C681" s="6" t="s">
        <v>114</v>
      </c>
      <c r="D681" s="6" t="s">
        <v>1545</v>
      </c>
      <c r="E681" s="6" t="s">
        <v>1546</v>
      </c>
      <c r="F681" s="6">
        <v>6.9070501007E10</v>
      </c>
      <c r="G681" s="6" t="s">
        <v>1470</v>
      </c>
      <c r="H681" s="7"/>
      <c r="I681" s="6" t="s">
        <v>7836</v>
      </c>
      <c r="J681" s="6" t="s">
        <v>6611</v>
      </c>
      <c r="K681" s="6" t="s">
        <v>7837</v>
      </c>
      <c r="L681" s="6" t="s">
        <v>7838</v>
      </c>
      <c r="M681" s="6" t="s">
        <v>7839</v>
      </c>
      <c r="N681" s="7"/>
      <c r="O681" s="6" t="s">
        <v>7840</v>
      </c>
      <c r="P681" s="6" t="s">
        <v>7841</v>
      </c>
      <c r="Q681" s="6" t="s">
        <v>7842</v>
      </c>
      <c r="R681" s="6" t="s">
        <v>246</v>
      </c>
      <c r="S681" s="6" t="s">
        <v>147</v>
      </c>
      <c r="T681" s="6" t="s">
        <v>250</v>
      </c>
      <c r="U681" s="6" t="s">
        <v>252</v>
      </c>
      <c r="V681" s="6" t="s">
        <v>246</v>
      </c>
      <c r="W681" s="6" t="s">
        <v>158</v>
      </c>
      <c r="X681" s="6" t="s">
        <v>257</v>
      </c>
      <c r="Y681" s="6" t="s">
        <v>162</v>
      </c>
      <c r="Z681" s="6" t="s">
        <v>165</v>
      </c>
      <c r="AA681" s="6" t="s">
        <v>262</v>
      </c>
      <c r="AB681" s="6" t="s">
        <v>521</v>
      </c>
      <c r="AC681" s="6" t="s">
        <v>174</v>
      </c>
      <c r="AD681" s="6" t="s">
        <v>175</v>
      </c>
      <c r="AE681" s="6" t="s">
        <v>271</v>
      </c>
      <c r="AF681" s="6" t="s">
        <v>181</v>
      </c>
      <c r="AG681" s="6" t="s">
        <v>182</v>
      </c>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row>
    <row r="682" ht="22.5" customHeight="1">
      <c r="A682" s="4">
        <v>46229.700441215275</v>
      </c>
      <c r="B682" s="5">
        <v>0.0</v>
      </c>
      <c r="C682" s="6" t="s">
        <v>114</v>
      </c>
      <c r="D682" s="6" t="s">
        <v>1547</v>
      </c>
      <c r="E682" s="6" t="s">
        <v>1548</v>
      </c>
      <c r="F682" s="6">
        <v>6.9070500204E10</v>
      </c>
      <c r="G682" s="6" t="s">
        <v>599</v>
      </c>
      <c r="H682" s="7"/>
      <c r="I682" s="6" t="s">
        <v>7843</v>
      </c>
      <c r="J682" s="6" t="s">
        <v>7844</v>
      </c>
      <c r="K682" s="6" t="s">
        <v>7845</v>
      </c>
      <c r="L682" s="6" t="s">
        <v>1082</v>
      </c>
      <c r="M682" s="6" t="s">
        <v>7846</v>
      </c>
      <c r="N682" s="7"/>
      <c r="O682" s="6" t="s">
        <v>7847</v>
      </c>
      <c r="P682" s="6" t="s">
        <v>7848</v>
      </c>
      <c r="Q682" s="6" t="s">
        <v>7849</v>
      </c>
      <c r="R682" s="6" t="s">
        <v>246</v>
      </c>
      <c r="S682" s="6" t="s">
        <v>147</v>
      </c>
      <c r="T682" s="6" t="s">
        <v>250</v>
      </c>
      <c r="U682" s="6" t="s">
        <v>560</v>
      </c>
      <c r="V682" s="6" t="s">
        <v>246</v>
      </c>
      <c r="W682" s="6" t="s">
        <v>158</v>
      </c>
      <c r="X682" s="6" t="s">
        <v>257</v>
      </c>
      <c r="Y682" s="6" t="s">
        <v>162</v>
      </c>
      <c r="Z682" s="6" t="s">
        <v>165</v>
      </c>
      <c r="AA682" s="6" t="s">
        <v>641</v>
      </c>
      <c r="AB682" s="6" t="s">
        <v>171</v>
      </c>
      <c r="AC682" s="6" t="s">
        <v>174</v>
      </c>
      <c r="AD682" s="6" t="s">
        <v>175</v>
      </c>
      <c r="AE682" s="6" t="s">
        <v>524</v>
      </c>
      <c r="AF682" s="6" t="s">
        <v>181</v>
      </c>
      <c r="AG682" s="6" t="s">
        <v>182</v>
      </c>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row>
    <row r="683" ht="22.5" customHeight="1">
      <c r="A683" s="4">
        <v>46229.7004428588</v>
      </c>
      <c r="B683" s="5">
        <v>0.0</v>
      </c>
      <c r="C683" s="6" t="s">
        <v>114</v>
      </c>
      <c r="D683" s="6" t="s">
        <v>789</v>
      </c>
      <c r="E683" s="6" t="s">
        <v>1549</v>
      </c>
      <c r="F683" s="6">
        <v>6.9070502224E10</v>
      </c>
      <c r="G683" s="6" t="s">
        <v>496</v>
      </c>
      <c r="H683" s="6" t="s">
        <v>7850</v>
      </c>
      <c r="I683" s="6" t="s">
        <v>7851</v>
      </c>
      <c r="J683" s="6" t="s">
        <v>7852</v>
      </c>
      <c r="K683" s="6" t="s">
        <v>7853</v>
      </c>
      <c r="L683" s="6" t="s">
        <v>7854</v>
      </c>
      <c r="M683" s="6" t="s">
        <v>7855</v>
      </c>
      <c r="N683" s="7"/>
      <c r="O683" s="6" t="s">
        <v>7856</v>
      </c>
      <c r="P683" s="6" t="s">
        <v>7857</v>
      </c>
      <c r="Q683" s="6" t="s">
        <v>7858</v>
      </c>
      <c r="R683" s="6" t="s">
        <v>246</v>
      </c>
      <c r="S683" s="6" t="s">
        <v>147</v>
      </c>
      <c r="T683" s="6" t="s">
        <v>250</v>
      </c>
      <c r="U683" s="6" t="s">
        <v>560</v>
      </c>
      <c r="V683" s="6" t="s">
        <v>155</v>
      </c>
      <c r="W683" s="6" t="s">
        <v>158</v>
      </c>
      <c r="X683" s="6" t="s">
        <v>161</v>
      </c>
      <c r="Y683" s="6" t="s">
        <v>162</v>
      </c>
      <c r="Z683" s="6" t="s">
        <v>165</v>
      </c>
      <c r="AA683" s="6" t="s">
        <v>262</v>
      </c>
      <c r="AB683" s="6" t="s">
        <v>171</v>
      </c>
      <c r="AC683" s="6" t="s">
        <v>174</v>
      </c>
      <c r="AD683" s="6" t="s">
        <v>175</v>
      </c>
      <c r="AE683" s="6" t="s">
        <v>271</v>
      </c>
      <c r="AF683" s="6" t="s">
        <v>181</v>
      </c>
      <c r="AG683" s="6" t="s">
        <v>182</v>
      </c>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row>
    <row r="684" ht="22.5" customHeight="1">
      <c r="A684" s="4">
        <v>46229.70044590278</v>
      </c>
      <c r="B684" s="5">
        <v>0.0</v>
      </c>
      <c r="C684" s="6" t="s">
        <v>114</v>
      </c>
      <c r="D684" s="6" t="s">
        <v>1550</v>
      </c>
      <c r="E684" s="6" t="s">
        <v>1551</v>
      </c>
      <c r="F684" s="6">
        <v>6.9070500602E10</v>
      </c>
      <c r="G684" s="6" t="s">
        <v>6140</v>
      </c>
      <c r="H684" s="6" t="s">
        <v>7859</v>
      </c>
      <c r="I684" s="6" t="s">
        <v>7860</v>
      </c>
      <c r="J684" s="6" t="s">
        <v>7861</v>
      </c>
      <c r="K684" s="6" t="s">
        <v>7862</v>
      </c>
      <c r="L684" s="6" t="s">
        <v>7863</v>
      </c>
      <c r="M684" s="6" t="s">
        <v>5435</v>
      </c>
      <c r="N684" s="7"/>
      <c r="O684" s="6" t="s">
        <v>7864</v>
      </c>
      <c r="P684" s="6" t="s">
        <v>7865</v>
      </c>
      <c r="Q684" s="6" t="s">
        <v>7866</v>
      </c>
      <c r="R684" s="6" t="s">
        <v>257</v>
      </c>
      <c r="S684" s="6" t="s">
        <v>147</v>
      </c>
      <c r="T684" s="6" t="s">
        <v>257</v>
      </c>
      <c r="U684" s="6" t="s">
        <v>252</v>
      </c>
      <c r="V684" s="6" t="s">
        <v>246</v>
      </c>
      <c r="W684" s="6" t="s">
        <v>158</v>
      </c>
      <c r="X684" s="6" t="s">
        <v>257</v>
      </c>
      <c r="Y684" s="6" t="s">
        <v>162</v>
      </c>
      <c r="Z684" s="6" t="s">
        <v>165</v>
      </c>
      <c r="AA684" s="6" t="s">
        <v>641</v>
      </c>
      <c r="AB684" s="6" t="s">
        <v>521</v>
      </c>
      <c r="AC684" s="6" t="s">
        <v>1210</v>
      </c>
      <c r="AD684" s="6" t="s">
        <v>175</v>
      </c>
      <c r="AE684" s="6" t="s">
        <v>3105</v>
      </c>
      <c r="AF684" s="6" t="s">
        <v>181</v>
      </c>
      <c r="AG684" s="6" t="s">
        <v>182</v>
      </c>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row>
    <row r="685" ht="22.5" customHeight="1">
      <c r="A685" s="4">
        <v>46229.70046449074</v>
      </c>
      <c r="B685" s="5">
        <v>0.0</v>
      </c>
      <c r="C685" s="6" t="s">
        <v>114</v>
      </c>
      <c r="D685" s="6" t="s">
        <v>1552</v>
      </c>
      <c r="E685" s="6" t="s">
        <v>1553</v>
      </c>
      <c r="F685" s="6">
        <v>6.9070508245E10</v>
      </c>
      <c r="G685" s="6" t="s">
        <v>730</v>
      </c>
      <c r="H685" s="7"/>
      <c r="I685" s="6" t="s">
        <v>7867</v>
      </c>
      <c r="J685" s="6" t="s">
        <v>7868</v>
      </c>
      <c r="K685" s="6" t="s">
        <v>3410</v>
      </c>
      <c r="L685" s="6" t="s">
        <v>7869</v>
      </c>
      <c r="M685" s="6" t="s">
        <v>7870</v>
      </c>
      <c r="N685" s="7"/>
      <c r="O685" s="6" t="s">
        <v>7871</v>
      </c>
      <c r="P685" s="6" t="s">
        <v>7872</v>
      </c>
      <c r="Q685" s="6" t="s">
        <v>7873</v>
      </c>
      <c r="R685" s="6" t="s">
        <v>257</v>
      </c>
      <c r="S685" s="6" t="s">
        <v>147</v>
      </c>
      <c r="T685" s="6" t="s">
        <v>246</v>
      </c>
      <c r="U685" s="6" t="s">
        <v>560</v>
      </c>
      <c r="V685" s="6" t="s">
        <v>246</v>
      </c>
      <c r="W685" s="6" t="s">
        <v>158</v>
      </c>
      <c r="X685" s="6" t="s">
        <v>257</v>
      </c>
      <c r="Y685" s="6" t="s">
        <v>162</v>
      </c>
      <c r="Z685" s="6" t="s">
        <v>165</v>
      </c>
      <c r="AA685" s="6" t="s">
        <v>641</v>
      </c>
      <c r="AB685" s="6" t="s">
        <v>3847</v>
      </c>
      <c r="AC685" s="6" t="s">
        <v>174</v>
      </c>
      <c r="AD685" s="6" t="s">
        <v>175</v>
      </c>
      <c r="AE685" s="6" t="s">
        <v>271</v>
      </c>
      <c r="AF685" s="6" t="s">
        <v>181</v>
      </c>
      <c r="AG685" s="6" t="s">
        <v>182</v>
      </c>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row>
    <row r="686" ht="22.5" customHeight="1">
      <c r="A686" s="4">
        <v>46229.70046962963</v>
      </c>
      <c r="B686" s="5">
        <v>0.0</v>
      </c>
      <c r="C686" s="6" t="s">
        <v>114</v>
      </c>
      <c r="D686" s="6" t="s">
        <v>655</v>
      </c>
      <c r="E686" s="6" t="s">
        <v>1554</v>
      </c>
      <c r="F686" s="6">
        <v>6.907050026E10</v>
      </c>
      <c r="G686" s="6" t="s">
        <v>599</v>
      </c>
      <c r="H686" s="7"/>
      <c r="I686" s="6" t="s">
        <v>7874</v>
      </c>
      <c r="J686" s="6" t="s">
        <v>7875</v>
      </c>
      <c r="K686" s="6" t="s">
        <v>7876</v>
      </c>
      <c r="L686" s="6" t="s">
        <v>7877</v>
      </c>
      <c r="M686" s="6" t="s">
        <v>7878</v>
      </c>
      <c r="N686" s="7"/>
      <c r="O686" s="6" t="s">
        <v>7879</v>
      </c>
      <c r="P686" s="6" t="s">
        <v>7880</v>
      </c>
      <c r="Q686" s="6" t="s">
        <v>7881</v>
      </c>
      <c r="R686" s="6" t="s">
        <v>257</v>
      </c>
      <c r="S686" s="6" t="s">
        <v>147</v>
      </c>
      <c r="T686" s="6" t="s">
        <v>250</v>
      </c>
      <c r="U686" s="6" t="s">
        <v>252</v>
      </c>
      <c r="V686" s="6" t="s">
        <v>246</v>
      </c>
      <c r="W686" s="6" t="s">
        <v>158</v>
      </c>
      <c r="X686" s="6" t="s">
        <v>257</v>
      </c>
      <c r="Y686" s="6" t="s">
        <v>162</v>
      </c>
      <c r="Z686" s="6" t="s">
        <v>165</v>
      </c>
      <c r="AA686" s="6" t="s">
        <v>641</v>
      </c>
      <c r="AB686" s="6" t="s">
        <v>171</v>
      </c>
      <c r="AC686" s="6" t="s">
        <v>174</v>
      </c>
      <c r="AD686" s="6" t="s">
        <v>175</v>
      </c>
      <c r="AE686" s="6" t="s">
        <v>271</v>
      </c>
      <c r="AF686" s="6" t="s">
        <v>181</v>
      </c>
      <c r="AG686" s="6" t="s">
        <v>182</v>
      </c>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row>
    <row r="687" ht="22.5" customHeight="1">
      <c r="A687" s="4">
        <v>46229.70047038194</v>
      </c>
      <c r="B687" s="5">
        <v>0.0</v>
      </c>
      <c r="C687" s="6" t="s">
        <v>114</v>
      </c>
      <c r="D687" s="6" t="s">
        <v>1555</v>
      </c>
      <c r="E687" s="6" t="s">
        <v>1556</v>
      </c>
      <c r="F687" s="6">
        <v>6.9070508219E10</v>
      </c>
      <c r="G687" s="6" t="s">
        <v>730</v>
      </c>
      <c r="H687" s="6" t="s">
        <v>7882</v>
      </c>
      <c r="I687" s="6" t="s">
        <v>7883</v>
      </c>
      <c r="J687" s="6" t="s">
        <v>7884</v>
      </c>
      <c r="K687" s="6" t="s">
        <v>4002</v>
      </c>
      <c r="L687" s="6" t="s">
        <v>7885</v>
      </c>
      <c r="M687" s="6" t="s">
        <v>7886</v>
      </c>
      <c r="N687" s="6" t="s">
        <v>7887</v>
      </c>
      <c r="O687" s="6" t="s">
        <v>7888</v>
      </c>
      <c r="P687" s="6" t="s">
        <v>7889</v>
      </c>
      <c r="Q687" s="6" t="s">
        <v>7890</v>
      </c>
      <c r="R687" s="6" t="s">
        <v>257</v>
      </c>
      <c r="S687" s="6" t="s">
        <v>147</v>
      </c>
      <c r="T687" s="6" t="s">
        <v>246</v>
      </c>
      <c r="U687" s="6" t="s">
        <v>560</v>
      </c>
      <c r="V687" s="6" t="s">
        <v>246</v>
      </c>
      <c r="W687" s="6" t="s">
        <v>158</v>
      </c>
      <c r="X687" s="6" t="s">
        <v>257</v>
      </c>
      <c r="Y687" s="6" t="s">
        <v>162</v>
      </c>
      <c r="Z687" s="6" t="s">
        <v>165</v>
      </c>
      <c r="AA687" s="6" t="s">
        <v>641</v>
      </c>
      <c r="AB687" s="6" t="s">
        <v>3847</v>
      </c>
      <c r="AC687" s="6" t="s">
        <v>174</v>
      </c>
      <c r="AD687" s="6" t="s">
        <v>175</v>
      </c>
      <c r="AE687" s="6" t="s">
        <v>271</v>
      </c>
      <c r="AF687" s="6" t="s">
        <v>181</v>
      </c>
      <c r="AG687" s="6" t="s">
        <v>182</v>
      </c>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row>
    <row r="688" ht="22.5" customHeight="1">
      <c r="A688" s="4">
        <v>46229.70047704861</v>
      </c>
      <c r="B688" s="5">
        <v>0.0</v>
      </c>
      <c r="C688" s="6" t="s">
        <v>114</v>
      </c>
      <c r="D688" s="6" t="s">
        <v>1557</v>
      </c>
      <c r="E688" s="6" t="s">
        <v>1558</v>
      </c>
      <c r="F688" s="6">
        <v>6.907050825E10</v>
      </c>
      <c r="G688" s="6" t="s">
        <v>730</v>
      </c>
      <c r="H688" s="7"/>
      <c r="I688" s="6" t="s">
        <v>7891</v>
      </c>
      <c r="J688" s="6" t="s">
        <v>3833</v>
      </c>
      <c r="K688" s="6" t="s">
        <v>7892</v>
      </c>
      <c r="L688" s="6" t="s">
        <v>4732</v>
      </c>
      <c r="M688" s="6" t="s">
        <v>4733</v>
      </c>
      <c r="N688" s="6" t="s">
        <v>7893</v>
      </c>
      <c r="O688" s="6" t="s">
        <v>7894</v>
      </c>
      <c r="P688" s="6" t="s">
        <v>7895</v>
      </c>
      <c r="Q688" s="6" t="s">
        <v>7896</v>
      </c>
      <c r="R688" s="6" t="s">
        <v>246</v>
      </c>
      <c r="S688" s="6" t="s">
        <v>147</v>
      </c>
      <c r="T688" s="6" t="s">
        <v>250</v>
      </c>
      <c r="U688" s="6" t="s">
        <v>560</v>
      </c>
      <c r="V688" s="6" t="s">
        <v>246</v>
      </c>
      <c r="W688" s="6" t="s">
        <v>158</v>
      </c>
      <c r="X688" s="6" t="s">
        <v>257</v>
      </c>
      <c r="Y688" s="6" t="s">
        <v>162</v>
      </c>
      <c r="Z688" s="6" t="s">
        <v>165</v>
      </c>
      <c r="AA688" s="6" t="s">
        <v>262</v>
      </c>
      <c r="AB688" s="6" t="s">
        <v>1266</v>
      </c>
      <c r="AC688" s="6" t="s">
        <v>1669</v>
      </c>
      <c r="AD688" s="6" t="s">
        <v>175</v>
      </c>
      <c r="AE688" s="6" t="s">
        <v>271</v>
      </c>
      <c r="AF688" s="6" t="s">
        <v>181</v>
      </c>
      <c r="AG688" s="6" t="s">
        <v>182</v>
      </c>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row>
    <row r="689" ht="22.5" customHeight="1">
      <c r="A689" s="4">
        <v>46229.70047957176</v>
      </c>
      <c r="B689" s="5">
        <v>0.0</v>
      </c>
      <c r="C689" s="6" t="s">
        <v>114</v>
      </c>
      <c r="D689" s="6" t="s">
        <v>1559</v>
      </c>
      <c r="E689" s="6" t="s">
        <v>1560</v>
      </c>
      <c r="F689" s="6">
        <v>6.9070501813E10</v>
      </c>
      <c r="G689" s="6" t="s">
        <v>730</v>
      </c>
      <c r="H689" s="6" t="s">
        <v>7897</v>
      </c>
      <c r="I689" s="6" t="s">
        <v>7898</v>
      </c>
      <c r="J689" s="6" t="s">
        <v>2015</v>
      </c>
      <c r="K689" s="6" t="s">
        <v>6160</v>
      </c>
      <c r="L689" s="6" t="s">
        <v>2011</v>
      </c>
      <c r="M689" s="6" t="s">
        <v>7899</v>
      </c>
      <c r="N689" s="7"/>
      <c r="O689" s="6" t="s">
        <v>7900</v>
      </c>
      <c r="P689" s="6" t="s">
        <v>7901</v>
      </c>
      <c r="Q689" s="6" t="s">
        <v>7902</v>
      </c>
      <c r="R689" s="6" t="s">
        <v>246</v>
      </c>
      <c r="S689" s="6" t="s">
        <v>147</v>
      </c>
      <c r="T689" s="6" t="s">
        <v>250</v>
      </c>
      <c r="U689" s="6" t="s">
        <v>560</v>
      </c>
      <c r="V689" s="6" t="s">
        <v>246</v>
      </c>
      <c r="W689" s="6" t="s">
        <v>158</v>
      </c>
      <c r="X689" s="6" t="s">
        <v>257</v>
      </c>
      <c r="Y689" s="6" t="s">
        <v>162</v>
      </c>
      <c r="Z689" s="6" t="s">
        <v>165</v>
      </c>
      <c r="AA689" s="6" t="s">
        <v>262</v>
      </c>
      <c r="AB689" s="6" t="s">
        <v>171</v>
      </c>
      <c r="AC689" s="6" t="s">
        <v>1669</v>
      </c>
      <c r="AD689" s="6" t="s">
        <v>175</v>
      </c>
      <c r="AE689" s="6" t="s">
        <v>271</v>
      </c>
      <c r="AF689" s="6" t="s">
        <v>181</v>
      </c>
      <c r="AG689" s="6" t="s">
        <v>182</v>
      </c>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row>
    <row r="690" ht="22.5" customHeight="1">
      <c r="A690" s="4">
        <v>46229.70048518518</v>
      </c>
      <c r="B690" s="5">
        <v>0.0</v>
      </c>
      <c r="C690" s="6" t="s">
        <v>114</v>
      </c>
      <c r="D690" s="6" t="s">
        <v>1561</v>
      </c>
      <c r="E690" s="6" t="s">
        <v>1562</v>
      </c>
      <c r="F690" s="6">
        <v>6.9070500482E10</v>
      </c>
      <c r="G690" s="6" t="s">
        <v>310</v>
      </c>
      <c r="H690" s="7"/>
      <c r="I690" s="6" t="s">
        <v>380</v>
      </c>
      <c r="J690" s="6" t="s">
        <v>7903</v>
      </c>
      <c r="K690" s="6" t="s">
        <v>7904</v>
      </c>
      <c r="L690" s="6" t="s">
        <v>4391</v>
      </c>
      <c r="M690" s="6" t="s">
        <v>7905</v>
      </c>
      <c r="N690" s="7"/>
      <c r="O690" s="6" t="s">
        <v>7906</v>
      </c>
      <c r="P690" s="6" t="s">
        <v>7907</v>
      </c>
      <c r="Q690" s="6" t="s">
        <v>7908</v>
      </c>
      <c r="R690" s="6" t="s">
        <v>246</v>
      </c>
      <c r="S690" s="6" t="s">
        <v>147</v>
      </c>
      <c r="T690" s="6" t="s">
        <v>250</v>
      </c>
      <c r="U690" s="6" t="s">
        <v>152</v>
      </c>
      <c r="V690" s="6" t="s">
        <v>246</v>
      </c>
      <c r="W690" s="6" t="s">
        <v>158</v>
      </c>
      <c r="X690" s="6" t="s">
        <v>257</v>
      </c>
      <c r="Y690" s="6" t="s">
        <v>162</v>
      </c>
      <c r="Z690" s="6" t="s">
        <v>165</v>
      </c>
      <c r="AA690" s="6" t="s">
        <v>262</v>
      </c>
      <c r="AB690" s="6" t="s">
        <v>171</v>
      </c>
      <c r="AC690" s="6" t="s">
        <v>174</v>
      </c>
      <c r="AD690" s="6" t="s">
        <v>175</v>
      </c>
      <c r="AE690" s="6" t="s">
        <v>271</v>
      </c>
      <c r="AF690" s="6" t="s">
        <v>181</v>
      </c>
      <c r="AG690" s="6" t="s">
        <v>182</v>
      </c>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row>
    <row r="691" ht="22.5" customHeight="1">
      <c r="A691" s="4">
        <v>46229.70048565972</v>
      </c>
      <c r="B691" s="5">
        <v>0.0</v>
      </c>
      <c r="C691" s="6" t="s">
        <v>114</v>
      </c>
      <c r="D691" s="6" t="s">
        <v>1563</v>
      </c>
      <c r="E691" s="6" t="s">
        <v>1564</v>
      </c>
      <c r="F691" s="6">
        <v>6.9070500842E10</v>
      </c>
      <c r="G691" s="6" t="s">
        <v>496</v>
      </c>
      <c r="H691" s="6" t="s">
        <v>7909</v>
      </c>
      <c r="I691" s="6" t="s">
        <v>7910</v>
      </c>
      <c r="J691" s="6" t="s">
        <v>7911</v>
      </c>
      <c r="K691" s="6" t="s">
        <v>7912</v>
      </c>
      <c r="L691" s="6" t="s">
        <v>7913</v>
      </c>
      <c r="M691" s="6" t="s">
        <v>7914</v>
      </c>
      <c r="N691" s="7"/>
      <c r="O691" s="6" t="s">
        <v>7915</v>
      </c>
      <c r="P691" s="6" t="s">
        <v>7916</v>
      </c>
      <c r="Q691" s="6" t="s">
        <v>7917</v>
      </c>
      <c r="R691" s="6" t="s">
        <v>257</v>
      </c>
      <c r="S691" s="6" t="s">
        <v>147</v>
      </c>
      <c r="T691" s="6" t="s">
        <v>250</v>
      </c>
      <c r="U691" s="6" t="s">
        <v>252</v>
      </c>
      <c r="V691" s="6" t="s">
        <v>246</v>
      </c>
      <c r="W691" s="6" t="s">
        <v>158</v>
      </c>
      <c r="X691" s="6" t="s">
        <v>458</v>
      </c>
      <c r="Y691" s="6" t="s">
        <v>162</v>
      </c>
      <c r="Z691" s="6" t="s">
        <v>165</v>
      </c>
      <c r="AA691" s="6" t="s">
        <v>262</v>
      </c>
      <c r="AB691" s="6" t="s">
        <v>521</v>
      </c>
      <c r="AC691" s="6" t="s">
        <v>174</v>
      </c>
      <c r="AD691" s="6" t="s">
        <v>175</v>
      </c>
      <c r="AE691" s="6" t="s">
        <v>271</v>
      </c>
      <c r="AF691" s="6" t="s">
        <v>181</v>
      </c>
      <c r="AG691" s="6" t="s">
        <v>182</v>
      </c>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row>
    <row r="692" ht="22.5" customHeight="1">
      <c r="A692" s="4">
        <v>46229.70049005787</v>
      </c>
      <c r="B692" s="5">
        <v>0.0</v>
      </c>
      <c r="C692" s="6" t="s">
        <v>114</v>
      </c>
      <c r="D692" s="6" t="s">
        <v>1565</v>
      </c>
      <c r="E692" s="6" t="s">
        <v>1566</v>
      </c>
      <c r="F692" s="6">
        <v>6.9070509411E10</v>
      </c>
      <c r="G692" s="6" t="s">
        <v>122</v>
      </c>
      <c r="H692" s="6" t="s">
        <v>7918</v>
      </c>
      <c r="I692" s="6" t="s">
        <v>7919</v>
      </c>
      <c r="J692" s="6" t="s">
        <v>7920</v>
      </c>
      <c r="K692" s="6" t="s">
        <v>7921</v>
      </c>
      <c r="L692" s="6" t="s">
        <v>7922</v>
      </c>
      <c r="M692" s="6" t="s">
        <v>7923</v>
      </c>
      <c r="N692" s="7"/>
      <c r="O692" s="6" t="s">
        <v>7924</v>
      </c>
      <c r="P692" s="6" t="s">
        <v>7925</v>
      </c>
      <c r="Q692" s="6" t="s">
        <v>7926</v>
      </c>
      <c r="R692" s="6" t="s">
        <v>246</v>
      </c>
      <c r="S692" s="6" t="s">
        <v>147</v>
      </c>
      <c r="T692" s="6" t="s">
        <v>250</v>
      </c>
      <c r="U692" s="6" t="s">
        <v>686</v>
      </c>
      <c r="V692" s="6" t="s">
        <v>246</v>
      </c>
      <c r="W692" s="6" t="s">
        <v>158</v>
      </c>
      <c r="X692" s="6" t="s">
        <v>257</v>
      </c>
      <c r="Y692" s="6" t="s">
        <v>162</v>
      </c>
      <c r="Z692" s="6" t="s">
        <v>165</v>
      </c>
      <c r="AA692" s="6" t="s">
        <v>262</v>
      </c>
      <c r="AB692" s="6" t="s">
        <v>521</v>
      </c>
      <c r="AC692" s="6" t="s">
        <v>174</v>
      </c>
      <c r="AD692" s="6" t="s">
        <v>175</v>
      </c>
      <c r="AE692" s="6" t="s">
        <v>271</v>
      </c>
      <c r="AF692" s="6" t="s">
        <v>181</v>
      </c>
      <c r="AG692" s="6" t="s">
        <v>182</v>
      </c>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row>
    <row r="693" ht="22.5" customHeight="1">
      <c r="A693" s="4">
        <v>46229.70049394676</v>
      </c>
      <c r="B693" s="5">
        <v>0.0</v>
      </c>
      <c r="C693" s="6" t="s">
        <v>114</v>
      </c>
      <c r="D693" s="6" t="s">
        <v>1567</v>
      </c>
      <c r="E693" s="6" t="s">
        <v>1163</v>
      </c>
      <c r="F693" s="6">
        <v>6.9070502221E10</v>
      </c>
      <c r="G693" s="6" t="s">
        <v>496</v>
      </c>
      <c r="H693" s="6" t="s">
        <v>7927</v>
      </c>
      <c r="I693" s="6" t="s">
        <v>7928</v>
      </c>
      <c r="J693" s="6" t="s">
        <v>7929</v>
      </c>
      <c r="K693" s="6" t="s">
        <v>7930</v>
      </c>
      <c r="L693" s="6" t="s">
        <v>7931</v>
      </c>
      <c r="M693" s="6" t="s">
        <v>7932</v>
      </c>
      <c r="N693" s="6" t="s">
        <v>7933</v>
      </c>
      <c r="O693" s="6" t="s">
        <v>7934</v>
      </c>
      <c r="P693" s="6" t="s">
        <v>7935</v>
      </c>
      <c r="Q693" s="6" t="s">
        <v>7936</v>
      </c>
      <c r="R693" s="6" t="s">
        <v>246</v>
      </c>
      <c r="S693" s="6" t="s">
        <v>147</v>
      </c>
      <c r="T693" s="6" t="s">
        <v>250</v>
      </c>
      <c r="U693" s="6" t="s">
        <v>252</v>
      </c>
      <c r="V693" s="6" t="s">
        <v>246</v>
      </c>
      <c r="W693" s="6" t="s">
        <v>158</v>
      </c>
      <c r="X693" s="6" t="s">
        <v>257</v>
      </c>
      <c r="Y693" s="6" t="s">
        <v>162</v>
      </c>
      <c r="Z693" s="6" t="s">
        <v>165</v>
      </c>
      <c r="AA693" s="6" t="s">
        <v>262</v>
      </c>
      <c r="AB693" s="6" t="s">
        <v>521</v>
      </c>
      <c r="AC693" s="6" t="s">
        <v>174</v>
      </c>
      <c r="AD693" s="6" t="s">
        <v>175</v>
      </c>
      <c r="AE693" s="6" t="s">
        <v>271</v>
      </c>
      <c r="AF693" s="6" t="s">
        <v>181</v>
      </c>
      <c r="AG693" s="6" t="s">
        <v>182</v>
      </c>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row>
    <row r="694" ht="22.5" customHeight="1">
      <c r="A694" s="4">
        <v>46229.700495150464</v>
      </c>
      <c r="B694" s="5">
        <v>0.0</v>
      </c>
      <c r="C694" s="6" t="s">
        <v>114</v>
      </c>
      <c r="D694" s="6" t="s">
        <v>1568</v>
      </c>
      <c r="E694" s="6" t="s">
        <v>1569</v>
      </c>
      <c r="F694" s="6">
        <v>6.9070501023E10</v>
      </c>
      <c r="G694" s="6" t="s">
        <v>1470</v>
      </c>
      <c r="H694" s="7"/>
      <c r="I694" s="6" t="s">
        <v>7937</v>
      </c>
      <c r="J694" s="6" t="s">
        <v>7938</v>
      </c>
      <c r="K694" s="6" t="s">
        <v>7939</v>
      </c>
      <c r="L694" s="6" t="s">
        <v>7837</v>
      </c>
      <c r="M694" s="6" t="s">
        <v>7940</v>
      </c>
      <c r="N694" s="7"/>
      <c r="O694" s="6" t="s">
        <v>7941</v>
      </c>
      <c r="P694" s="6" t="s">
        <v>7942</v>
      </c>
      <c r="Q694" s="6" t="s">
        <v>7943</v>
      </c>
      <c r="R694" s="6" t="s">
        <v>246</v>
      </c>
      <c r="S694" s="6" t="s">
        <v>147</v>
      </c>
      <c r="T694" s="6" t="s">
        <v>250</v>
      </c>
      <c r="U694" s="6" t="s">
        <v>252</v>
      </c>
      <c r="V694" s="6" t="s">
        <v>246</v>
      </c>
      <c r="W694" s="6" t="s">
        <v>158</v>
      </c>
      <c r="X694" s="6" t="s">
        <v>257</v>
      </c>
      <c r="Y694" s="6" t="s">
        <v>162</v>
      </c>
      <c r="Z694" s="6" t="s">
        <v>165</v>
      </c>
      <c r="AA694" s="6" t="s">
        <v>262</v>
      </c>
      <c r="AB694" s="6" t="s">
        <v>521</v>
      </c>
      <c r="AC694" s="6" t="s">
        <v>174</v>
      </c>
      <c r="AD694" s="6" t="s">
        <v>175</v>
      </c>
      <c r="AE694" s="6" t="s">
        <v>271</v>
      </c>
      <c r="AF694" s="6" t="s">
        <v>181</v>
      </c>
      <c r="AG694" s="6" t="s">
        <v>182</v>
      </c>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row>
    <row r="695" ht="22.5" customHeight="1">
      <c r="A695" s="4">
        <v>46229.70049778935</v>
      </c>
      <c r="B695" s="5">
        <v>0.0</v>
      </c>
      <c r="C695" s="6" t="s">
        <v>114</v>
      </c>
      <c r="D695" s="6" t="s">
        <v>1570</v>
      </c>
      <c r="E695" s="6" t="s">
        <v>1571</v>
      </c>
      <c r="F695" s="6">
        <v>6.9070500267E10</v>
      </c>
      <c r="G695" s="6" t="s">
        <v>599</v>
      </c>
      <c r="H695" s="6" t="s">
        <v>7944</v>
      </c>
      <c r="I695" s="6" t="s">
        <v>5783</v>
      </c>
      <c r="J695" s="6" t="s">
        <v>7122</v>
      </c>
      <c r="K695" s="6" t="s">
        <v>7945</v>
      </c>
      <c r="L695" s="6" t="s">
        <v>5004</v>
      </c>
      <c r="M695" s="6" t="s">
        <v>7946</v>
      </c>
      <c r="N695" s="6" t="s">
        <v>2633</v>
      </c>
      <c r="O695" s="6" t="s">
        <v>7947</v>
      </c>
      <c r="P695" s="6" t="s">
        <v>7948</v>
      </c>
      <c r="Q695" s="6" t="s">
        <v>7949</v>
      </c>
      <c r="R695" s="6" t="s">
        <v>246</v>
      </c>
      <c r="S695" s="6" t="s">
        <v>147</v>
      </c>
      <c r="T695" s="6" t="s">
        <v>250</v>
      </c>
      <c r="U695" s="6" t="s">
        <v>152</v>
      </c>
      <c r="V695" s="6" t="s">
        <v>246</v>
      </c>
      <c r="W695" s="6" t="s">
        <v>158</v>
      </c>
      <c r="X695" s="6" t="s">
        <v>257</v>
      </c>
      <c r="Y695" s="6" t="s">
        <v>162</v>
      </c>
      <c r="Z695" s="6" t="s">
        <v>165</v>
      </c>
      <c r="AA695" s="6" t="s">
        <v>262</v>
      </c>
      <c r="AB695" s="6" t="s">
        <v>171</v>
      </c>
      <c r="AC695" s="6" t="s">
        <v>174</v>
      </c>
      <c r="AD695" s="6" t="s">
        <v>175</v>
      </c>
      <c r="AE695" s="6" t="s">
        <v>271</v>
      </c>
      <c r="AF695" s="6" t="s">
        <v>181</v>
      </c>
      <c r="AG695" s="6" t="s">
        <v>182</v>
      </c>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row>
    <row r="696" ht="22.5" customHeight="1">
      <c r="A696" s="4">
        <v>46229.70049915509</v>
      </c>
      <c r="B696" s="5">
        <v>0.0</v>
      </c>
      <c r="C696" s="6" t="s">
        <v>114</v>
      </c>
      <c r="D696" s="6" t="s">
        <v>1572</v>
      </c>
      <c r="E696" s="6" t="s">
        <v>1573</v>
      </c>
      <c r="F696" s="6">
        <v>6.9070502229E10</v>
      </c>
      <c r="G696" s="6" t="s">
        <v>496</v>
      </c>
      <c r="H696" s="6" t="s">
        <v>7950</v>
      </c>
      <c r="I696" s="6" t="s">
        <v>7951</v>
      </c>
      <c r="J696" s="6" t="s">
        <v>7929</v>
      </c>
      <c r="K696" s="6" t="s">
        <v>7952</v>
      </c>
      <c r="L696" s="6" t="s">
        <v>7953</v>
      </c>
      <c r="M696" s="6" t="s">
        <v>7954</v>
      </c>
      <c r="N696" s="6" t="s">
        <v>3500</v>
      </c>
      <c r="O696" s="6" t="s">
        <v>7955</v>
      </c>
      <c r="P696" s="6" t="s">
        <v>7956</v>
      </c>
      <c r="Q696" s="6" t="s">
        <v>7957</v>
      </c>
      <c r="R696" s="6" t="s">
        <v>246</v>
      </c>
      <c r="S696" s="6" t="s">
        <v>147</v>
      </c>
      <c r="T696" s="6" t="s">
        <v>250</v>
      </c>
      <c r="U696" s="6" t="s">
        <v>252</v>
      </c>
      <c r="V696" s="6" t="s">
        <v>246</v>
      </c>
      <c r="W696" s="6" t="s">
        <v>158</v>
      </c>
      <c r="X696" s="6" t="s">
        <v>257</v>
      </c>
      <c r="Y696" s="6" t="s">
        <v>162</v>
      </c>
      <c r="Z696" s="6" t="s">
        <v>165</v>
      </c>
      <c r="AA696" s="6" t="s">
        <v>262</v>
      </c>
      <c r="AB696" s="6" t="s">
        <v>171</v>
      </c>
      <c r="AC696" s="6" t="s">
        <v>174</v>
      </c>
      <c r="AD696" s="6" t="s">
        <v>175</v>
      </c>
      <c r="AE696" s="6" t="s">
        <v>271</v>
      </c>
      <c r="AF696" s="6" t="s">
        <v>181</v>
      </c>
      <c r="AG696" s="6" t="s">
        <v>182</v>
      </c>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row>
    <row r="697" ht="22.5" customHeight="1">
      <c r="A697" s="4">
        <v>46229.7005044213</v>
      </c>
      <c r="B697" s="5">
        <v>0.0</v>
      </c>
      <c r="C697" s="6" t="s">
        <v>114</v>
      </c>
      <c r="D697" s="6" t="s">
        <v>1574</v>
      </c>
      <c r="E697" s="6" t="s">
        <v>1575</v>
      </c>
      <c r="F697" s="6">
        <v>6.9070501253E10</v>
      </c>
      <c r="G697" s="6" t="s">
        <v>228</v>
      </c>
      <c r="H697" s="6" t="s">
        <v>7958</v>
      </c>
      <c r="I697" s="6" t="s">
        <v>6541</v>
      </c>
      <c r="J697" s="6" t="s">
        <v>7959</v>
      </c>
      <c r="K697" s="6" t="s">
        <v>7960</v>
      </c>
      <c r="L697" s="6" t="s">
        <v>4949</v>
      </c>
      <c r="M697" s="6" t="s">
        <v>4105</v>
      </c>
      <c r="N697" s="6" t="s">
        <v>3116</v>
      </c>
      <c r="O697" s="6" t="s">
        <v>7961</v>
      </c>
      <c r="P697" s="6" t="s">
        <v>7962</v>
      </c>
      <c r="Q697" s="6" t="s">
        <v>7963</v>
      </c>
      <c r="R697" s="6" t="s">
        <v>145</v>
      </c>
      <c r="S697" s="6" t="s">
        <v>147</v>
      </c>
      <c r="T697" s="6" t="s">
        <v>250</v>
      </c>
      <c r="U697" s="6" t="s">
        <v>252</v>
      </c>
      <c r="V697" s="6" t="s">
        <v>155</v>
      </c>
      <c r="W697" s="6" t="s">
        <v>158</v>
      </c>
      <c r="X697" s="6" t="s">
        <v>257</v>
      </c>
      <c r="Y697" s="6" t="s">
        <v>162</v>
      </c>
      <c r="Z697" s="6" t="s">
        <v>165</v>
      </c>
      <c r="AA697" s="6" t="s">
        <v>262</v>
      </c>
      <c r="AB697" s="6" t="s">
        <v>171</v>
      </c>
      <c r="AC697" s="6" t="s">
        <v>174</v>
      </c>
      <c r="AD697" s="6" t="s">
        <v>175</v>
      </c>
      <c r="AE697" s="6" t="s">
        <v>271</v>
      </c>
      <c r="AF697" s="6" t="s">
        <v>181</v>
      </c>
      <c r="AG697" s="6" t="s">
        <v>182</v>
      </c>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row>
    <row r="698" ht="22.5" customHeight="1">
      <c r="A698" s="4">
        <v>46229.70050564814</v>
      </c>
      <c r="B698" s="5">
        <v>0.0</v>
      </c>
      <c r="C698" s="6" t="s">
        <v>114</v>
      </c>
      <c r="D698" s="6" t="s">
        <v>1576</v>
      </c>
      <c r="E698" s="6" t="s">
        <v>1577</v>
      </c>
      <c r="F698" s="6">
        <v>6.907050086E10</v>
      </c>
      <c r="G698" s="6" t="s">
        <v>496</v>
      </c>
      <c r="H698" s="7"/>
      <c r="I698" s="6" t="s">
        <v>7057</v>
      </c>
      <c r="J698" s="6" t="s">
        <v>5498</v>
      </c>
      <c r="K698" s="6" t="s">
        <v>7964</v>
      </c>
      <c r="L698" s="6" t="s">
        <v>7965</v>
      </c>
      <c r="M698" s="6" t="s">
        <v>5504</v>
      </c>
      <c r="N698" s="7"/>
      <c r="O698" s="6" t="s">
        <v>7966</v>
      </c>
      <c r="P698" s="6" t="s">
        <v>7967</v>
      </c>
      <c r="Q698" s="6" t="s">
        <v>7858</v>
      </c>
      <c r="R698" s="6" t="s">
        <v>257</v>
      </c>
      <c r="S698" s="6" t="s">
        <v>147</v>
      </c>
      <c r="T698" s="6" t="s">
        <v>257</v>
      </c>
      <c r="U698" s="6" t="s">
        <v>560</v>
      </c>
      <c r="V698" s="6" t="s">
        <v>246</v>
      </c>
      <c r="W698" s="6" t="s">
        <v>158</v>
      </c>
      <c r="X698" s="6" t="s">
        <v>257</v>
      </c>
      <c r="Y698" s="6" t="s">
        <v>162</v>
      </c>
      <c r="Z698" s="6" t="s">
        <v>165</v>
      </c>
      <c r="AA698" s="6" t="s">
        <v>262</v>
      </c>
      <c r="AB698" s="6" t="s">
        <v>171</v>
      </c>
      <c r="AC698" s="6" t="s">
        <v>174</v>
      </c>
      <c r="AD698" s="6" t="s">
        <v>175</v>
      </c>
      <c r="AE698" s="6" t="s">
        <v>178</v>
      </c>
      <c r="AF698" s="6" t="s">
        <v>181</v>
      </c>
      <c r="AG698" s="6" t="s">
        <v>182</v>
      </c>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row>
    <row r="699" ht="22.5" customHeight="1">
      <c r="A699" s="4">
        <v>46229.70050840278</v>
      </c>
      <c r="B699" s="5">
        <v>0.0</v>
      </c>
      <c r="C699" s="6" t="s">
        <v>114</v>
      </c>
      <c r="D699" s="6" t="s">
        <v>1578</v>
      </c>
      <c r="E699" s="6" t="s">
        <v>1579</v>
      </c>
      <c r="F699" s="6">
        <v>6.9070508244E10</v>
      </c>
      <c r="G699" s="6" t="s">
        <v>730</v>
      </c>
      <c r="H699" s="7"/>
      <c r="I699" s="6" t="s">
        <v>7968</v>
      </c>
      <c r="J699" s="6" t="s">
        <v>5906</v>
      </c>
      <c r="K699" s="6" t="s">
        <v>7969</v>
      </c>
      <c r="L699" s="6" t="s">
        <v>2180</v>
      </c>
      <c r="M699" s="6" t="s">
        <v>7970</v>
      </c>
      <c r="N699" s="6" t="s">
        <v>7971</v>
      </c>
      <c r="O699" s="6" t="s">
        <v>7972</v>
      </c>
      <c r="P699" s="6" t="s">
        <v>7973</v>
      </c>
      <c r="Q699" s="6" t="s">
        <v>7974</v>
      </c>
      <c r="R699" s="6" t="s">
        <v>246</v>
      </c>
      <c r="S699" s="6" t="s">
        <v>147</v>
      </c>
      <c r="T699" s="6" t="s">
        <v>250</v>
      </c>
      <c r="U699" s="6" t="s">
        <v>560</v>
      </c>
      <c r="V699" s="6" t="s">
        <v>246</v>
      </c>
      <c r="W699" s="6" t="s">
        <v>158</v>
      </c>
      <c r="X699" s="6" t="s">
        <v>257</v>
      </c>
      <c r="Y699" s="6" t="s">
        <v>162</v>
      </c>
      <c r="Z699" s="6" t="s">
        <v>165</v>
      </c>
      <c r="AA699" s="6" t="s">
        <v>262</v>
      </c>
      <c r="AB699" s="6" t="s">
        <v>1266</v>
      </c>
      <c r="AC699" s="6" t="s">
        <v>1669</v>
      </c>
      <c r="AD699" s="6" t="s">
        <v>175</v>
      </c>
      <c r="AE699" s="6" t="s">
        <v>271</v>
      </c>
      <c r="AF699" s="6" t="s">
        <v>181</v>
      </c>
      <c r="AG699" s="6" t="s">
        <v>182</v>
      </c>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row>
    <row r="700" ht="22.5" customHeight="1">
      <c r="A700" s="4">
        <v>46229.70051203704</v>
      </c>
      <c r="B700" s="5">
        <v>0.0</v>
      </c>
      <c r="C700" s="6" t="s">
        <v>114</v>
      </c>
      <c r="D700" s="6" t="s">
        <v>1000</v>
      </c>
      <c r="E700" s="6" t="s">
        <v>1580</v>
      </c>
      <c r="F700" s="6">
        <v>6.9070506456E10</v>
      </c>
      <c r="G700" s="6" t="s">
        <v>599</v>
      </c>
      <c r="H700" s="7"/>
      <c r="I700" s="6" t="s">
        <v>7975</v>
      </c>
      <c r="J700" s="6" t="s">
        <v>7976</v>
      </c>
      <c r="K700" s="6" t="s">
        <v>7977</v>
      </c>
      <c r="L700" s="6" t="s">
        <v>7978</v>
      </c>
      <c r="M700" s="6" t="s">
        <v>7979</v>
      </c>
      <c r="N700" s="7"/>
      <c r="O700" s="6" t="s">
        <v>7980</v>
      </c>
      <c r="P700" s="6" t="s">
        <v>7981</v>
      </c>
      <c r="Q700" s="6" t="s">
        <v>7982</v>
      </c>
      <c r="R700" s="6" t="s">
        <v>257</v>
      </c>
      <c r="S700" s="6" t="s">
        <v>147</v>
      </c>
      <c r="T700" s="6" t="s">
        <v>250</v>
      </c>
      <c r="U700" s="6" t="s">
        <v>560</v>
      </c>
      <c r="V700" s="6" t="s">
        <v>246</v>
      </c>
      <c r="W700" s="6" t="s">
        <v>158</v>
      </c>
      <c r="X700" s="6" t="s">
        <v>458</v>
      </c>
      <c r="Y700" s="6" t="s">
        <v>162</v>
      </c>
      <c r="Z700" s="6" t="s">
        <v>165</v>
      </c>
      <c r="AA700" s="6" t="s">
        <v>262</v>
      </c>
      <c r="AB700" s="6" t="s">
        <v>171</v>
      </c>
      <c r="AC700" s="6" t="s">
        <v>174</v>
      </c>
      <c r="AD700" s="6" t="s">
        <v>1723</v>
      </c>
      <c r="AE700" s="6" t="s">
        <v>1211</v>
      </c>
      <c r="AF700" s="6" t="s">
        <v>181</v>
      </c>
      <c r="AG700" s="6" t="s">
        <v>182</v>
      </c>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row>
    <row r="701" ht="22.5" customHeight="1">
      <c r="A701" s="4">
        <v>46229.700520659724</v>
      </c>
      <c r="B701" s="5">
        <v>0.0</v>
      </c>
      <c r="C701" s="6" t="s">
        <v>114</v>
      </c>
      <c r="D701" s="6" t="s">
        <v>1581</v>
      </c>
      <c r="E701" s="6" t="s">
        <v>1582</v>
      </c>
      <c r="F701" s="6">
        <v>6.9070509818E10</v>
      </c>
      <c r="G701" s="6" t="s">
        <v>496</v>
      </c>
      <c r="H701" s="7"/>
      <c r="I701" s="6" t="s">
        <v>7983</v>
      </c>
      <c r="J701" s="6" t="s">
        <v>7984</v>
      </c>
      <c r="K701" s="6" t="s">
        <v>7985</v>
      </c>
      <c r="L701" s="6" t="s">
        <v>7986</v>
      </c>
      <c r="M701" s="6" t="s">
        <v>7987</v>
      </c>
      <c r="N701" s="6" t="s">
        <v>7988</v>
      </c>
      <c r="O701" s="6" t="s">
        <v>7989</v>
      </c>
      <c r="P701" s="6" t="s">
        <v>7990</v>
      </c>
      <c r="Q701" s="6" t="s">
        <v>7991</v>
      </c>
      <c r="R701" s="6" t="s">
        <v>246</v>
      </c>
      <c r="S701" s="6" t="s">
        <v>147</v>
      </c>
      <c r="T701" s="6" t="s">
        <v>250</v>
      </c>
      <c r="U701" s="6" t="s">
        <v>252</v>
      </c>
      <c r="V701" s="6" t="s">
        <v>246</v>
      </c>
      <c r="W701" s="6" t="s">
        <v>932</v>
      </c>
      <c r="X701" s="6" t="s">
        <v>250</v>
      </c>
      <c r="Y701" s="6" t="s">
        <v>1319</v>
      </c>
      <c r="Z701" s="6" t="s">
        <v>152</v>
      </c>
      <c r="AA701" s="6" t="s">
        <v>1322</v>
      </c>
      <c r="AB701" s="6" t="s">
        <v>1266</v>
      </c>
      <c r="AC701" s="6" t="s">
        <v>1210</v>
      </c>
      <c r="AD701" s="6" t="s">
        <v>1723</v>
      </c>
      <c r="AE701" s="6" t="s">
        <v>271</v>
      </c>
      <c r="AF701" s="6" t="s">
        <v>638</v>
      </c>
      <c r="AG701" s="6" t="s">
        <v>1213</v>
      </c>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row>
    <row r="702" ht="22.5" customHeight="1">
      <c r="A702" s="4">
        <v>46229.70052435185</v>
      </c>
      <c r="B702" s="5">
        <v>0.0</v>
      </c>
      <c r="C702" s="6" t="s">
        <v>114</v>
      </c>
      <c r="D702" s="6" t="s">
        <v>1583</v>
      </c>
      <c r="E702" s="6" t="s">
        <v>1584</v>
      </c>
      <c r="F702" s="6">
        <v>6.9070502426E10</v>
      </c>
      <c r="G702" s="6" t="s">
        <v>122</v>
      </c>
      <c r="H702" s="7"/>
      <c r="I702" s="6" t="s">
        <v>7992</v>
      </c>
      <c r="J702" s="6" t="s">
        <v>7993</v>
      </c>
      <c r="K702" s="6" t="s">
        <v>7994</v>
      </c>
      <c r="L702" s="6" t="s">
        <v>7995</v>
      </c>
      <c r="M702" s="6" t="s">
        <v>7996</v>
      </c>
      <c r="N702" s="7"/>
      <c r="O702" s="6" t="s">
        <v>7997</v>
      </c>
      <c r="P702" s="6" t="s">
        <v>7998</v>
      </c>
      <c r="Q702" s="6" t="s">
        <v>7999</v>
      </c>
      <c r="R702" s="6" t="s">
        <v>246</v>
      </c>
      <c r="S702" s="6" t="s">
        <v>147</v>
      </c>
      <c r="T702" s="6" t="s">
        <v>250</v>
      </c>
      <c r="U702" s="6" t="s">
        <v>2254</v>
      </c>
      <c r="V702" s="6" t="s">
        <v>155</v>
      </c>
      <c r="W702" s="6" t="s">
        <v>158</v>
      </c>
      <c r="X702" s="6" t="s">
        <v>161</v>
      </c>
      <c r="Y702" s="6" t="s">
        <v>162</v>
      </c>
      <c r="Z702" s="6" t="s">
        <v>165</v>
      </c>
      <c r="AA702" s="6" t="s">
        <v>262</v>
      </c>
      <c r="AB702" s="6" t="s">
        <v>171</v>
      </c>
      <c r="AC702" s="6" t="s">
        <v>1669</v>
      </c>
      <c r="AD702" s="6" t="s">
        <v>175</v>
      </c>
      <c r="AE702" s="6" t="s">
        <v>271</v>
      </c>
      <c r="AF702" s="6" t="s">
        <v>181</v>
      </c>
      <c r="AG702" s="6" t="s">
        <v>182</v>
      </c>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row>
    <row r="703" ht="22.5" customHeight="1">
      <c r="A703" s="4">
        <v>46229.700534131945</v>
      </c>
      <c r="B703" s="5">
        <v>0.0</v>
      </c>
      <c r="C703" s="6" t="s">
        <v>114</v>
      </c>
      <c r="D703" s="6" t="s">
        <v>1586</v>
      </c>
      <c r="E703" s="6" t="s">
        <v>1587</v>
      </c>
      <c r="F703" s="6">
        <v>6.9070501278E10</v>
      </c>
      <c r="G703" s="6" t="s">
        <v>228</v>
      </c>
      <c r="H703" s="6" t="s">
        <v>8000</v>
      </c>
      <c r="I703" s="6" t="s">
        <v>8001</v>
      </c>
      <c r="J703" s="6" t="s">
        <v>8002</v>
      </c>
      <c r="K703" s="6" t="s">
        <v>8003</v>
      </c>
      <c r="L703" s="6" t="s">
        <v>8004</v>
      </c>
      <c r="M703" s="6" t="s">
        <v>8005</v>
      </c>
      <c r="N703" s="6" t="s">
        <v>8006</v>
      </c>
      <c r="O703" s="6" t="s">
        <v>8007</v>
      </c>
      <c r="P703" s="6" t="s">
        <v>8008</v>
      </c>
      <c r="Q703" s="6" t="s">
        <v>8009</v>
      </c>
      <c r="R703" s="6" t="s">
        <v>257</v>
      </c>
      <c r="S703" s="6" t="s">
        <v>147</v>
      </c>
      <c r="T703" s="6" t="s">
        <v>250</v>
      </c>
      <c r="U703" s="6" t="s">
        <v>560</v>
      </c>
      <c r="V703" s="6" t="s">
        <v>246</v>
      </c>
      <c r="W703" s="6" t="s">
        <v>158</v>
      </c>
      <c r="X703" s="6" t="s">
        <v>257</v>
      </c>
      <c r="Y703" s="6" t="s">
        <v>162</v>
      </c>
      <c r="Z703" s="6" t="s">
        <v>165</v>
      </c>
      <c r="AA703" s="6" t="s">
        <v>262</v>
      </c>
      <c r="AB703" s="6" t="s">
        <v>521</v>
      </c>
      <c r="AC703" s="6" t="s">
        <v>174</v>
      </c>
      <c r="AD703" s="6" t="s">
        <v>175</v>
      </c>
      <c r="AE703" s="6" t="s">
        <v>271</v>
      </c>
      <c r="AF703" s="6" t="s">
        <v>181</v>
      </c>
      <c r="AG703" s="6" t="s">
        <v>182</v>
      </c>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row>
    <row r="704" ht="22.5" customHeight="1">
      <c r="A704" s="4">
        <v>46229.700535428245</v>
      </c>
      <c r="B704" s="5">
        <v>0.0</v>
      </c>
      <c r="C704" s="6" t="s">
        <v>114</v>
      </c>
      <c r="D704" s="6" t="s">
        <v>1590</v>
      </c>
      <c r="E704" s="6" t="s">
        <v>1591</v>
      </c>
      <c r="F704" s="6">
        <v>6.9070501256E10</v>
      </c>
      <c r="G704" s="6" t="s">
        <v>228</v>
      </c>
      <c r="H704" s="6" t="s">
        <v>8010</v>
      </c>
      <c r="I704" s="6" t="s">
        <v>5253</v>
      </c>
      <c r="J704" s="6" t="s">
        <v>5250</v>
      </c>
      <c r="K704" s="6" t="s">
        <v>8011</v>
      </c>
      <c r="L704" s="6" t="s">
        <v>8012</v>
      </c>
      <c r="M704" s="6" t="s">
        <v>8013</v>
      </c>
      <c r="N704" s="6" t="s">
        <v>5568</v>
      </c>
      <c r="O704" s="6" t="s">
        <v>8014</v>
      </c>
      <c r="P704" s="6" t="s">
        <v>8015</v>
      </c>
      <c r="Q704" s="6" t="s">
        <v>8016</v>
      </c>
      <c r="R704" s="6" t="s">
        <v>257</v>
      </c>
      <c r="S704" s="6" t="s">
        <v>147</v>
      </c>
      <c r="T704" s="6" t="s">
        <v>257</v>
      </c>
      <c r="U704" s="6" t="s">
        <v>252</v>
      </c>
      <c r="V704" s="6" t="s">
        <v>246</v>
      </c>
      <c r="W704" s="6" t="s">
        <v>158</v>
      </c>
      <c r="X704" s="6" t="s">
        <v>161</v>
      </c>
      <c r="Y704" s="6" t="s">
        <v>162</v>
      </c>
      <c r="Z704" s="6" t="s">
        <v>165</v>
      </c>
      <c r="AA704" s="6" t="s">
        <v>262</v>
      </c>
      <c r="AB704" s="6" t="s">
        <v>171</v>
      </c>
      <c r="AC704" s="6" t="s">
        <v>174</v>
      </c>
      <c r="AD704" s="6" t="s">
        <v>175</v>
      </c>
      <c r="AE704" s="6" t="s">
        <v>524</v>
      </c>
      <c r="AF704" s="6" t="s">
        <v>181</v>
      </c>
      <c r="AG704" s="6" t="s">
        <v>182</v>
      </c>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row>
    <row r="705" ht="22.5" customHeight="1">
      <c r="A705" s="4">
        <v>46229.7005378125</v>
      </c>
      <c r="B705" s="5">
        <v>0.0</v>
      </c>
      <c r="C705" s="6" t="s">
        <v>114</v>
      </c>
      <c r="D705" s="6" t="s">
        <v>1594</v>
      </c>
      <c r="E705" s="6" t="s">
        <v>1595</v>
      </c>
      <c r="F705" s="6">
        <v>6.9070501266E10</v>
      </c>
      <c r="G705" s="6" t="s">
        <v>228</v>
      </c>
      <c r="H705" s="6" t="s">
        <v>8017</v>
      </c>
      <c r="I705" s="6" t="s">
        <v>7459</v>
      </c>
      <c r="J705" s="6" t="s">
        <v>7457</v>
      </c>
      <c r="K705" s="6" t="s">
        <v>6472</v>
      </c>
      <c r="L705" s="6" t="s">
        <v>8018</v>
      </c>
      <c r="M705" s="6" t="s">
        <v>5424</v>
      </c>
      <c r="N705" s="6" t="s">
        <v>3052</v>
      </c>
      <c r="O705" s="6" t="s">
        <v>8019</v>
      </c>
      <c r="P705" s="6" t="s">
        <v>8020</v>
      </c>
      <c r="Q705" s="6" t="s">
        <v>8021</v>
      </c>
      <c r="R705" s="6" t="s">
        <v>246</v>
      </c>
      <c r="S705" s="6" t="s">
        <v>147</v>
      </c>
      <c r="T705" s="6" t="s">
        <v>246</v>
      </c>
      <c r="U705" s="6" t="s">
        <v>686</v>
      </c>
      <c r="V705" s="6" t="s">
        <v>155</v>
      </c>
      <c r="W705" s="6" t="s">
        <v>158</v>
      </c>
      <c r="X705" s="6" t="s">
        <v>257</v>
      </c>
      <c r="Y705" s="6" t="s">
        <v>162</v>
      </c>
      <c r="Z705" s="6" t="s">
        <v>165</v>
      </c>
      <c r="AA705" s="6" t="s">
        <v>262</v>
      </c>
      <c r="AB705" s="6" t="s">
        <v>521</v>
      </c>
      <c r="AC705" s="6" t="s">
        <v>174</v>
      </c>
      <c r="AD705" s="6" t="s">
        <v>635</v>
      </c>
      <c r="AE705" s="6" t="s">
        <v>3105</v>
      </c>
      <c r="AF705" s="6" t="s">
        <v>181</v>
      </c>
      <c r="AG705" s="6" t="s">
        <v>182</v>
      </c>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row>
    <row r="706" ht="22.5" customHeight="1">
      <c r="A706" s="4">
        <v>46229.700550775466</v>
      </c>
      <c r="B706" s="5">
        <v>0.0</v>
      </c>
      <c r="C706" s="6" t="s">
        <v>114</v>
      </c>
      <c r="D706" s="6" t="s">
        <v>1431</v>
      </c>
      <c r="E706" s="6" t="s">
        <v>1599</v>
      </c>
      <c r="F706" s="6">
        <v>6.9070509843E10</v>
      </c>
      <c r="G706" s="6" t="s">
        <v>496</v>
      </c>
      <c r="H706" s="6" t="s">
        <v>8022</v>
      </c>
      <c r="I706" s="6" t="s">
        <v>8023</v>
      </c>
      <c r="J706" s="6" t="s">
        <v>8024</v>
      </c>
      <c r="K706" s="6" t="s">
        <v>8025</v>
      </c>
      <c r="L706" s="6" t="s">
        <v>8026</v>
      </c>
      <c r="M706" s="6" t="s">
        <v>8027</v>
      </c>
      <c r="N706" s="7"/>
      <c r="O706" s="6" t="s">
        <v>8028</v>
      </c>
      <c r="P706" s="6" t="s">
        <v>8029</v>
      </c>
      <c r="Q706" s="6" t="s">
        <v>8030</v>
      </c>
      <c r="R706" s="6" t="s">
        <v>246</v>
      </c>
      <c r="S706" s="6" t="s">
        <v>147</v>
      </c>
      <c r="T706" s="6" t="s">
        <v>516</v>
      </c>
      <c r="U706" s="6" t="s">
        <v>2254</v>
      </c>
      <c r="V706" s="6" t="s">
        <v>246</v>
      </c>
      <c r="W706" s="6" t="s">
        <v>158</v>
      </c>
      <c r="X706" s="6" t="s">
        <v>257</v>
      </c>
      <c r="Y706" s="6" t="s">
        <v>162</v>
      </c>
      <c r="Z706" s="6" t="s">
        <v>165</v>
      </c>
      <c r="AA706" s="6" t="s">
        <v>262</v>
      </c>
      <c r="AB706" s="6" t="s">
        <v>521</v>
      </c>
      <c r="AC706" s="6" t="s">
        <v>174</v>
      </c>
      <c r="AD706" s="6" t="s">
        <v>175</v>
      </c>
      <c r="AE706" s="6" t="s">
        <v>271</v>
      </c>
      <c r="AF706" s="6" t="s">
        <v>181</v>
      </c>
      <c r="AG706" s="6" t="s">
        <v>182</v>
      </c>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row>
    <row r="707" ht="22.5" customHeight="1">
      <c r="A707" s="4">
        <v>46229.70056258102</v>
      </c>
      <c r="B707" s="5">
        <v>0.0</v>
      </c>
      <c r="C707" s="6" t="s">
        <v>114</v>
      </c>
      <c r="D707" s="6" t="s">
        <v>1600</v>
      </c>
      <c r="E707" s="6" t="s">
        <v>1601</v>
      </c>
      <c r="F707" s="6">
        <v>6.9070501839E10</v>
      </c>
      <c r="G707" s="6" t="s">
        <v>730</v>
      </c>
      <c r="H707" s="7"/>
      <c r="I707" s="6" t="s">
        <v>8031</v>
      </c>
      <c r="J707" s="6" t="s">
        <v>7757</v>
      </c>
      <c r="K707" s="6" t="s">
        <v>7898</v>
      </c>
      <c r="L707" s="6" t="s">
        <v>8032</v>
      </c>
      <c r="M707" s="6" t="s">
        <v>3627</v>
      </c>
      <c r="N707" s="7"/>
      <c r="O707" s="6" t="s">
        <v>8033</v>
      </c>
      <c r="P707" s="6" t="s">
        <v>8034</v>
      </c>
      <c r="Q707" s="6" t="s">
        <v>8035</v>
      </c>
      <c r="R707" s="6" t="s">
        <v>246</v>
      </c>
      <c r="S707" s="6" t="s">
        <v>147</v>
      </c>
      <c r="T707" s="6" t="s">
        <v>250</v>
      </c>
      <c r="U707" s="6" t="s">
        <v>152</v>
      </c>
      <c r="V707" s="6" t="s">
        <v>246</v>
      </c>
      <c r="W707" s="6" t="s">
        <v>158</v>
      </c>
      <c r="X707" s="6" t="s">
        <v>257</v>
      </c>
      <c r="Y707" s="6" t="s">
        <v>162</v>
      </c>
      <c r="Z707" s="6" t="s">
        <v>165</v>
      </c>
      <c r="AA707" s="6" t="s">
        <v>262</v>
      </c>
      <c r="AB707" s="6" t="s">
        <v>171</v>
      </c>
      <c r="AC707" s="6" t="s">
        <v>174</v>
      </c>
      <c r="AD707" s="6" t="s">
        <v>175</v>
      </c>
      <c r="AE707" s="6" t="s">
        <v>271</v>
      </c>
      <c r="AF707" s="6" t="s">
        <v>181</v>
      </c>
      <c r="AG707" s="6" t="s">
        <v>182</v>
      </c>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row>
    <row r="708" ht="22.5" customHeight="1">
      <c r="A708" s="4">
        <v>46229.70057061342</v>
      </c>
      <c r="B708" s="5">
        <v>0.0</v>
      </c>
      <c r="C708" s="6" t="s">
        <v>114</v>
      </c>
      <c r="D708" s="6" t="s">
        <v>1602</v>
      </c>
      <c r="E708" s="6" t="s">
        <v>1603</v>
      </c>
      <c r="F708" s="6">
        <v>6.9070501036E10</v>
      </c>
      <c r="G708" s="6" t="s">
        <v>1470</v>
      </c>
      <c r="H708" s="7"/>
      <c r="I708" s="6" t="s">
        <v>6654</v>
      </c>
      <c r="J708" s="6" t="s">
        <v>8036</v>
      </c>
      <c r="K708" s="6" t="s">
        <v>8037</v>
      </c>
      <c r="L708" s="6" t="s">
        <v>5552</v>
      </c>
      <c r="M708" s="6" t="s">
        <v>8038</v>
      </c>
      <c r="N708" s="6" t="s">
        <v>8039</v>
      </c>
      <c r="O708" s="6" t="s">
        <v>8040</v>
      </c>
      <c r="P708" s="6" t="s">
        <v>8041</v>
      </c>
      <c r="Q708" s="6" t="s">
        <v>8042</v>
      </c>
      <c r="R708" s="6" t="s">
        <v>246</v>
      </c>
      <c r="S708" s="6" t="s">
        <v>147</v>
      </c>
      <c r="T708" s="6" t="s">
        <v>250</v>
      </c>
      <c r="U708" s="6" t="s">
        <v>2254</v>
      </c>
      <c r="V708" s="6" t="s">
        <v>246</v>
      </c>
      <c r="W708" s="6" t="s">
        <v>158</v>
      </c>
      <c r="X708" s="6" t="s">
        <v>257</v>
      </c>
      <c r="Y708" s="6" t="s">
        <v>162</v>
      </c>
      <c r="Z708" s="6" t="s">
        <v>165</v>
      </c>
      <c r="AA708" s="6" t="s">
        <v>262</v>
      </c>
      <c r="AB708" s="6" t="s">
        <v>1266</v>
      </c>
      <c r="AC708" s="6" t="s">
        <v>174</v>
      </c>
      <c r="AD708" s="6" t="s">
        <v>175</v>
      </c>
      <c r="AE708" s="6" t="s">
        <v>271</v>
      </c>
      <c r="AF708" s="6" t="s">
        <v>181</v>
      </c>
      <c r="AG708" s="6" t="s">
        <v>182</v>
      </c>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row>
    <row r="709" ht="22.5" customHeight="1">
      <c r="A709" s="4">
        <v>46229.70057386574</v>
      </c>
      <c r="B709" s="5">
        <v>0.0</v>
      </c>
      <c r="C709" s="6" t="s">
        <v>114</v>
      </c>
      <c r="D709" s="6" t="s">
        <v>153</v>
      </c>
      <c r="E709" s="6" t="s">
        <v>1604</v>
      </c>
      <c r="F709" s="6">
        <v>6.9070502805E10</v>
      </c>
      <c r="G709" s="6" t="s">
        <v>310</v>
      </c>
      <c r="H709" s="6" t="s">
        <v>6938</v>
      </c>
      <c r="I709" s="6" t="s">
        <v>3551</v>
      </c>
      <c r="J709" s="6" t="s">
        <v>6715</v>
      </c>
      <c r="K709" s="6" t="s">
        <v>8043</v>
      </c>
      <c r="L709" s="6" t="s">
        <v>8044</v>
      </c>
      <c r="M709" s="6" t="s">
        <v>8045</v>
      </c>
      <c r="N709" s="6" t="s">
        <v>8046</v>
      </c>
      <c r="O709" s="6" t="s">
        <v>8047</v>
      </c>
      <c r="P709" s="6" t="s">
        <v>8048</v>
      </c>
      <c r="Q709" s="6" t="s">
        <v>8049</v>
      </c>
      <c r="R709" s="6" t="s">
        <v>257</v>
      </c>
      <c r="S709" s="6" t="s">
        <v>147</v>
      </c>
      <c r="T709" s="6" t="s">
        <v>246</v>
      </c>
      <c r="U709" s="6" t="s">
        <v>686</v>
      </c>
      <c r="V709" s="6" t="s">
        <v>246</v>
      </c>
      <c r="W709" s="6" t="s">
        <v>158</v>
      </c>
      <c r="X709" s="6" t="s">
        <v>257</v>
      </c>
      <c r="Y709" s="6" t="s">
        <v>162</v>
      </c>
      <c r="Z709" s="6" t="s">
        <v>804</v>
      </c>
      <c r="AA709" s="6" t="s">
        <v>262</v>
      </c>
      <c r="AB709" s="6" t="s">
        <v>521</v>
      </c>
      <c r="AC709" s="6" t="s">
        <v>174</v>
      </c>
      <c r="AD709" s="6" t="s">
        <v>175</v>
      </c>
      <c r="AE709" s="6" t="s">
        <v>178</v>
      </c>
      <c r="AF709" s="6" t="s">
        <v>181</v>
      </c>
      <c r="AG709" s="6" t="s">
        <v>182</v>
      </c>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row>
    <row r="710" ht="22.5" customHeight="1">
      <c r="A710" s="4">
        <v>46229.70058105324</v>
      </c>
      <c r="B710" s="5">
        <v>0.0</v>
      </c>
      <c r="C710" s="6" t="s">
        <v>114</v>
      </c>
      <c r="D710" s="6" t="s">
        <v>1605</v>
      </c>
      <c r="E710" s="6" t="s">
        <v>1606</v>
      </c>
      <c r="F710" s="6">
        <v>6.9070506423E10</v>
      </c>
      <c r="G710" s="6" t="s">
        <v>599</v>
      </c>
      <c r="H710" s="7"/>
      <c r="I710" s="6" t="s">
        <v>4004</v>
      </c>
      <c r="J710" s="6" t="s">
        <v>3657</v>
      </c>
      <c r="K710" s="6" t="s">
        <v>8050</v>
      </c>
      <c r="L710" s="6" t="s">
        <v>6305</v>
      </c>
      <c r="M710" s="6" t="s">
        <v>3161</v>
      </c>
      <c r="N710" s="6" t="s">
        <v>8051</v>
      </c>
      <c r="O710" s="6" t="s">
        <v>8052</v>
      </c>
      <c r="P710" s="6" t="s">
        <v>8053</v>
      </c>
      <c r="Q710" s="6" t="s">
        <v>8054</v>
      </c>
      <c r="R710" s="6" t="s">
        <v>246</v>
      </c>
      <c r="S710" s="6" t="s">
        <v>147</v>
      </c>
      <c r="T710" s="6" t="s">
        <v>250</v>
      </c>
      <c r="U710" s="6" t="s">
        <v>252</v>
      </c>
      <c r="V710" s="6" t="s">
        <v>246</v>
      </c>
      <c r="W710" s="6" t="s">
        <v>158</v>
      </c>
      <c r="X710" s="6" t="s">
        <v>257</v>
      </c>
      <c r="Y710" s="6" t="s">
        <v>162</v>
      </c>
      <c r="Z710" s="6" t="s">
        <v>165</v>
      </c>
      <c r="AA710" s="6" t="s">
        <v>262</v>
      </c>
      <c r="AB710" s="6" t="s">
        <v>171</v>
      </c>
      <c r="AC710" s="6" t="s">
        <v>1669</v>
      </c>
      <c r="AD710" s="6" t="s">
        <v>175</v>
      </c>
      <c r="AE710" s="6" t="s">
        <v>271</v>
      </c>
      <c r="AF710" s="6" t="s">
        <v>181</v>
      </c>
      <c r="AG710" s="6" t="s">
        <v>182</v>
      </c>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row>
    <row r="711" ht="22.5" customHeight="1">
      <c r="A711" s="4">
        <v>46229.70058416667</v>
      </c>
      <c r="B711" s="5">
        <v>0.0</v>
      </c>
      <c r="C711" s="6" t="s">
        <v>114</v>
      </c>
      <c r="D711" s="6" t="s">
        <v>1607</v>
      </c>
      <c r="E711" s="6" t="s">
        <v>1608</v>
      </c>
      <c r="F711" s="6">
        <v>6.907050883E10</v>
      </c>
      <c r="G711" s="6" t="s">
        <v>5399</v>
      </c>
      <c r="H711" s="7"/>
      <c r="I711" s="6" t="s">
        <v>8055</v>
      </c>
      <c r="J711" s="6" t="s">
        <v>8056</v>
      </c>
      <c r="K711" s="6" t="s">
        <v>8057</v>
      </c>
      <c r="L711" s="6" t="s">
        <v>8058</v>
      </c>
      <c r="M711" s="6" t="s">
        <v>8059</v>
      </c>
      <c r="N711" s="7"/>
      <c r="O711" s="6" t="s">
        <v>8060</v>
      </c>
      <c r="P711" s="6" t="s">
        <v>8061</v>
      </c>
      <c r="Q711" s="6" t="s">
        <v>8062</v>
      </c>
      <c r="R711" s="6" t="s">
        <v>861</v>
      </c>
      <c r="S711" s="6" t="s">
        <v>147</v>
      </c>
      <c r="T711" s="6" t="s">
        <v>250</v>
      </c>
      <c r="U711" s="6" t="s">
        <v>686</v>
      </c>
      <c r="V711" s="6" t="s">
        <v>155</v>
      </c>
      <c r="W711" s="6" t="s">
        <v>158</v>
      </c>
      <c r="X711" s="6" t="s">
        <v>161</v>
      </c>
      <c r="Y711" s="6" t="s">
        <v>162</v>
      </c>
      <c r="Z711" s="6" t="s">
        <v>165</v>
      </c>
      <c r="AA711" s="6" t="s">
        <v>168</v>
      </c>
      <c r="AB711" s="6" t="s">
        <v>171</v>
      </c>
      <c r="AC711" s="6" t="s">
        <v>174</v>
      </c>
      <c r="AD711" s="6" t="s">
        <v>175</v>
      </c>
      <c r="AE711" s="6" t="s">
        <v>271</v>
      </c>
      <c r="AF711" s="6" t="s">
        <v>181</v>
      </c>
      <c r="AG711" s="6" t="s">
        <v>641</v>
      </c>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row>
    <row r="712" ht="22.5" customHeight="1">
      <c r="A712" s="4">
        <v>46229.70058958333</v>
      </c>
      <c r="B712" s="5">
        <v>0.0</v>
      </c>
      <c r="C712" s="6" t="s">
        <v>114</v>
      </c>
      <c r="D712" s="6" t="s">
        <v>1609</v>
      </c>
      <c r="E712" s="6" t="s">
        <v>1610</v>
      </c>
      <c r="F712" s="6">
        <v>6.9070502237E10</v>
      </c>
      <c r="G712" s="6" t="s">
        <v>496</v>
      </c>
      <c r="H712" s="7"/>
      <c r="I712" s="6" t="s">
        <v>8063</v>
      </c>
      <c r="J712" s="6" t="s">
        <v>8064</v>
      </c>
      <c r="K712" s="6" t="s">
        <v>5274</v>
      </c>
      <c r="L712" s="6" t="s">
        <v>5275</v>
      </c>
      <c r="M712" s="6" t="s">
        <v>8065</v>
      </c>
      <c r="N712" s="7"/>
      <c r="O712" s="6" t="s">
        <v>8066</v>
      </c>
      <c r="P712" s="6" t="s">
        <v>8067</v>
      </c>
      <c r="Q712" s="6" t="s">
        <v>8068</v>
      </c>
      <c r="R712" s="6" t="s">
        <v>257</v>
      </c>
      <c r="S712" s="6" t="s">
        <v>147</v>
      </c>
      <c r="T712" s="6" t="s">
        <v>246</v>
      </c>
      <c r="U712" s="6" t="s">
        <v>252</v>
      </c>
      <c r="V712" s="6" t="s">
        <v>246</v>
      </c>
      <c r="W712" s="6" t="s">
        <v>158</v>
      </c>
      <c r="X712" s="6" t="s">
        <v>257</v>
      </c>
      <c r="Y712" s="6" t="s">
        <v>162</v>
      </c>
      <c r="Z712" s="6" t="s">
        <v>165</v>
      </c>
      <c r="AA712" s="6" t="s">
        <v>262</v>
      </c>
      <c r="AB712" s="6" t="s">
        <v>171</v>
      </c>
      <c r="AC712" s="6" t="s">
        <v>174</v>
      </c>
      <c r="AD712" s="6" t="s">
        <v>175</v>
      </c>
      <c r="AE712" s="6" t="s">
        <v>524</v>
      </c>
      <c r="AF712" s="6" t="s">
        <v>181</v>
      </c>
      <c r="AG712" s="6" t="s">
        <v>182</v>
      </c>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row>
    <row r="713" ht="22.5" customHeight="1">
      <c r="A713" s="4">
        <v>46229.70059325232</v>
      </c>
      <c r="B713" s="5">
        <v>0.0</v>
      </c>
      <c r="C713" s="6" t="s">
        <v>114</v>
      </c>
      <c r="D713" s="6" t="s">
        <v>1611</v>
      </c>
      <c r="E713" s="6" t="s">
        <v>1612</v>
      </c>
      <c r="F713" s="6">
        <v>6.9070500065E10</v>
      </c>
      <c r="G713" s="6" t="s">
        <v>4580</v>
      </c>
      <c r="H713" s="7"/>
      <c r="I713" s="6" t="s">
        <v>8069</v>
      </c>
      <c r="J713" s="6" t="s">
        <v>8070</v>
      </c>
      <c r="K713" s="6" t="s">
        <v>8071</v>
      </c>
      <c r="L713" s="6" t="s">
        <v>8072</v>
      </c>
      <c r="M713" s="6" t="s">
        <v>8073</v>
      </c>
      <c r="N713" s="7"/>
      <c r="O713" s="6" t="s">
        <v>8074</v>
      </c>
      <c r="P713" s="6" t="s">
        <v>8075</v>
      </c>
      <c r="Q713" s="6" t="s">
        <v>8076</v>
      </c>
      <c r="R713" s="6" t="s">
        <v>246</v>
      </c>
      <c r="S713" s="6" t="s">
        <v>147</v>
      </c>
      <c r="T713" s="6" t="s">
        <v>250</v>
      </c>
      <c r="U713" s="6" t="s">
        <v>686</v>
      </c>
      <c r="V713" s="6" t="s">
        <v>246</v>
      </c>
      <c r="W713" s="6" t="s">
        <v>158</v>
      </c>
      <c r="X713" s="6" t="s">
        <v>257</v>
      </c>
      <c r="Y713" s="6" t="s">
        <v>162</v>
      </c>
      <c r="Z713" s="6" t="s">
        <v>165</v>
      </c>
      <c r="AA713" s="6" t="s">
        <v>262</v>
      </c>
      <c r="AB713" s="6" t="s">
        <v>171</v>
      </c>
      <c r="AC713" s="6" t="s">
        <v>174</v>
      </c>
      <c r="AD713" s="6" t="s">
        <v>175</v>
      </c>
      <c r="AE713" s="6" t="s">
        <v>271</v>
      </c>
      <c r="AF713" s="6" t="s">
        <v>181</v>
      </c>
      <c r="AG713" s="6" t="s">
        <v>182</v>
      </c>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row>
    <row r="714" ht="22.5" customHeight="1">
      <c r="A714" s="4">
        <v>46229.700596469906</v>
      </c>
      <c r="B714" s="5">
        <v>0.0</v>
      </c>
      <c r="C714" s="6" t="s">
        <v>114</v>
      </c>
      <c r="D714" s="6" t="s">
        <v>1613</v>
      </c>
      <c r="E714" s="6" t="s">
        <v>1614</v>
      </c>
      <c r="F714" s="6">
        <v>6.9070500404E10</v>
      </c>
      <c r="G714" s="6" t="s">
        <v>310</v>
      </c>
      <c r="H714" s="7"/>
      <c r="I714" s="6" t="s">
        <v>4053</v>
      </c>
      <c r="J714" s="6" t="s">
        <v>8077</v>
      </c>
      <c r="K714" s="6" t="s">
        <v>4662</v>
      </c>
      <c r="L714" s="6" t="s">
        <v>8078</v>
      </c>
      <c r="M714" s="6" t="s">
        <v>8079</v>
      </c>
      <c r="N714" s="7"/>
      <c r="O714" s="6" t="s">
        <v>8080</v>
      </c>
      <c r="P714" s="6" t="s">
        <v>8081</v>
      </c>
      <c r="Q714" s="6" t="s">
        <v>8082</v>
      </c>
      <c r="R714" s="6" t="s">
        <v>246</v>
      </c>
      <c r="S714" s="6" t="s">
        <v>147</v>
      </c>
      <c r="T714" s="6" t="s">
        <v>250</v>
      </c>
      <c r="U714" s="6" t="s">
        <v>560</v>
      </c>
      <c r="V714" s="6" t="s">
        <v>155</v>
      </c>
      <c r="W714" s="6" t="s">
        <v>158</v>
      </c>
      <c r="X714" s="6" t="s">
        <v>161</v>
      </c>
      <c r="Y714" s="6" t="s">
        <v>162</v>
      </c>
      <c r="Z714" s="6" t="s">
        <v>165</v>
      </c>
      <c r="AA714" s="6" t="s">
        <v>262</v>
      </c>
      <c r="AB714" s="6" t="s">
        <v>171</v>
      </c>
      <c r="AC714" s="6" t="s">
        <v>174</v>
      </c>
      <c r="AD714" s="6" t="s">
        <v>175</v>
      </c>
      <c r="AE714" s="6" t="s">
        <v>271</v>
      </c>
      <c r="AF714" s="6" t="s">
        <v>174</v>
      </c>
      <c r="AG714" s="6" t="s">
        <v>182</v>
      </c>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row>
    <row r="715" ht="22.5" customHeight="1">
      <c r="A715" s="4">
        <v>46229.700601122684</v>
      </c>
      <c r="B715" s="5">
        <v>0.0</v>
      </c>
      <c r="C715" s="6" t="s">
        <v>114</v>
      </c>
      <c r="D715" s="6" t="s">
        <v>1615</v>
      </c>
      <c r="E715" s="6" t="s">
        <v>1616</v>
      </c>
      <c r="F715" s="6">
        <v>6.9070500869E10</v>
      </c>
      <c r="G715" s="6" t="s">
        <v>496</v>
      </c>
      <c r="H715" s="7"/>
      <c r="I715" s="6" t="s">
        <v>8083</v>
      </c>
      <c r="J715" s="6" t="s">
        <v>8084</v>
      </c>
      <c r="K715" s="6" t="s">
        <v>8085</v>
      </c>
      <c r="L715" s="6" t="s">
        <v>8086</v>
      </c>
      <c r="M715" s="6" t="s">
        <v>8087</v>
      </c>
      <c r="N715" s="6" t="s">
        <v>8088</v>
      </c>
      <c r="O715" s="6" t="s">
        <v>8089</v>
      </c>
      <c r="P715" s="6" t="s">
        <v>8090</v>
      </c>
      <c r="Q715" s="6" t="s">
        <v>8091</v>
      </c>
      <c r="R715" s="6" t="s">
        <v>246</v>
      </c>
      <c r="S715" s="6" t="s">
        <v>147</v>
      </c>
      <c r="T715" s="6" t="s">
        <v>250</v>
      </c>
      <c r="U715" s="6" t="s">
        <v>686</v>
      </c>
      <c r="V715" s="6" t="s">
        <v>246</v>
      </c>
      <c r="W715" s="6" t="s">
        <v>158</v>
      </c>
      <c r="X715" s="6" t="s">
        <v>257</v>
      </c>
      <c r="Y715" s="6" t="s">
        <v>162</v>
      </c>
      <c r="Z715" s="6" t="s">
        <v>165</v>
      </c>
      <c r="AA715" s="6" t="s">
        <v>262</v>
      </c>
      <c r="AB715" s="6" t="s">
        <v>521</v>
      </c>
      <c r="AC715" s="6" t="s">
        <v>174</v>
      </c>
      <c r="AD715" s="6" t="s">
        <v>175</v>
      </c>
      <c r="AE715" s="6" t="s">
        <v>271</v>
      </c>
      <c r="AF715" s="6" t="s">
        <v>181</v>
      </c>
      <c r="AG715" s="6" t="s">
        <v>182</v>
      </c>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row>
    <row r="716" ht="22.5" customHeight="1">
      <c r="A716" s="4">
        <v>46229.70060277778</v>
      </c>
      <c r="B716" s="5">
        <v>0.0</v>
      </c>
      <c r="C716" s="6" t="s">
        <v>114</v>
      </c>
      <c r="D716" s="6" t="s">
        <v>1617</v>
      </c>
      <c r="E716" s="6" t="s">
        <v>1618</v>
      </c>
      <c r="F716" s="6">
        <v>6.9070500277E10</v>
      </c>
      <c r="G716" s="6" t="s">
        <v>599</v>
      </c>
      <c r="H716" s="6" t="s">
        <v>8092</v>
      </c>
      <c r="I716" s="6" t="s">
        <v>8093</v>
      </c>
      <c r="J716" s="6" t="s">
        <v>3564</v>
      </c>
      <c r="K716" s="6" t="s">
        <v>5744</v>
      </c>
      <c r="L716" s="6" t="s">
        <v>8094</v>
      </c>
      <c r="M716" s="6" t="s">
        <v>4003</v>
      </c>
      <c r="N716" s="6" t="s">
        <v>4371</v>
      </c>
      <c r="O716" s="6" t="s">
        <v>8095</v>
      </c>
      <c r="P716" s="6" t="s">
        <v>8096</v>
      </c>
      <c r="Q716" s="6" t="s">
        <v>8097</v>
      </c>
      <c r="R716" s="6" t="s">
        <v>257</v>
      </c>
      <c r="S716" s="6" t="s">
        <v>147</v>
      </c>
      <c r="T716" s="6" t="s">
        <v>250</v>
      </c>
      <c r="U716" s="6" t="s">
        <v>152</v>
      </c>
      <c r="V716" s="6" t="s">
        <v>246</v>
      </c>
      <c r="W716" s="6" t="s">
        <v>158</v>
      </c>
      <c r="X716" s="6" t="s">
        <v>257</v>
      </c>
      <c r="Y716" s="6" t="s">
        <v>162</v>
      </c>
      <c r="Z716" s="6" t="s">
        <v>165</v>
      </c>
      <c r="AA716" s="6" t="s">
        <v>262</v>
      </c>
      <c r="AB716" s="6" t="s">
        <v>171</v>
      </c>
      <c r="AC716" s="6" t="s">
        <v>633</v>
      </c>
      <c r="AD716" s="6" t="s">
        <v>175</v>
      </c>
      <c r="AE716" s="6" t="s">
        <v>524</v>
      </c>
      <c r="AF716" s="6" t="s">
        <v>181</v>
      </c>
      <c r="AG716" s="6" t="s">
        <v>182</v>
      </c>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row>
    <row r="717" ht="22.5" customHeight="1">
      <c r="A717" s="4">
        <v>46229.70060628472</v>
      </c>
      <c r="B717" s="5">
        <v>0.0</v>
      </c>
      <c r="C717" s="6" t="s">
        <v>114</v>
      </c>
      <c r="D717" s="6" t="s">
        <v>1491</v>
      </c>
      <c r="E717" s="6" t="s">
        <v>1619</v>
      </c>
      <c r="F717" s="6">
        <v>6.9070508242E10</v>
      </c>
      <c r="G717" s="6" t="s">
        <v>730</v>
      </c>
      <c r="H717" s="7"/>
      <c r="I717" s="6" t="s">
        <v>8098</v>
      </c>
      <c r="J717" s="6" t="s">
        <v>8099</v>
      </c>
      <c r="K717" s="6" t="s">
        <v>8100</v>
      </c>
      <c r="L717" s="6" t="s">
        <v>4732</v>
      </c>
      <c r="M717" s="6" t="s">
        <v>1802</v>
      </c>
      <c r="N717" s="6" t="s">
        <v>8101</v>
      </c>
      <c r="O717" s="6" t="s">
        <v>8102</v>
      </c>
      <c r="P717" s="6" t="s">
        <v>8103</v>
      </c>
      <c r="Q717" s="6" t="s">
        <v>8104</v>
      </c>
      <c r="R717" s="6" t="s">
        <v>246</v>
      </c>
      <c r="S717" s="6" t="s">
        <v>147</v>
      </c>
      <c r="T717" s="6" t="s">
        <v>250</v>
      </c>
      <c r="U717" s="6" t="s">
        <v>560</v>
      </c>
      <c r="V717" s="6" t="s">
        <v>246</v>
      </c>
      <c r="W717" s="6" t="s">
        <v>158</v>
      </c>
      <c r="X717" s="6" t="s">
        <v>257</v>
      </c>
      <c r="Y717" s="6" t="s">
        <v>162</v>
      </c>
      <c r="Z717" s="6" t="s">
        <v>165</v>
      </c>
      <c r="AA717" s="6" t="s">
        <v>262</v>
      </c>
      <c r="AB717" s="6" t="s">
        <v>1266</v>
      </c>
      <c r="AC717" s="6" t="s">
        <v>1669</v>
      </c>
      <c r="AD717" s="6" t="s">
        <v>175</v>
      </c>
      <c r="AE717" s="6" t="s">
        <v>271</v>
      </c>
      <c r="AF717" s="6" t="s">
        <v>181</v>
      </c>
      <c r="AG717" s="6" t="s">
        <v>182</v>
      </c>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row>
    <row r="718" ht="22.5" customHeight="1">
      <c r="A718" s="4">
        <v>46229.70060810185</v>
      </c>
      <c r="B718" s="5">
        <v>0.0</v>
      </c>
      <c r="C718" s="6" t="s">
        <v>3296</v>
      </c>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6" t="s">
        <v>2695</v>
      </c>
      <c r="AI718" s="6" t="s">
        <v>2696</v>
      </c>
      <c r="AJ718" s="6">
        <v>6.9070503484E10</v>
      </c>
      <c r="AK718" s="6" t="s">
        <v>3297</v>
      </c>
      <c r="AL718" s="6" t="s">
        <v>2633</v>
      </c>
      <c r="AM718" s="6" t="s">
        <v>8105</v>
      </c>
      <c r="AN718" s="6" t="s">
        <v>8106</v>
      </c>
      <c r="AO718" s="6" t="s">
        <v>8107</v>
      </c>
      <c r="AP718" s="6" t="s">
        <v>8108</v>
      </c>
      <c r="AQ718" s="6" t="s">
        <v>8109</v>
      </c>
      <c r="AR718" s="7"/>
      <c r="AS718" s="6" t="s">
        <v>8110</v>
      </c>
      <c r="AT718" s="6" t="s">
        <v>8111</v>
      </c>
      <c r="AU718" s="6" t="s">
        <v>8112</v>
      </c>
      <c r="AV718" s="6" t="s">
        <v>3312</v>
      </c>
      <c r="AW718" s="6" t="s">
        <v>3307</v>
      </c>
      <c r="AX718" s="6" t="s">
        <v>3887</v>
      </c>
      <c r="AY718" s="6" t="s">
        <v>5759</v>
      </c>
      <c r="AZ718" s="6" t="s">
        <v>3306</v>
      </c>
      <c r="BA718" s="6" t="s">
        <v>3311</v>
      </c>
      <c r="BB718" s="6" t="s">
        <v>4693</v>
      </c>
      <c r="BC718" s="6" t="s">
        <v>3313</v>
      </c>
      <c r="BD718" s="6" t="s">
        <v>165</v>
      </c>
      <c r="BE718" s="6" t="s">
        <v>3888</v>
      </c>
      <c r="BF718" s="6" t="s">
        <v>3315</v>
      </c>
      <c r="BG718" s="6" t="s">
        <v>4068</v>
      </c>
      <c r="BH718" s="6" t="s">
        <v>3317</v>
      </c>
      <c r="BI718" s="6" t="s">
        <v>271</v>
      </c>
      <c r="BJ718" s="6" t="s">
        <v>3318</v>
      </c>
      <c r="BK718" s="6" t="s">
        <v>3319</v>
      </c>
    </row>
    <row r="719" ht="22.5" customHeight="1">
      <c r="A719" s="4">
        <v>46229.70062267361</v>
      </c>
      <c r="B719" s="5">
        <v>0.0</v>
      </c>
      <c r="C719" s="6" t="s">
        <v>3296</v>
      </c>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6" t="s">
        <v>2698</v>
      </c>
      <c r="AI719" s="6" t="s">
        <v>2699</v>
      </c>
      <c r="AJ719" s="6">
        <v>6.9070509047E10</v>
      </c>
      <c r="AK719" s="6" t="s">
        <v>5042</v>
      </c>
      <c r="AL719" s="6" t="s">
        <v>8113</v>
      </c>
      <c r="AM719" s="6" t="s">
        <v>8114</v>
      </c>
      <c r="AN719" s="6" t="s">
        <v>8115</v>
      </c>
      <c r="AO719" s="6" t="s">
        <v>8116</v>
      </c>
      <c r="AP719" s="6" t="s">
        <v>8117</v>
      </c>
      <c r="AQ719" s="6" t="s">
        <v>8118</v>
      </c>
      <c r="AR719" s="6" t="s">
        <v>2633</v>
      </c>
      <c r="AS719" s="6" t="s">
        <v>8119</v>
      </c>
      <c r="AT719" s="6" t="s">
        <v>8120</v>
      </c>
      <c r="AU719" s="6" t="s">
        <v>8121</v>
      </c>
      <c r="AV719" s="6" t="s">
        <v>3312</v>
      </c>
      <c r="AW719" s="6" t="s">
        <v>8122</v>
      </c>
      <c r="AX719" s="6" t="s">
        <v>3312</v>
      </c>
      <c r="AY719" s="6" t="s">
        <v>4067</v>
      </c>
      <c r="AZ719" s="6" t="s">
        <v>8123</v>
      </c>
      <c r="BA719" s="6" t="s">
        <v>7430</v>
      </c>
      <c r="BB719" s="6" t="s">
        <v>3306</v>
      </c>
      <c r="BC719" s="6" t="s">
        <v>3313</v>
      </c>
      <c r="BD719" s="6" t="s">
        <v>804</v>
      </c>
      <c r="BE719" s="6" t="s">
        <v>5761</v>
      </c>
      <c r="BF719" s="6" t="s">
        <v>3889</v>
      </c>
      <c r="BG719" s="6" t="s">
        <v>4342</v>
      </c>
      <c r="BH719" s="6" t="s">
        <v>8124</v>
      </c>
      <c r="BI719" s="6" t="s">
        <v>1211</v>
      </c>
      <c r="BJ719" s="6" t="s">
        <v>5247</v>
      </c>
      <c r="BK719" s="6" t="s">
        <v>3319</v>
      </c>
    </row>
    <row r="720" ht="22.5" customHeight="1">
      <c r="A720" s="4">
        <v>46229.70063253472</v>
      </c>
      <c r="B720" s="5">
        <v>0.0</v>
      </c>
      <c r="C720" s="6" t="s">
        <v>3296</v>
      </c>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6" t="s">
        <v>655</v>
      </c>
      <c r="AI720" s="6" t="s">
        <v>2701</v>
      </c>
      <c r="AJ720" s="6">
        <v>6.9070503448E10</v>
      </c>
      <c r="AK720" s="6" t="s">
        <v>3297</v>
      </c>
      <c r="AL720" s="7"/>
      <c r="AM720" s="6" t="s">
        <v>8125</v>
      </c>
      <c r="AN720" s="6" t="s">
        <v>8126</v>
      </c>
      <c r="AO720" s="6" t="s">
        <v>8127</v>
      </c>
      <c r="AP720" s="6" t="s">
        <v>8128</v>
      </c>
      <c r="AQ720" s="6" t="s">
        <v>8129</v>
      </c>
      <c r="AR720" s="6" t="s">
        <v>8130</v>
      </c>
      <c r="AS720" s="6" t="s">
        <v>8131</v>
      </c>
      <c r="AT720" s="6" t="s">
        <v>8132</v>
      </c>
      <c r="AU720" s="6" t="s">
        <v>8133</v>
      </c>
      <c r="AV720" s="6" t="s">
        <v>3306</v>
      </c>
      <c r="AW720" s="6" t="s">
        <v>3307</v>
      </c>
      <c r="AX720" s="6" t="s">
        <v>3887</v>
      </c>
      <c r="AY720" s="6" t="s">
        <v>3309</v>
      </c>
      <c r="AZ720" s="6" t="s">
        <v>3306</v>
      </c>
      <c r="BA720" s="6" t="s">
        <v>3311</v>
      </c>
      <c r="BB720" s="6" t="s">
        <v>3312</v>
      </c>
      <c r="BC720" s="6" t="s">
        <v>3313</v>
      </c>
      <c r="BD720" s="6" t="s">
        <v>165</v>
      </c>
      <c r="BE720" s="6" t="s">
        <v>3888</v>
      </c>
      <c r="BF720" s="6" t="s">
        <v>3315</v>
      </c>
      <c r="BG720" s="6" t="s">
        <v>4068</v>
      </c>
      <c r="BH720" s="6" t="s">
        <v>3317</v>
      </c>
      <c r="BI720" s="6" t="s">
        <v>271</v>
      </c>
      <c r="BJ720" s="6" t="s">
        <v>3318</v>
      </c>
      <c r="BK720" s="6" t="s">
        <v>3319</v>
      </c>
    </row>
    <row r="721" ht="22.5" customHeight="1">
      <c r="A721" s="4">
        <v>46229.70063320602</v>
      </c>
      <c r="B721" s="5">
        <v>0.0</v>
      </c>
      <c r="C721" s="6" t="s">
        <v>3296</v>
      </c>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6" t="s">
        <v>2702</v>
      </c>
      <c r="AI721" s="6" t="s">
        <v>2703</v>
      </c>
      <c r="AJ721" s="6">
        <v>6.9070507824E10</v>
      </c>
      <c r="AK721" s="6" t="s">
        <v>5236</v>
      </c>
      <c r="AL721" s="7"/>
      <c r="AM721" s="6" t="s">
        <v>8134</v>
      </c>
      <c r="AN721" s="6" t="s">
        <v>8135</v>
      </c>
      <c r="AO721" s="6" t="s">
        <v>8136</v>
      </c>
      <c r="AP721" s="6" t="s">
        <v>8137</v>
      </c>
      <c r="AQ721" s="6" t="s">
        <v>8138</v>
      </c>
      <c r="AR721" s="7"/>
      <c r="AS721" s="6" t="s">
        <v>8139</v>
      </c>
      <c r="AT721" s="6" t="s">
        <v>8140</v>
      </c>
      <c r="AU721" s="6" t="s">
        <v>8141</v>
      </c>
      <c r="AV721" s="6" t="s">
        <v>3306</v>
      </c>
      <c r="AW721" s="6" t="s">
        <v>3307</v>
      </c>
      <c r="AX721" s="6" t="s">
        <v>3312</v>
      </c>
      <c r="AY721" s="6" t="s">
        <v>3309</v>
      </c>
      <c r="AZ721" s="6" t="s">
        <v>3306</v>
      </c>
      <c r="BA721" s="6" t="s">
        <v>3311</v>
      </c>
      <c r="BB721" s="6" t="s">
        <v>4693</v>
      </c>
      <c r="BC721" s="6" t="s">
        <v>3313</v>
      </c>
      <c r="BD721" s="6" t="s">
        <v>804</v>
      </c>
      <c r="BE721" s="6" t="s">
        <v>3888</v>
      </c>
      <c r="BF721" s="6" t="s">
        <v>3315</v>
      </c>
      <c r="BG721" s="6" t="s">
        <v>4068</v>
      </c>
      <c r="BH721" s="6" t="s">
        <v>5246</v>
      </c>
      <c r="BI721" s="6" t="s">
        <v>178</v>
      </c>
      <c r="BJ721" s="6" t="s">
        <v>4068</v>
      </c>
      <c r="BK721" s="6" t="s">
        <v>3319</v>
      </c>
    </row>
    <row r="722" ht="22.5" customHeight="1">
      <c r="A722" s="4">
        <v>46229.700643449076</v>
      </c>
      <c r="B722" s="5">
        <v>0.0</v>
      </c>
      <c r="C722" s="6" t="s">
        <v>114</v>
      </c>
      <c r="D722" s="6" t="s">
        <v>1620</v>
      </c>
      <c r="E722" s="6" t="s">
        <v>1621</v>
      </c>
      <c r="F722" s="6">
        <v>6.9070502433E10</v>
      </c>
      <c r="G722" s="6" t="s">
        <v>122</v>
      </c>
      <c r="H722" s="7"/>
      <c r="I722" s="6" t="s">
        <v>8142</v>
      </c>
      <c r="J722" s="6" t="s">
        <v>8143</v>
      </c>
      <c r="K722" s="6" t="s">
        <v>7164</v>
      </c>
      <c r="L722" s="6" t="s">
        <v>8144</v>
      </c>
      <c r="M722" s="6" t="s">
        <v>7166</v>
      </c>
      <c r="N722" s="6" t="s">
        <v>8145</v>
      </c>
      <c r="O722" s="6" t="s">
        <v>8146</v>
      </c>
      <c r="P722" s="6" t="s">
        <v>8147</v>
      </c>
      <c r="Q722" s="6" t="s">
        <v>8148</v>
      </c>
      <c r="R722" s="6" t="s">
        <v>257</v>
      </c>
      <c r="S722" s="6" t="s">
        <v>147</v>
      </c>
      <c r="T722" s="6" t="s">
        <v>250</v>
      </c>
      <c r="U722" s="6" t="s">
        <v>252</v>
      </c>
      <c r="V722" s="6" t="s">
        <v>246</v>
      </c>
      <c r="W722" s="6" t="s">
        <v>158</v>
      </c>
      <c r="X722" s="6" t="s">
        <v>246</v>
      </c>
      <c r="Y722" s="6" t="s">
        <v>162</v>
      </c>
      <c r="Z722" s="6" t="s">
        <v>165</v>
      </c>
      <c r="AA722" s="6" t="s">
        <v>262</v>
      </c>
      <c r="AB722" s="6" t="s">
        <v>1266</v>
      </c>
      <c r="AC722" s="6" t="s">
        <v>174</v>
      </c>
      <c r="AD722" s="6" t="s">
        <v>175</v>
      </c>
      <c r="AE722" s="6" t="s">
        <v>271</v>
      </c>
      <c r="AF722" s="6" t="s">
        <v>181</v>
      </c>
      <c r="AG722" s="6" t="s">
        <v>182</v>
      </c>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row>
    <row r="723" ht="22.5" customHeight="1">
      <c r="A723" s="4">
        <v>46229.70064550926</v>
      </c>
      <c r="B723" s="5">
        <v>0.0</v>
      </c>
      <c r="C723" s="6" t="s">
        <v>114</v>
      </c>
      <c r="D723" s="6" t="s">
        <v>1622</v>
      </c>
      <c r="E723" s="6" t="s">
        <v>1623</v>
      </c>
      <c r="F723" s="6">
        <v>6.9070502452E10</v>
      </c>
      <c r="G723" s="6" t="s">
        <v>122</v>
      </c>
      <c r="H723" s="7"/>
      <c r="I723" s="6" t="s">
        <v>7688</v>
      </c>
      <c r="J723" s="6" t="s">
        <v>8143</v>
      </c>
      <c r="K723" s="6" t="s">
        <v>4466</v>
      </c>
      <c r="L723" s="6" t="s">
        <v>8149</v>
      </c>
      <c r="M723" s="6" t="s">
        <v>5584</v>
      </c>
      <c r="N723" s="7"/>
      <c r="O723" s="6" t="s">
        <v>8150</v>
      </c>
      <c r="P723" s="6" t="s">
        <v>8151</v>
      </c>
      <c r="Q723" s="6" t="s">
        <v>8152</v>
      </c>
      <c r="R723" s="6" t="s">
        <v>246</v>
      </c>
      <c r="S723" s="6" t="s">
        <v>147</v>
      </c>
      <c r="T723" s="6" t="s">
        <v>250</v>
      </c>
      <c r="U723" s="6" t="s">
        <v>252</v>
      </c>
      <c r="V723" s="6" t="s">
        <v>246</v>
      </c>
      <c r="W723" s="6" t="s">
        <v>158</v>
      </c>
      <c r="X723" s="6" t="s">
        <v>246</v>
      </c>
      <c r="Y723" s="6" t="s">
        <v>162</v>
      </c>
      <c r="Z723" s="6" t="s">
        <v>165</v>
      </c>
      <c r="AA723" s="6" t="s">
        <v>262</v>
      </c>
      <c r="AB723" s="6" t="s">
        <v>171</v>
      </c>
      <c r="AC723" s="6" t="s">
        <v>174</v>
      </c>
      <c r="AD723" s="6" t="s">
        <v>175</v>
      </c>
      <c r="AE723" s="6" t="s">
        <v>271</v>
      </c>
      <c r="AF723" s="6" t="s">
        <v>181</v>
      </c>
      <c r="AG723" s="6" t="s">
        <v>182</v>
      </c>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row>
    <row r="724" ht="22.5" customHeight="1">
      <c r="A724" s="4">
        <v>46229.70064892361</v>
      </c>
      <c r="B724" s="5">
        <v>0.0</v>
      </c>
      <c r="C724" s="6" t="s">
        <v>114</v>
      </c>
      <c r="D724" s="6" t="s">
        <v>1624</v>
      </c>
      <c r="E724" s="6" t="s">
        <v>1625</v>
      </c>
      <c r="F724" s="6">
        <v>6.9070500258E10</v>
      </c>
      <c r="G724" s="6" t="s">
        <v>599</v>
      </c>
      <c r="H724" s="7"/>
      <c r="I724" s="6" t="s">
        <v>7735</v>
      </c>
      <c r="J724" s="6" t="s">
        <v>7736</v>
      </c>
      <c r="K724" s="6" t="s">
        <v>6305</v>
      </c>
      <c r="L724" s="6" t="s">
        <v>2397</v>
      </c>
      <c r="M724" s="6" t="s">
        <v>3657</v>
      </c>
      <c r="N724" s="7"/>
      <c r="O724" s="6" t="s">
        <v>8153</v>
      </c>
      <c r="P724" s="6" t="s">
        <v>8154</v>
      </c>
      <c r="Q724" s="6" t="s">
        <v>8155</v>
      </c>
      <c r="R724" s="6" t="s">
        <v>145</v>
      </c>
      <c r="S724" s="6" t="s">
        <v>147</v>
      </c>
      <c r="T724" s="6" t="s">
        <v>250</v>
      </c>
      <c r="U724" s="6" t="s">
        <v>252</v>
      </c>
      <c r="V724" s="6" t="s">
        <v>246</v>
      </c>
      <c r="W724" s="6" t="s">
        <v>158</v>
      </c>
      <c r="X724" s="6" t="s">
        <v>257</v>
      </c>
      <c r="Y724" s="6" t="s">
        <v>162</v>
      </c>
      <c r="Z724" s="6" t="s">
        <v>165</v>
      </c>
      <c r="AA724" s="6" t="s">
        <v>262</v>
      </c>
      <c r="AB724" s="6" t="s">
        <v>521</v>
      </c>
      <c r="AC724" s="6" t="s">
        <v>174</v>
      </c>
      <c r="AD724" s="6" t="s">
        <v>175</v>
      </c>
      <c r="AE724" s="6" t="s">
        <v>271</v>
      </c>
      <c r="AF724" s="6" t="s">
        <v>181</v>
      </c>
      <c r="AG724" s="6" t="s">
        <v>182</v>
      </c>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row>
    <row r="725" ht="22.5" customHeight="1">
      <c r="A725" s="4">
        <v>46229.70065121527</v>
      </c>
      <c r="B725" s="5">
        <v>0.0</v>
      </c>
      <c r="C725" s="6" t="s">
        <v>114</v>
      </c>
      <c r="D725" s="6" t="s">
        <v>1626</v>
      </c>
      <c r="E725" s="6" t="s">
        <v>1627</v>
      </c>
      <c r="F725" s="6">
        <v>6.9070502828E10</v>
      </c>
      <c r="G725" s="6" t="s">
        <v>310</v>
      </c>
      <c r="H725" s="6" t="s">
        <v>8156</v>
      </c>
      <c r="I725" s="6" t="s">
        <v>8157</v>
      </c>
      <c r="J725" s="6" t="s">
        <v>8158</v>
      </c>
      <c r="K725" s="6" t="s">
        <v>8159</v>
      </c>
      <c r="L725" s="6" t="s">
        <v>8160</v>
      </c>
      <c r="M725" s="6" t="s">
        <v>5694</v>
      </c>
      <c r="N725" s="7"/>
      <c r="O725" s="6" t="s">
        <v>8161</v>
      </c>
      <c r="P725" s="6" t="s">
        <v>8162</v>
      </c>
      <c r="Q725" s="6" t="s">
        <v>8163</v>
      </c>
      <c r="R725" s="6" t="s">
        <v>145</v>
      </c>
      <c r="S725" s="6" t="s">
        <v>147</v>
      </c>
      <c r="T725" s="6" t="s">
        <v>250</v>
      </c>
      <c r="U725" s="6" t="s">
        <v>252</v>
      </c>
      <c r="V725" s="6" t="s">
        <v>246</v>
      </c>
      <c r="W725" s="6" t="s">
        <v>158</v>
      </c>
      <c r="X725" s="6" t="s">
        <v>161</v>
      </c>
      <c r="Y725" s="6" t="s">
        <v>162</v>
      </c>
      <c r="Z725" s="6" t="s">
        <v>165</v>
      </c>
      <c r="AA725" s="6" t="s">
        <v>262</v>
      </c>
      <c r="AB725" s="6" t="s">
        <v>521</v>
      </c>
      <c r="AC725" s="6" t="s">
        <v>174</v>
      </c>
      <c r="AD725" s="6" t="s">
        <v>1723</v>
      </c>
      <c r="AE725" s="6" t="s">
        <v>271</v>
      </c>
      <c r="AF725" s="6" t="s">
        <v>181</v>
      </c>
      <c r="AG725" s="6" t="s">
        <v>641</v>
      </c>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row>
    <row r="726" ht="22.5" customHeight="1">
      <c r="A726" s="4">
        <v>46229.70066165509</v>
      </c>
      <c r="B726" s="5">
        <v>0.0</v>
      </c>
      <c r="C726" s="6" t="s">
        <v>3296</v>
      </c>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6" t="s">
        <v>2704</v>
      </c>
      <c r="AI726" s="6" t="s">
        <v>2705</v>
      </c>
      <c r="AJ726" s="6">
        <v>6.9070503432E10</v>
      </c>
      <c r="AK726" s="6" t="s">
        <v>3297</v>
      </c>
      <c r="AL726" s="7"/>
      <c r="AM726" s="6" t="s">
        <v>8164</v>
      </c>
      <c r="AN726" s="6" t="s">
        <v>8165</v>
      </c>
      <c r="AO726" s="6" t="s">
        <v>8166</v>
      </c>
      <c r="AP726" s="6" t="s">
        <v>8167</v>
      </c>
      <c r="AQ726" s="6" t="s">
        <v>8168</v>
      </c>
      <c r="AR726" s="6" t="s">
        <v>2633</v>
      </c>
      <c r="AS726" s="6" t="s">
        <v>8169</v>
      </c>
      <c r="AT726" s="6" t="s">
        <v>8170</v>
      </c>
      <c r="AU726" s="6" t="s">
        <v>8171</v>
      </c>
      <c r="AV726" s="6" t="s">
        <v>3306</v>
      </c>
      <c r="AW726" s="6" t="s">
        <v>3307</v>
      </c>
      <c r="AX726" s="6" t="s">
        <v>3887</v>
      </c>
      <c r="AY726" s="6" t="s">
        <v>4067</v>
      </c>
      <c r="AZ726" s="6" t="s">
        <v>3306</v>
      </c>
      <c r="BA726" s="6" t="s">
        <v>3311</v>
      </c>
      <c r="BB726" s="6" t="s">
        <v>6098</v>
      </c>
      <c r="BC726" s="6" t="s">
        <v>3313</v>
      </c>
      <c r="BD726" s="6" t="s">
        <v>165</v>
      </c>
      <c r="BE726" s="6" t="s">
        <v>4341</v>
      </c>
      <c r="BF726" s="6" t="s">
        <v>3315</v>
      </c>
      <c r="BG726" s="6" t="s">
        <v>4068</v>
      </c>
      <c r="BH726" s="6" t="s">
        <v>5246</v>
      </c>
      <c r="BI726" s="6" t="s">
        <v>271</v>
      </c>
      <c r="BJ726" s="6" t="s">
        <v>3318</v>
      </c>
      <c r="BK726" s="6" t="s">
        <v>3319</v>
      </c>
    </row>
    <row r="727" ht="22.5" customHeight="1">
      <c r="A727" s="4">
        <v>46229.70067363426</v>
      </c>
      <c r="B727" s="5">
        <v>0.0</v>
      </c>
      <c r="C727" s="6" t="s">
        <v>114</v>
      </c>
      <c r="D727" s="6" t="s">
        <v>1628</v>
      </c>
      <c r="E727" s="6" t="s">
        <v>1629</v>
      </c>
      <c r="F727" s="6">
        <v>6.907050252E10</v>
      </c>
      <c r="G727" s="6" t="s">
        <v>122</v>
      </c>
      <c r="H727" s="6" t="s">
        <v>8172</v>
      </c>
      <c r="I727" s="6" t="s">
        <v>7688</v>
      </c>
      <c r="J727" s="6" t="s">
        <v>8142</v>
      </c>
      <c r="K727" s="6" t="s">
        <v>8173</v>
      </c>
      <c r="L727" s="6" t="s">
        <v>8174</v>
      </c>
      <c r="M727" s="6" t="s">
        <v>8175</v>
      </c>
      <c r="N727" s="6" t="s">
        <v>2633</v>
      </c>
      <c r="O727" s="6" t="s">
        <v>8176</v>
      </c>
      <c r="P727" s="6" t="s">
        <v>8177</v>
      </c>
      <c r="Q727" s="6" t="s">
        <v>8178</v>
      </c>
      <c r="R727" s="6" t="s">
        <v>257</v>
      </c>
      <c r="S727" s="6" t="s">
        <v>147</v>
      </c>
      <c r="T727" s="6" t="s">
        <v>250</v>
      </c>
      <c r="U727" s="6" t="s">
        <v>252</v>
      </c>
      <c r="V727" s="6" t="s">
        <v>246</v>
      </c>
      <c r="W727" s="6" t="s">
        <v>158</v>
      </c>
      <c r="X727" s="6" t="s">
        <v>246</v>
      </c>
      <c r="Y727" s="6" t="s">
        <v>162</v>
      </c>
      <c r="Z727" s="6" t="s">
        <v>165</v>
      </c>
      <c r="AA727" s="6" t="s">
        <v>262</v>
      </c>
      <c r="AB727" s="6" t="s">
        <v>171</v>
      </c>
      <c r="AC727" s="6" t="s">
        <v>174</v>
      </c>
      <c r="AD727" s="6" t="s">
        <v>175</v>
      </c>
      <c r="AE727" s="6" t="s">
        <v>271</v>
      </c>
      <c r="AF727" s="6" t="s">
        <v>181</v>
      </c>
      <c r="AG727" s="6" t="s">
        <v>182</v>
      </c>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row>
    <row r="728" ht="22.5" customHeight="1">
      <c r="A728" s="4">
        <v>46229.7006740625</v>
      </c>
      <c r="B728" s="5">
        <v>0.0</v>
      </c>
      <c r="C728" s="6" t="s">
        <v>114</v>
      </c>
      <c r="D728" s="6" t="s">
        <v>1630</v>
      </c>
      <c r="E728" s="6" t="s">
        <v>1631</v>
      </c>
      <c r="F728" s="6">
        <v>6.9070500293E10</v>
      </c>
      <c r="G728" s="6" t="s">
        <v>599</v>
      </c>
      <c r="H728" s="7"/>
      <c r="I728" s="6" t="s">
        <v>8179</v>
      </c>
      <c r="J728" s="6" t="s">
        <v>8180</v>
      </c>
      <c r="K728" s="6" t="s">
        <v>8181</v>
      </c>
      <c r="L728" s="6" t="s">
        <v>8182</v>
      </c>
      <c r="M728" s="6" t="s">
        <v>8183</v>
      </c>
      <c r="N728" s="6" t="s">
        <v>8184</v>
      </c>
      <c r="O728" s="6" t="s">
        <v>8185</v>
      </c>
      <c r="P728" s="6" t="s">
        <v>8186</v>
      </c>
      <c r="Q728" s="6" t="s">
        <v>8187</v>
      </c>
      <c r="R728" s="6" t="s">
        <v>246</v>
      </c>
      <c r="S728" s="6" t="s">
        <v>147</v>
      </c>
      <c r="T728" s="6" t="s">
        <v>250</v>
      </c>
      <c r="U728" s="6" t="s">
        <v>560</v>
      </c>
      <c r="V728" s="6" t="s">
        <v>246</v>
      </c>
      <c r="W728" s="6" t="s">
        <v>158</v>
      </c>
      <c r="X728" s="6" t="s">
        <v>257</v>
      </c>
      <c r="Y728" s="6" t="s">
        <v>162</v>
      </c>
      <c r="Z728" s="6" t="s">
        <v>165</v>
      </c>
      <c r="AA728" s="6" t="s">
        <v>262</v>
      </c>
      <c r="AB728" s="6" t="s">
        <v>171</v>
      </c>
      <c r="AC728" s="6" t="s">
        <v>174</v>
      </c>
      <c r="AD728" s="6" t="s">
        <v>175</v>
      </c>
      <c r="AE728" s="6" t="s">
        <v>178</v>
      </c>
      <c r="AF728" s="6" t="s">
        <v>181</v>
      </c>
      <c r="AG728" s="6" t="s">
        <v>182</v>
      </c>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row>
    <row r="729" ht="22.5" customHeight="1">
      <c r="A729" s="4">
        <v>46229.70067737269</v>
      </c>
      <c r="B729" s="5">
        <v>0.0</v>
      </c>
      <c r="C729" s="6" t="s">
        <v>114</v>
      </c>
      <c r="D729" s="6" t="s">
        <v>1632</v>
      </c>
      <c r="E729" s="6" t="s">
        <v>1633</v>
      </c>
      <c r="F729" s="6">
        <v>6.9070500236E10</v>
      </c>
      <c r="G729" s="6" t="s">
        <v>599</v>
      </c>
      <c r="H729" s="7"/>
      <c r="I729" s="6" t="s">
        <v>8188</v>
      </c>
      <c r="J729" s="6" t="s">
        <v>8189</v>
      </c>
      <c r="K729" s="6" t="s">
        <v>8190</v>
      </c>
      <c r="L729" s="6" t="s">
        <v>8191</v>
      </c>
      <c r="M729" s="6" t="s">
        <v>8192</v>
      </c>
      <c r="N729" s="6" t="s">
        <v>8193</v>
      </c>
      <c r="O729" s="6" t="s">
        <v>8194</v>
      </c>
      <c r="P729" s="6" t="s">
        <v>8195</v>
      </c>
      <c r="Q729" s="6" t="s">
        <v>8196</v>
      </c>
      <c r="R729" s="6" t="s">
        <v>257</v>
      </c>
      <c r="S729" s="6" t="s">
        <v>147</v>
      </c>
      <c r="T729" s="6" t="s">
        <v>250</v>
      </c>
      <c r="U729" s="6" t="s">
        <v>152</v>
      </c>
      <c r="V729" s="6" t="s">
        <v>155</v>
      </c>
      <c r="W729" s="6" t="s">
        <v>158</v>
      </c>
      <c r="X729" s="6" t="s">
        <v>257</v>
      </c>
      <c r="Y729" s="6" t="s">
        <v>162</v>
      </c>
      <c r="Z729" s="6" t="s">
        <v>165</v>
      </c>
      <c r="AA729" s="6" t="s">
        <v>641</v>
      </c>
      <c r="AB729" s="6" t="s">
        <v>171</v>
      </c>
      <c r="AC729" s="6" t="s">
        <v>174</v>
      </c>
      <c r="AD729" s="6" t="s">
        <v>175</v>
      </c>
      <c r="AE729" s="6" t="s">
        <v>271</v>
      </c>
      <c r="AF729" s="6" t="s">
        <v>181</v>
      </c>
      <c r="AG729" s="6" t="s">
        <v>182</v>
      </c>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row>
    <row r="730" ht="22.5" customHeight="1">
      <c r="A730" s="4">
        <v>46229.70067748842</v>
      </c>
      <c r="B730" s="5">
        <v>0.0</v>
      </c>
      <c r="C730" s="6" t="s">
        <v>114</v>
      </c>
      <c r="D730" s="6" t="s">
        <v>1362</v>
      </c>
      <c r="E730" s="6" t="s">
        <v>1634</v>
      </c>
      <c r="F730" s="6">
        <v>6.9070502488E10</v>
      </c>
      <c r="G730" s="6" t="s">
        <v>122</v>
      </c>
      <c r="H730" s="6" t="s">
        <v>8197</v>
      </c>
      <c r="I730" s="6" t="s">
        <v>7763</v>
      </c>
      <c r="J730" s="6" t="s">
        <v>8198</v>
      </c>
      <c r="K730" s="6" t="s">
        <v>7766</v>
      </c>
      <c r="L730" s="6" t="s">
        <v>8199</v>
      </c>
      <c r="M730" s="6" t="s">
        <v>8200</v>
      </c>
      <c r="N730" s="7"/>
      <c r="O730" s="6" t="s">
        <v>8201</v>
      </c>
      <c r="P730" s="6" t="s">
        <v>8202</v>
      </c>
      <c r="Q730" s="6" t="s">
        <v>8203</v>
      </c>
      <c r="R730" s="6" t="s">
        <v>246</v>
      </c>
      <c r="S730" s="6" t="s">
        <v>147</v>
      </c>
      <c r="T730" s="6" t="s">
        <v>246</v>
      </c>
      <c r="U730" s="6" t="s">
        <v>686</v>
      </c>
      <c r="V730" s="6" t="s">
        <v>246</v>
      </c>
      <c r="W730" s="6" t="s">
        <v>158</v>
      </c>
      <c r="X730" s="6" t="s">
        <v>257</v>
      </c>
      <c r="Y730" s="6" t="s">
        <v>162</v>
      </c>
      <c r="Z730" s="6" t="s">
        <v>165</v>
      </c>
      <c r="AA730" s="6" t="s">
        <v>262</v>
      </c>
      <c r="AB730" s="6" t="s">
        <v>171</v>
      </c>
      <c r="AC730" s="6" t="s">
        <v>174</v>
      </c>
      <c r="AD730" s="6" t="s">
        <v>175</v>
      </c>
      <c r="AE730" s="6" t="s">
        <v>271</v>
      </c>
      <c r="AF730" s="6" t="s">
        <v>181</v>
      </c>
      <c r="AG730" s="6" t="s">
        <v>182</v>
      </c>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row>
    <row r="731" ht="22.5" customHeight="1">
      <c r="A731" s="4">
        <v>46229.700679201385</v>
      </c>
      <c r="B731" s="5">
        <v>0.0</v>
      </c>
      <c r="C731" s="6" t="s">
        <v>114</v>
      </c>
      <c r="D731" s="6" t="s">
        <v>1635</v>
      </c>
      <c r="E731" s="6" t="s">
        <v>1636</v>
      </c>
      <c r="F731" s="6">
        <v>6.9070508203E10</v>
      </c>
      <c r="G731" s="6" t="s">
        <v>730</v>
      </c>
      <c r="H731" s="6" t="s">
        <v>2442</v>
      </c>
      <c r="I731" s="6" t="s">
        <v>8204</v>
      </c>
      <c r="J731" s="6" t="s">
        <v>8205</v>
      </c>
      <c r="K731" s="6" t="s">
        <v>8206</v>
      </c>
      <c r="L731" s="6" t="s">
        <v>8207</v>
      </c>
      <c r="M731" s="6" t="s">
        <v>8208</v>
      </c>
      <c r="N731" s="6" t="s">
        <v>2633</v>
      </c>
      <c r="O731" s="6" t="s">
        <v>8209</v>
      </c>
      <c r="P731" s="6" t="s">
        <v>8210</v>
      </c>
      <c r="Q731" s="6" t="s">
        <v>8211</v>
      </c>
      <c r="R731" s="6" t="s">
        <v>246</v>
      </c>
      <c r="S731" s="6" t="s">
        <v>147</v>
      </c>
      <c r="T731" s="6" t="s">
        <v>250</v>
      </c>
      <c r="U731" s="6" t="s">
        <v>252</v>
      </c>
      <c r="V731" s="6" t="s">
        <v>246</v>
      </c>
      <c r="W731" s="6" t="s">
        <v>158</v>
      </c>
      <c r="X731" s="6" t="s">
        <v>257</v>
      </c>
      <c r="Y731" s="6" t="s">
        <v>162</v>
      </c>
      <c r="Z731" s="6" t="s">
        <v>165</v>
      </c>
      <c r="AA731" s="6" t="s">
        <v>262</v>
      </c>
      <c r="AB731" s="6" t="s">
        <v>171</v>
      </c>
      <c r="AC731" s="6" t="s">
        <v>174</v>
      </c>
      <c r="AD731" s="6" t="s">
        <v>175</v>
      </c>
      <c r="AE731" s="6" t="s">
        <v>271</v>
      </c>
      <c r="AF731" s="6" t="s">
        <v>181</v>
      </c>
      <c r="AG731" s="6" t="s">
        <v>182</v>
      </c>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row>
    <row r="732" ht="22.5" customHeight="1">
      <c r="A732" s="4">
        <v>46229.70068362269</v>
      </c>
      <c r="B732" s="5">
        <v>0.0</v>
      </c>
      <c r="C732" s="6" t="s">
        <v>114</v>
      </c>
      <c r="D732" s="6" t="s">
        <v>1637</v>
      </c>
      <c r="E732" s="6" t="s">
        <v>1638</v>
      </c>
      <c r="F732" s="6">
        <v>6.9070508222E10</v>
      </c>
      <c r="G732" s="6" t="s">
        <v>730</v>
      </c>
      <c r="H732" s="7"/>
      <c r="I732" s="6" t="s">
        <v>8212</v>
      </c>
      <c r="J732" s="6" t="s">
        <v>8213</v>
      </c>
      <c r="K732" s="6" t="s">
        <v>8214</v>
      </c>
      <c r="L732" s="6" t="s">
        <v>8215</v>
      </c>
      <c r="M732" s="6" t="s">
        <v>8216</v>
      </c>
      <c r="N732" s="6" t="s">
        <v>8217</v>
      </c>
      <c r="O732" s="6" t="s">
        <v>8218</v>
      </c>
      <c r="P732" s="6" t="s">
        <v>8219</v>
      </c>
      <c r="Q732" s="6" t="s">
        <v>8220</v>
      </c>
      <c r="R732" s="6" t="s">
        <v>246</v>
      </c>
      <c r="S732" s="6" t="s">
        <v>147</v>
      </c>
      <c r="T732" s="6" t="s">
        <v>250</v>
      </c>
      <c r="U732" s="6" t="s">
        <v>252</v>
      </c>
      <c r="V732" s="6" t="s">
        <v>246</v>
      </c>
      <c r="W732" s="6" t="s">
        <v>158</v>
      </c>
      <c r="X732" s="6" t="s">
        <v>257</v>
      </c>
      <c r="Y732" s="6" t="s">
        <v>162</v>
      </c>
      <c r="Z732" s="6" t="s">
        <v>165</v>
      </c>
      <c r="AA732" s="6" t="s">
        <v>262</v>
      </c>
      <c r="AB732" s="6" t="s">
        <v>171</v>
      </c>
      <c r="AC732" s="6" t="s">
        <v>174</v>
      </c>
      <c r="AD732" s="6" t="s">
        <v>175</v>
      </c>
      <c r="AE732" s="6" t="s">
        <v>271</v>
      </c>
      <c r="AF732" s="6" t="s">
        <v>181</v>
      </c>
      <c r="AG732" s="6" t="s">
        <v>182</v>
      </c>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row>
    <row r="733" ht="22.5" customHeight="1">
      <c r="A733" s="4">
        <v>46229.70069300926</v>
      </c>
      <c r="B733" s="5">
        <v>0.0</v>
      </c>
      <c r="C733" s="6" t="s">
        <v>114</v>
      </c>
      <c r="D733" s="6" t="s">
        <v>1639</v>
      </c>
      <c r="E733" s="6" t="s">
        <v>1640</v>
      </c>
      <c r="F733" s="6">
        <v>6.9070502518E10</v>
      </c>
      <c r="G733" s="6" t="s">
        <v>122</v>
      </c>
      <c r="H733" s="7"/>
      <c r="I733" s="6" t="s">
        <v>8221</v>
      </c>
      <c r="J733" s="6" t="s">
        <v>3493</v>
      </c>
      <c r="K733" s="6" t="s">
        <v>8222</v>
      </c>
      <c r="L733" s="6" t="s">
        <v>4466</v>
      </c>
      <c r="M733" s="6" t="s">
        <v>5484</v>
      </c>
      <c r="N733" s="6" t="s">
        <v>8223</v>
      </c>
      <c r="O733" s="6" t="s">
        <v>8224</v>
      </c>
      <c r="P733" s="6" t="s">
        <v>8225</v>
      </c>
      <c r="Q733" s="6" t="s">
        <v>8226</v>
      </c>
      <c r="R733" s="6" t="s">
        <v>257</v>
      </c>
      <c r="S733" s="6" t="s">
        <v>147</v>
      </c>
      <c r="T733" s="6" t="s">
        <v>250</v>
      </c>
      <c r="U733" s="6" t="s">
        <v>252</v>
      </c>
      <c r="V733" s="6" t="s">
        <v>2302</v>
      </c>
      <c r="W733" s="6" t="s">
        <v>158</v>
      </c>
      <c r="X733" s="6" t="s">
        <v>458</v>
      </c>
      <c r="Y733" s="6" t="s">
        <v>162</v>
      </c>
      <c r="Z733" s="6" t="s">
        <v>165</v>
      </c>
      <c r="AA733" s="6" t="s">
        <v>262</v>
      </c>
      <c r="AB733" s="6" t="s">
        <v>3847</v>
      </c>
      <c r="AC733" s="6" t="s">
        <v>174</v>
      </c>
      <c r="AD733" s="6" t="s">
        <v>175</v>
      </c>
      <c r="AE733" s="6" t="s">
        <v>271</v>
      </c>
      <c r="AF733" s="6" t="s">
        <v>181</v>
      </c>
      <c r="AG733" s="6" t="s">
        <v>182</v>
      </c>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row>
    <row r="734" ht="22.5" customHeight="1">
      <c r="A734" s="4">
        <v>46229.70070223379</v>
      </c>
      <c r="B734" s="5">
        <v>0.0</v>
      </c>
      <c r="C734" s="6" t="s">
        <v>3296</v>
      </c>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6" t="s">
        <v>2706</v>
      </c>
      <c r="AI734" s="6" t="s">
        <v>2707</v>
      </c>
      <c r="AJ734" s="6">
        <v>6.9070503435E10</v>
      </c>
      <c r="AK734" s="6" t="s">
        <v>3297</v>
      </c>
      <c r="AL734" s="7"/>
      <c r="AM734" s="6" t="s">
        <v>8227</v>
      </c>
      <c r="AN734" s="6" t="s">
        <v>8228</v>
      </c>
      <c r="AO734" s="6" t="s">
        <v>8229</v>
      </c>
      <c r="AP734" s="6" t="s">
        <v>8230</v>
      </c>
      <c r="AQ734" s="6" t="s">
        <v>8231</v>
      </c>
      <c r="AR734" s="7"/>
      <c r="AS734" s="6" t="s">
        <v>8232</v>
      </c>
      <c r="AT734" s="6" t="s">
        <v>8233</v>
      </c>
      <c r="AU734" s="6" t="s">
        <v>8234</v>
      </c>
      <c r="AV734" s="6" t="s">
        <v>3306</v>
      </c>
      <c r="AW734" s="6" t="s">
        <v>3307</v>
      </c>
      <c r="AX734" s="6" t="s">
        <v>3887</v>
      </c>
      <c r="AY734" s="6" t="s">
        <v>3309</v>
      </c>
      <c r="AZ734" s="6" t="s">
        <v>3306</v>
      </c>
      <c r="BA734" s="6" t="s">
        <v>3311</v>
      </c>
      <c r="BB734" s="6" t="s">
        <v>3312</v>
      </c>
      <c r="BC734" s="6" t="s">
        <v>3313</v>
      </c>
      <c r="BD734" s="6" t="s">
        <v>165</v>
      </c>
      <c r="BE734" s="6" t="s">
        <v>3888</v>
      </c>
      <c r="BF734" s="6" t="s">
        <v>3315</v>
      </c>
      <c r="BG734" s="6" t="s">
        <v>4068</v>
      </c>
      <c r="BH734" s="6" t="s">
        <v>3317</v>
      </c>
      <c r="BI734" s="6" t="s">
        <v>271</v>
      </c>
      <c r="BJ734" s="6" t="s">
        <v>3318</v>
      </c>
      <c r="BK734" s="6" t="s">
        <v>3319</v>
      </c>
    </row>
    <row r="735" ht="22.5" customHeight="1">
      <c r="A735" s="4">
        <v>46229.70070299768</v>
      </c>
      <c r="B735" s="5">
        <v>0.0</v>
      </c>
      <c r="C735" s="6" t="s">
        <v>114</v>
      </c>
      <c r="D735" s="6" t="s">
        <v>1642</v>
      </c>
      <c r="E735" s="6" t="s">
        <v>1644</v>
      </c>
      <c r="F735" s="6">
        <v>6.90705025E10</v>
      </c>
      <c r="G735" s="6" t="s">
        <v>122</v>
      </c>
      <c r="H735" s="6" t="s">
        <v>8235</v>
      </c>
      <c r="I735" s="6" t="s">
        <v>8236</v>
      </c>
      <c r="J735" s="6" t="s">
        <v>8237</v>
      </c>
      <c r="K735" s="6" t="s">
        <v>8238</v>
      </c>
      <c r="L735" s="6" t="s">
        <v>8239</v>
      </c>
      <c r="M735" s="6" t="s">
        <v>7519</v>
      </c>
      <c r="N735" s="7"/>
      <c r="O735" s="6" t="s">
        <v>8240</v>
      </c>
      <c r="P735" s="6" t="s">
        <v>8241</v>
      </c>
      <c r="Q735" s="6" t="s">
        <v>8242</v>
      </c>
      <c r="R735" s="6" t="s">
        <v>246</v>
      </c>
      <c r="S735" s="6" t="s">
        <v>147</v>
      </c>
      <c r="T735" s="6" t="s">
        <v>250</v>
      </c>
      <c r="U735" s="6" t="s">
        <v>152</v>
      </c>
      <c r="V735" s="6" t="s">
        <v>246</v>
      </c>
      <c r="W735" s="6" t="s">
        <v>158</v>
      </c>
      <c r="X735" s="6" t="s">
        <v>246</v>
      </c>
      <c r="Y735" s="6" t="s">
        <v>162</v>
      </c>
      <c r="Z735" s="6" t="s">
        <v>165</v>
      </c>
      <c r="AA735" s="6" t="s">
        <v>1322</v>
      </c>
      <c r="AB735" s="6" t="s">
        <v>171</v>
      </c>
      <c r="AC735" s="6" t="s">
        <v>174</v>
      </c>
      <c r="AD735" s="6" t="s">
        <v>175</v>
      </c>
      <c r="AE735" s="6" t="s">
        <v>271</v>
      </c>
      <c r="AF735" s="6" t="s">
        <v>181</v>
      </c>
      <c r="AG735" s="6" t="s">
        <v>182</v>
      </c>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row>
    <row r="736" ht="22.5" customHeight="1">
      <c r="A736" s="4">
        <v>46229.70071052083</v>
      </c>
      <c r="B736" s="5">
        <v>0.0</v>
      </c>
      <c r="C736" s="6" t="s">
        <v>114</v>
      </c>
      <c r="D736" s="6" t="s">
        <v>1646</v>
      </c>
      <c r="E736" s="6" t="s">
        <v>1648</v>
      </c>
      <c r="F736" s="6">
        <v>6.9070509417E10</v>
      </c>
      <c r="G736" s="6" t="s">
        <v>122</v>
      </c>
      <c r="H736" s="7"/>
      <c r="I736" s="6" t="s">
        <v>8243</v>
      </c>
      <c r="J736" s="6" t="s">
        <v>8244</v>
      </c>
      <c r="K736" s="6" t="s">
        <v>8245</v>
      </c>
      <c r="L736" s="6" t="s">
        <v>8246</v>
      </c>
      <c r="M736" s="6" t="s">
        <v>4272</v>
      </c>
      <c r="N736" s="7"/>
      <c r="O736" s="6" t="s">
        <v>8247</v>
      </c>
      <c r="P736" s="6" t="s">
        <v>8248</v>
      </c>
      <c r="Q736" s="6" t="s">
        <v>8249</v>
      </c>
      <c r="R736" s="6" t="s">
        <v>257</v>
      </c>
      <c r="S736" s="6" t="s">
        <v>147</v>
      </c>
      <c r="T736" s="6" t="s">
        <v>250</v>
      </c>
      <c r="U736" s="6" t="s">
        <v>560</v>
      </c>
      <c r="V736" s="6" t="s">
        <v>155</v>
      </c>
      <c r="W736" s="6" t="s">
        <v>158</v>
      </c>
      <c r="X736" s="6" t="s">
        <v>458</v>
      </c>
      <c r="Y736" s="6" t="s">
        <v>162</v>
      </c>
      <c r="Z736" s="6" t="s">
        <v>165</v>
      </c>
      <c r="AA736" s="6" t="s">
        <v>262</v>
      </c>
      <c r="AB736" s="6" t="s">
        <v>171</v>
      </c>
      <c r="AC736" s="6" t="s">
        <v>174</v>
      </c>
      <c r="AD736" s="6" t="s">
        <v>175</v>
      </c>
      <c r="AE736" s="6" t="s">
        <v>178</v>
      </c>
      <c r="AF736" s="6" t="s">
        <v>181</v>
      </c>
      <c r="AG736" s="6" t="s">
        <v>1326</v>
      </c>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row>
    <row r="737" ht="22.5" customHeight="1">
      <c r="A737" s="4">
        <v>46229.70071096065</v>
      </c>
      <c r="B737" s="5">
        <v>0.0</v>
      </c>
      <c r="C737" s="6" t="s">
        <v>114</v>
      </c>
      <c r="D737" s="6" t="s">
        <v>1650</v>
      </c>
      <c r="E737" s="6" t="s">
        <v>1651</v>
      </c>
      <c r="F737" s="6">
        <v>6.9070500882E10</v>
      </c>
      <c r="G737" s="6" t="s">
        <v>496</v>
      </c>
      <c r="H737" s="6" t="s">
        <v>8250</v>
      </c>
      <c r="I737" s="6" t="s">
        <v>8251</v>
      </c>
      <c r="J737" s="6" t="s">
        <v>8252</v>
      </c>
      <c r="K737" s="6" t="s">
        <v>8253</v>
      </c>
      <c r="L737" s="6" t="s">
        <v>8254</v>
      </c>
      <c r="M737" s="6" t="s">
        <v>8255</v>
      </c>
      <c r="N737" s="6" t="s">
        <v>8256</v>
      </c>
      <c r="O737" s="6" t="s">
        <v>8257</v>
      </c>
      <c r="P737" s="6" t="s">
        <v>8258</v>
      </c>
      <c r="Q737" s="6" t="s">
        <v>8259</v>
      </c>
      <c r="R737" s="6" t="s">
        <v>861</v>
      </c>
      <c r="S737" s="6" t="s">
        <v>147</v>
      </c>
      <c r="T737" s="6" t="s">
        <v>250</v>
      </c>
      <c r="U737" s="6" t="s">
        <v>2254</v>
      </c>
      <c r="V737" s="6" t="s">
        <v>246</v>
      </c>
      <c r="W737" s="6" t="s">
        <v>158</v>
      </c>
      <c r="X737" s="6" t="s">
        <v>257</v>
      </c>
      <c r="Y737" s="6" t="s">
        <v>162</v>
      </c>
      <c r="Z737" s="6" t="s">
        <v>165</v>
      </c>
      <c r="AA737" s="6" t="s">
        <v>2307</v>
      </c>
      <c r="AB737" s="6" t="s">
        <v>4010</v>
      </c>
      <c r="AC737" s="6" t="s">
        <v>633</v>
      </c>
      <c r="AD737" s="6" t="s">
        <v>641</v>
      </c>
      <c r="AE737" s="6" t="s">
        <v>1211</v>
      </c>
      <c r="AF737" s="6" t="s">
        <v>181</v>
      </c>
      <c r="AG737" s="6" t="s">
        <v>182</v>
      </c>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row>
    <row r="738" ht="22.5" customHeight="1">
      <c r="A738" s="4">
        <v>46229.700715694446</v>
      </c>
      <c r="B738" s="5">
        <v>0.0</v>
      </c>
      <c r="C738" s="6" t="s">
        <v>3296</v>
      </c>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6" t="s">
        <v>2708</v>
      </c>
      <c r="AI738" s="6" t="s">
        <v>2709</v>
      </c>
      <c r="AJ738" s="6">
        <v>6.9070503414E10</v>
      </c>
      <c r="AK738" s="6" t="s">
        <v>3297</v>
      </c>
      <c r="AL738" s="7"/>
      <c r="AM738" s="6" t="s">
        <v>8260</v>
      </c>
      <c r="AN738" s="6" t="s">
        <v>8261</v>
      </c>
      <c r="AO738" s="6" t="s">
        <v>8262</v>
      </c>
      <c r="AP738" s="6" t="s">
        <v>8263</v>
      </c>
      <c r="AQ738" s="6" t="s">
        <v>7542</v>
      </c>
      <c r="AR738" s="7"/>
      <c r="AS738" s="6" t="s">
        <v>8264</v>
      </c>
      <c r="AT738" s="6" t="s">
        <v>8265</v>
      </c>
      <c r="AU738" s="6" t="s">
        <v>8265</v>
      </c>
      <c r="AV738" s="6" t="s">
        <v>3306</v>
      </c>
      <c r="AW738" s="6" t="s">
        <v>3307</v>
      </c>
      <c r="AX738" s="6" t="s">
        <v>3887</v>
      </c>
      <c r="AY738" s="6" t="s">
        <v>3309</v>
      </c>
      <c r="AZ738" s="6" t="s">
        <v>3306</v>
      </c>
      <c r="BA738" s="6" t="s">
        <v>3311</v>
      </c>
      <c r="BB738" s="6" t="s">
        <v>3312</v>
      </c>
      <c r="BC738" s="6" t="s">
        <v>3313</v>
      </c>
      <c r="BD738" s="6" t="s">
        <v>165</v>
      </c>
      <c r="BE738" s="6" t="s">
        <v>3888</v>
      </c>
      <c r="BF738" s="6" t="s">
        <v>3315</v>
      </c>
      <c r="BG738" s="6" t="s">
        <v>4068</v>
      </c>
      <c r="BH738" s="6" t="s">
        <v>3317</v>
      </c>
      <c r="BI738" s="6" t="s">
        <v>271</v>
      </c>
      <c r="BJ738" s="6" t="s">
        <v>3318</v>
      </c>
      <c r="BK738" s="6" t="s">
        <v>3319</v>
      </c>
    </row>
    <row r="739" ht="22.5" customHeight="1">
      <c r="A739" s="4">
        <v>46229.7007266088</v>
      </c>
      <c r="B739" s="5">
        <v>0.0</v>
      </c>
      <c r="C739" s="6" t="s">
        <v>114</v>
      </c>
      <c r="D739" s="6" t="s">
        <v>1654</v>
      </c>
      <c r="E739" s="6" t="s">
        <v>1656</v>
      </c>
      <c r="F739" s="6">
        <v>6.9070501836E10</v>
      </c>
      <c r="G739" s="6" t="s">
        <v>730</v>
      </c>
      <c r="H739" s="7"/>
      <c r="I739" s="6" t="s">
        <v>8266</v>
      </c>
      <c r="J739" s="6" t="s">
        <v>8267</v>
      </c>
      <c r="K739" s="6" t="s">
        <v>8268</v>
      </c>
      <c r="L739" s="6" t="s">
        <v>8269</v>
      </c>
      <c r="M739" s="6" t="s">
        <v>8270</v>
      </c>
      <c r="N739" s="6" t="s">
        <v>8271</v>
      </c>
      <c r="O739" s="6" t="s">
        <v>8272</v>
      </c>
      <c r="P739" s="6" t="s">
        <v>8273</v>
      </c>
      <c r="Q739" s="6" t="s">
        <v>8274</v>
      </c>
      <c r="R739" s="6" t="s">
        <v>246</v>
      </c>
      <c r="S739" s="6" t="s">
        <v>147</v>
      </c>
      <c r="T739" s="6" t="s">
        <v>250</v>
      </c>
      <c r="U739" s="6" t="s">
        <v>560</v>
      </c>
      <c r="V739" s="6" t="s">
        <v>246</v>
      </c>
      <c r="W739" s="6" t="s">
        <v>158</v>
      </c>
      <c r="X739" s="6" t="s">
        <v>257</v>
      </c>
      <c r="Y739" s="6" t="s">
        <v>162</v>
      </c>
      <c r="Z739" s="6" t="s">
        <v>165</v>
      </c>
      <c r="AA739" s="6" t="s">
        <v>262</v>
      </c>
      <c r="AB739" s="6" t="s">
        <v>521</v>
      </c>
      <c r="AC739" s="6" t="s">
        <v>1669</v>
      </c>
      <c r="AD739" s="6" t="s">
        <v>175</v>
      </c>
      <c r="AE739" s="6" t="s">
        <v>271</v>
      </c>
      <c r="AF739" s="6" t="s">
        <v>181</v>
      </c>
      <c r="AG739" s="6" t="s">
        <v>182</v>
      </c>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row>
    <row r="740" ht="22.5" customHeight="1">
      <c r="A740" s="4">
        <v>46229.70072680556</v>
      </c>
      <c r="B740" s="5">
        <v>0.0</v>
      </c>
      <c r="C740" s="6" t="s">
        <v>3296</v>
      </c>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6" t="s">
        <v>2710</v>
      </c>
      <c r="AI740" s="6" t="s">
        <v>2711</v>
      </c>
      <c r="AJ740" s="6">
        <v>6.9070503461E10</v>
      </c>
      <c r="AK740" s="6" t="s">
        <v>3297</v>
      </c>
      <c r="AL740" s="6" t="s">
        <v>8275</v>
      </c>
      <c r="AM740" s="6" t="s">
        <v>8276</v>
      </c>
      <c r="AN740" s="6" t="s">
        <v>8277</v>
      </c>
      <c r="AO740" s="6" t="s">
        <v>8278</v>
      </c>
      <c r="AP740" s="6" t="s">
        <v>8279</v>
      </c>
      <c r="AQ740" s="6" t="s">
        <v>8280</v>
      </c>
      <c r="AR740" s="6" t="s">
        <v>8281</v>
      </c>
      <c r="AS740" s="6" t="s">
        <v>8282</v>
      </c>
      <c r="AT740" s="6" t="s">
        <v>8283</v>
      </c>
      <c r="AU740" s="6" t="s">
        <v>8284</v>
      </c>
      <c r="AV740" s="6" t="s">
        <v>3312</v>
      </c>
      <c r="AW740" s="6" t="s">
        <v>3307</v>
      </c>
      <c r="AX740" s="6" t="s">
        <v>3887</v>
      </c>
      <c r="AY740" s="6" t="s">
        <v>3309</v>
      </c>
      <c r="AZ740" s="6" t="s">
        <v>3306</v>
      </c>
      <c r="BA740" s="6" t="s">
        <v>3311</v>
      </c>
      <c r="BB740" s="6" t="s">
        <v>3312</v>
      </c>
      <c r="BC740" s="6" t="s">
        <v>3313</v>
      </c>
      <c r="BD740" s="6" t="s">
        <v>165</v>
      </c>
      <c r="BE740" s="6" t="s">
        <v>3888</v>
      </c>
      <c r="BF740" s="6" t="s">
        <v>3315</v>
      </c>
      <c r="BG740" s="6" t="s">
        <v>4068</v>
      </c>
      <c r="BH740" s="6" t="s">
        <v>3317</v>
      </c>
      <c r="BI740" s="6" t="s">
        <v>271</v>
      </c>
      <c r="BJ740" s="6" t="s">
        <v>3318</v>
      </c>
      <c r="BK740" s="6" t="s">
        <v>3319</v>
      </c>
    </row>
    <row r="741" ht="22.5" customHeight="1">
      <c r="A741" s="4">
        <v>46229.70073402778</v>
      </c>
      <c r="B741" s="5">
        <v>0.0</v>
      </c>
      <c r="C741" s="6" t="s">
        <v>114</v>
      </c>
      <c r="D741" s="6" t="s">
        <v>1659</v>
      </c>
      <c r="E741" s="6" t="s">
        <v>1660</v>
      </c>
      <c r="F741" s="6">
        <v>6.907050522E10</v>
      </c>
      <c r="G741" s="6" t="s">
        <v>1470</v>
      </c>
      <c r="H741" s="7"/>
      <c r="I741" s="6" t="s">
        <v>6381</v>
      </c>
      <c r="J741" s="6" t="s">
        <v>8285</v>
      </c>
      <c r="K741" s="6" t="s">
        <v>8286</v>
      </c>
      <c r="L741" s="6" t="s">
        <v>6164</v>
      </c>
      <c r="M741" s="6" t="s">
        <v>8287</v>
      </c>
      <c r="N741" s="6" t="s">
        <v>8288</v>
      </c>
      <c r="O741" s="6" t="s">
        <v>8289</v>
      </c>
      <c r="P741" s="6" t="s">
        <v>8290</v>
      </c>
      <c r="Q741" s="6" t="s">
        <v>8291</v>
      </c>
      <c r="R741" s="6" t="s">
        <v>246</v>
      </c>
      <c r="S741" s="6" t="s">
        <v>147</v>
      </c>
      <c r="T741" s="6" t="s">
        <v>246</v>
      </c>
      <c r="U741" s="6" t="s">
        <v>560</v>
      </c>
      <c r="V741" s="6" t="s">
        <v>246</v>
      </c>
      <c r="W741" s="6" t="s">
        <v>158</v>
      </c>
      <c r="X741" s="6" t="s">
        <v>257</v>
      </c>
      <c r="Y741" s="6" t="s">
        <v>162</v>
      </c>
      <c r="Z741" s="6" t="s">
        <v>165</v>
      </c>
      <c r="AA741" s="6" t="s">
        <v>262</v>
      </c>
      <c r="AB741" s="6" t="s">
        <v>521</v>
      </c>
      <c r="AC741" s="6" t="s">
        <v>174</v>
      </c>
      <c r="AD741" s="6" t="s">
        <v>175</v>
      </c>
      <c r="AE741" s="6" t="s">
        <v>271</v>
      </c>
      <c r="AF741" s="6" t="s">
        <v>181</v>
      </c>
      <c r="AG741" s="6" t="s">
        <v>182</v>
      </c>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row>
    <row r="742" ht="22.5" customHeight="1">
      <c r="A742" s="4">
        <v>46229.70074331018</v>
      </c>
      <c r="B742" s="5">
        <v>0.0</v>
      </c>
      <c r="C742" s="6" t="s">
        <v>114</v>
      </c>
      <c r="D742" s="6" t="s">
        <v>947</v>
      </c>
      <c r="E742" s="6" t="s">
        <v>1163</v>
      </c>
      <c r="F742" s="6">
        <v>6.9070501233E10</v>
      </c>
      <c r="G742" s="6" t="s">
        <v>228</v>
      </c>
      <c r="H742" s="7"/>
      <c r="I742" s="6" t="s">
        <v>8292</v>
      </c>
      <c r="J742" s="6" t="s">
        <v>4655</v>
      </c>
      <c r="K742" s="6" t="s">
        <v>2397</v>
      </c>
      <c r="L742" s="6" t="s">
        <v>8293</v>
      </c>
      <c r="M742" s="6" t="s">
        <v>5320</v>
      </c>
      <c r="N742" s="6" t="s">
        <v>2633</v>
      </c>
      <c r="O742" s="6" t="s">
        <v>8294</v>
      </c>
      <c r="P742" s="6" t="s">
        <v>8295</v>
      </c>
      <c r="Q742" s="6" t="s">
        <v>8296</v>
      </c>
      <c r="R742" s="6" t="s">
        <v>246</v>
      </c>
      <c r="S742" s="6" t="s">
        <v>147</v>
      </c>
      <c r="T742" s="6" t="s">
        <v>250</v>
      </c>
      <c r="U742" s="6" t="s">
        <v>560</v>
      </c>
      <c r="V742" s="6" t="s">
        <v>246</v>
      </c>
      <c r="W742" s="6" t="s">
        <v>158</v>
      </c>
      <c r="X742" s="6" t="s">
        <v>257</v>
      </c>
      <c r="Y742" s="6" t="s">
        <v>162</v>
      </c>
      <c r="Z742" s="6" t="s">
        <v>165</v>
      </c>
      <c r="AA742" s="6" t="s">
        <v>262</v>
      </c>
      <c r="AB742" s="6" t="s">
        <v>171</v>
      </c>
      <c r="AC742" s="6" t="s">
        <v>174</v>
      </c>
      <c r="AD742" s="6" t="s">
        <v>175</v>
      </c>
      <c r="AE742" s="6" t="s">
        <v>271</v>
      </c>
      <c r="AF742" s="6" t="s">
        <v>181</v>
      </c>
      <c r="AG742" s="6" t="s">
        <v>182</v>
      </c>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row>
    <row r="743" ht="22.5" customHeight="1">
      <c r="A743" s="4">
        <v>46229.70074674769</v>
      </c>
      <c r="B743" s="5">
        <v>0.0</v>
      </c>
      <c r="C743" s="6" t="s">
        <v>114</v>
      </c>
      <c r="D743" s="6" t="s">
        <v>1661</v>
      </c>
      <c r="E743" s="6" t="s">
        <v>1662</v>
      </c>
      <c r="F743" s="6">
        <v>6.9070501075E10</v>
      </c>
      <c r="G743" s="6" t="s">
        <v>1470</v>
      </c>
      <c r="H743" s="7"/>
      <c r="I743" s="6" t="s">
        <v>6499</v>
      </c>
      <c r="J743" s="6" t="s">
        <v>8297</v>
      </c>
      <c r="K743" s="6" t="s">
        <v>3480</v>
      </c>
      <c r="L743" s="6" t="s">
        <v>8298</v>
      </c>
      <c r="M743" s="6" t="s">
        <v>8299</v>
      </c>
      <c r="N743" s="6" t="s">
        <v>8300</v>
      </c>
      <c r="O743" s="6" t="s">
        <v>8301</v>
      </c>
      <c r="P743" s="6" t="s">
        <v>8302</v>
      </c>
      <c r="Q743" s="6" t="s">
        <v>8303</v>
      </c>
      <c r="R743" s="6" t="s">
        <v>246</v>
      </c>
      <c r="S743" s="6" t="s">
        <v>147</v>
      </c>
      <c r="T743" s="6" t="s">
        <v>250</v>
      </c>
      <c r="U743" s="6" t="s">
        <v>252</v>
      </c>
      <c r="V743" s="6" t="s">
        <v>246</v>
      </c>
      <c r="W743" s="6" t="s">
        <v>158</v>
      </c>
      <c r="X743" s="6" t="s">
        <v>458</v>
      </c>
      <c r="Y743" s="6" t="s">
        <v>162</v>
      </c>
      <c r="Z743" s="6" t="s">
        <v>165</v>
      </c>
      <c r="AA743" s="6" t="s">
        <v>262</v>
      </c>
      <c r="AB743" s="6" t="s">
        <v>3847</v>
      </c>
      <c r="AC743" s="6" t="s">
        <v>174</v>
      </c>
      <c r="AD743" s="6" t="s">
        <v>175</v>
      </c>
      <c r="AE743" s="6" t="s">
        <v>271</v>
      </c>
      <c r="AF743" s="6" t="s">
        <v>181</v>
      </c>
      <c r="AG743" s="6" t="s">
        <v>182</v>
      </c>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row>
    <row r="744" ht="22.5" customHeight="1">
      <c r="A744" s="4">
        <v>46229.700747118055</v>
      </c>
      <c r="B744" s="5">
        <v>0.0</v>
      </c>
      <c r="C744" s="6" t="s">
        <v>114</v>
      </c>
      <c r="D744" s="6" t="s">
        <v>1663</v>
      </c>
      <c r="E744" s="6" t="s">
        <v>1664</v>
      </c>
      <c r="F744" s="6">
        <v>6.9070500255E10</v>
      </c>
      <c r="G744" s="6" t="s">
        <v>599</v>
      </c>
      <c r="H744" s="7"/>
      <c r="I744" s="6" t="s">
        <v>8304</v>
      </c>
      <c r="J744" s="6" t="s">
        <v>8305</v>
      </c>
      <c r="K744" s="6" t="s">
        <v>8306</v>
      </c>
      <c r="L744" s="6" t="s">
        <v>8307</v>
      </c>
      <c r="M744" s="6" t="s">
        <v>8308</v>
      </c>
      <c r="N744" s="7"/>
      <c r="O744" s="6" t="s">
        <v>8309</v>
      </c>
      <c r="P744" s="6" t="s">
        <v>8310</v>
      </c>
      <c r="Q744" s="6" t="s">
        <v>8311</v>
      </c>
      <c r="R744" s="6" t="s">
        <v>246</v>
      </c>
      <c r="S744" s="6" t="s">
        <v>147</v>
      </c>
      <c r="T744" s="6" t="s">
        <v>250</v>
      </c>
      <c r="U744" s="6" t="s">
        <v>560</v>
      </c>
      <c r="V744" s="6" t="s">
        <v>246</v>
      </c>
      <c r="W744" s="6" t="s">
        <v>158</v>
      </c>
      <c r="X744" s="6" t="s">
        <v>458</v>
      </c>
      <c r="Y744" s="6" t="s">
        <v>162</v>
      </c>
      <c r="Z744" s="6" t="s">
        <v>165</v>
      </c>
      <c r="AA744" s="6" t="s">
        <v>262</v>
      </c>
      <c r="AB744" s="6" t="s">
        <v>171</v>
      </c>
      <c r="AC744" s="6" t="s">
        <v>174</v>
      </c>
      <c r="AD744" s="6" t="s">
        <v>175</v>
      </c>
      <c r="AE744" s="6" t="s">
        <v>271</v>
      </c>
      <c r="AF744" s="6" t="s">
        <v>181</v>
      </c>
      <c r="AG744" s="6" t="s">
        <v>182</v>
      </c>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row>
    <row r="745" ht="22.5" customHeight="1">
      <c r="A745" s="4">
        <v>46229.700759907406</v>
      </c>
      <c r="B745" s="5">
        <v>0.0</v>
      </c>
      <c r="C745" s="6" t="s">
        <v>114</v>
      </c>
      <c r="D745" s="6" t="s">
        <v>1665</v>
      </c>
      <c r="E745" s="6" t="s">
        <v>1666</v>
      </c>
      <c r="F745" s="6">
        <v>6.9070506471E10</v>
      </c>
      <c r="G745" s="6" t="s">
        <v>599</v>
      </c>
      <c r="H745" s="7"/>
      <c r="I745" s="6" t="s">
        <v>8312</v>
      </c>
      <c r="J745" s="6" t="s">
        <v>4608</v>
      </c>
      <c r="K745" s="6" t="s">
        <v>8313</v>
      </c>
      <c r="L745" s="6" t="s">
        <v>8314</v>
      </c>
      <c r="M745" s="6" t="s">
        <v>3048</v>
      </c>
      <c r="N745" s="7"/>
      <c r="O745" s="6" t="s">
        <v>8315</v>
      </c>
      <c r="P745" s="6" t="s">
        <v>8316</v>
      </c>
      <c r="Q745" s="6" t="s">
        <v>8317</v>
      </c>
      <c r="R745" s="6" t="s">
        <v>246</v>
      </c>
      <c r="S745" s="6" t="s">
        <v>147</v>
      </c>
      <c r="T745" s="6" t="s">
        <v>250</v>
      </c>
      <c r="U745" s="6" t="s">
        <v>560</v>
      </c>
      <c r="V745" s="6" t="s">
        <v>155</v>
      </c>
      <c r="W745" s="6" t="s">
        <v>158</v>
      </c>
      <c r="X745" s="6" t="s">
        <v>257</v>
      </c>
      <c r="Y745" s="6" t="s">
        <v>162</v>
      </c>
      <c r="Z745" s="6" t="s">
        <v>165</v>
      </c>
      <c r="AA745" s="6" t="s">
        <v>262</v>
      </c>
      <c r="AB745" s="6" t="s">
        <v>521</v>
      </c>
      <c r="AC745" s="6" t="s">
        <v>174</v>
      </c>
      <c r="AD745" s="6" t="s">
        <v>175</v>
      </c>
      <c r="AE745" s="6" t="s">
        <v>271</v>
      </c>
      <c r="AF745" s="6" t="s">
        <v>181</v>
      </c>
      <c r="AG745" s="6" t="s">
        <v>182</v>
      </c>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row>
    <row r="746" ht="22.5" customHeight="1">
      <c r="A746" s="4">
        <v>46229.700770034724</v>
      </c>
      <c r="B746" s="5">
        <v>0.0</v>
      </c>
      <c r="C746" s="6" t="s">
        <v>114</v>
      </c>
      <c r="D746" s="6" t="s">
        <v>1667</v>
      </c>
      <c r="E746" s="6" t="s">
        <v>1668</v>
      </c>
      <c r="F746" s="6">
        <v>6.9070509609E10</v>
      </c>
      <c r="G746" s="6" t="s">
        <v>730</v>
      </c>
      <c r="H746" s="6" t="s">
        <v>8318</v>
      </c>
      <c r="I746" s="6" t="s">
        <v>8319</v>
      </c>
      <c r="J746" s="6" t="s">
        <v>4345</v>
      </c>
      <c r="K746" s="6" t="s">
        <v>8320</v>
      </c>
      <c r="L746" s="6" t="s">
        <v>8321</v>
      </c>
      <c r="M746" s="6" t="s">
        <v>3450</v>
      </c>
      <c r="N746" s="7"/>
      <c r="O746" s="6" t="s">
        <v>8322</v>
      </c>
      <c r="P746" s="6" t="s">
        <v>4406</v>
      </c>
      <c r="Q746" s="6" t="s">
        <v>8323</v>
      </c>
      <c r="R746" s="6" t="s">
        <v>246</v>
      </c>
      <c r="S746" s="6" t="s">
        <v>147</v>
      </c>
      <c r="T746" s="6" t="s">
        <v>250</v>
      </c>
      <c r="U746" s="6" t="s">
        <v>252</v>
      </c>
      <c r="V746" s="6" t="s">
        <v>246</v>
      </c>
      <c r="W746" s="6" t="s">
        <v>158</v>
      </c>
      <c r="X746" s="6" t="s">
        <v>257</v>
      </c>
      <c r="Y746" s="6" t="s">
        <v>162</v>
      </c>
      <c r="Z746" s="6" t="s">
        <v>165</v>
      </c>
      <c r="AA746" s="6" t="s">
        <v>262</v>
      </c>
      <c r="AB746" s="6" t="s">
        <v>171</v>
      </c>
      <c r="AC746" s="6" t="s">
        <v>633</v>
      </c>
      <c r="AD746" s="6" t="s">
        <v>175</v>
      </c>
      <c r="AE746" s="6" t="s">
        <v>271</v>
      </c>
      <c r="AF746" s="6" t="s">
        <v>181</v>
      </c>
      <c r="AG746" s="6" t="s">
        <v>182</v>
      </c>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row>
    <row r="747" ht="22.5" customHeight="1">
      <c r="A747" s="4">
        <v>46229.70077539352</v>
      </c>
      <c r="B747" s="5">
        <v>0.0</v>
      </c>
      <c r="C747" s="6" t="s">
        <v>114</v>
      </c>
      <c r="D747" s="6" t="s">
        <v>1670</v>
      </c>
      <c r="E747" s="6" t="s">
        <v>1671</v>
      </c>
      <c r="F747" s="6">
        <v>6.9070509637E10</v>
      </c>
      <c r="G747" s="6" t="s">
        <v>730</v>
      </c>
      <c r="H747" s="6" t="s">
        <v>8324</v>
      </c>
      <c r="I747" s="6" t="s">
        <v>8325</v>
      </c>
      <c r="J747" s="6" t="s">
        <v>6899</v>
      </c>
      <c r="K747" s="6" t="s">
        <v>8326</v>
      </c>
      <c r="L747" s="6" t="s">
        <v>8327</v>
      </c>
      <c r="M747" s="6" t="s">
        <v>8328</v>
      </c>
      <c r="N747" s="7"/>
      <c r="O747" s="6" t="s">
        <v>8329</v>
      </c>
      <c r="P747" s="6" t="s">
        <v>8330</v>
      </c>
      <c r="Q747" s="6" t="s">
        <v>8331</v>
      </c>
      <c r="R747" s="6" t="s">
        <v>246</v>
      </c>
      <c r="S747" s="6" t="s">
        <v>147</v>
      </c>
      <c r="T747" s="6" t="s">
        <v>250</v>
      </c>
      <c r="U747" s="6" t="s">
        <v>152</v>
      </c>
      <c r="V747" s="6" t="s">
        <v>246</v>
      </c>
      <c r="W747" s="6" t="s">
        <v>158</v>
      </c>
      <c r="X747" s="6" t="s">
        <v>246</v>
      </c>
      <c r="Y747" s="6" t="s">
        <v>162</v>
      </c>
      <c r="Z747" s="6" t="s">
        <v>165</v>
      </c>
      <c r="AA747" s="6" t="s">
        <v>262</v>
      </c>
      <c r="AB747" s="6" t="s">
        <v>521</v>
      </c>
      <c r="AC747" s="6" t="s">
        <v>174</v>
      </c>
      <c r="AD747" s="6" t="s">
        <v>175</v>
      </c>
      <c r="AE747" s="6" t="s">
        <v>271</v>
      </c>
      <c r="AF747" s="6" t="s">
        <v>181</v>
      </c>
      <c r="AG747" s="6" t="s">
        <v>182</v>
      </c>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row>
    <row r="748" ht="22.5" customHeight="1">
      <c r="A748" s="4">
        <v>46229.700778240745</v>
      </c>
      <c r="B748" s="5">
        <v>0.0</v>
      </c>
      <c r="C748" s="6" t="s">
        <v>114</v>
      </c>
      <c r="D748" s="6" t="s">
        <v>1672</v>
      </c>
      <c r="E748" s="6" t="s">
        <v>1673</v>
      </c>
      <c r="F748" s="6">
        <v>6.9070502803E10</v>
      </c>
      <c r="G748" s="6" t="s">
        <v>310</v>
      </c>
      <c r="H748" s="7"/>
      <c r="I748" s="6" t="s">
        <v>8332</v>
      </c>
      <c r="J748" s="6" t="s">
        <v>8333</v>
      </c>
      <c r="K748" s="6" t="s">
        <v>4430</v>
      </c>
      <c r="L748" s="6" t="s">
        <v>8334</v>
      </c>
      <c r="M748" s="6" t="s">
        <v>8335</v>
      </c>
      <c r="N748" s="7"/>
      <c r="O748" s="6" t="s">
        <v>8336</v>
      </c>
      <c r="P748" s="6" t="s">
        <v>8337</v>
      </c>
      <c r="Q748" s="6" t="s">
        <v>8338</v>
      </c>
      <c r="R748" s="6" t="s">
        <v>257</v>
      </c>
      <c r="S748" s="6" t="s">
        <v>147</v>
      </c>
      <c r="T748" s="6" t="s">
        <v>250</v>
      </c>
      <c r="U748" s="6" t="s">
        <v>560</v>
      </c>
      <c r="V748" s="6" t="s">
        <v>246</v>
      </c>
      <c r="W748" s="6" t="s">
        <v>158</v>
      </c>
      <c r="X748" s="6" t="s">
        <v>257</v>
      </c>
      <c r="Y748" s="6" t="s">
        <v>162</v>
      </c>
      <c r="Z748" s="6" t="s">
        <v>165</v>
      </c>
      <c r="AA748" s="6" t="s">
        <v>262</v>
      </c>
      <c r="AB748" s="6" t="s">
        <v>171</v>
      </c>
      <c r="AC748" s="6" t="s">
        <v>2718</v>
      </c>
      <c r="AD748" s="6" t="s">
        <v>175</v>
      </c>
      <c r="AE748" s="6" t="s">
        <v>271</v>
      </c>
      <c r="AF748" s="6" t="s">
        <v>181</v>
      </c>
      <c r="AG748" s="6" t="s">
        <v>182</v>
      </c>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row>
    <row r="749" ht="22.5" customHeight="1">
      <c r="A749" s="4">
        <v>46229.700782604166</v>
      </c>
      <c r="B749" s="5">
        <v>0.0</v>
      </c>
      <c r="C749" s="6" t="s">
        <v>114</v>
      </c>
      <c r="D749" s="6" t="s">
        <v>1674</v>
      </c>
      <c r="E749" s="6" t="s">
        <v>1675</v>
      </c>
      <c r="F749" s="6">
        <v>6.9070500308E10</v>
      </c>
      <c r="G749" s="6" t="s">
        <v>599</v>
      </c>
      <c r="H749" s="7"/>
      <c r="I749" s="6" t="s">
        <v>8339</v>
      </c>
      <c r="J749" s="6" t="s">
        <v>8340</v>
      </c>
      <c r="K749" s="6" t="s">
        <v>8341</v>
      </c>
      <c r="L749" s="6" t="s">
        <v>8342</v>
      </c>
      <c r="M749" s="6" t="s">
        <v>8343</v>
      </c>
      <c r="N749" s="7"/>
      <c r="O749" s="6" t="s">
        <v>8344</v>
      </c>
      <c r="P749" s="6" t="s">
        <v>8345</v>
      </c>
      <c r="Q749" s="6" t="s">
        <v>8346</v>
      </c>
      <c r="R749" s="6" t="s">
        <v>246</v>
      </c>
      <c r="S749" s="6" t="s">
        <v>147</v>
      </c>
      <c r="T749" s="6" t="s">
        <v>250</v>
      </c>
      <c r="U749" s="6" t="s">
        <v>252</v>
      </c>
      <c r="V749" s="6" t="s">
        <v>246</v>
      </c>
      <c r="W749" s="6" t="s">
        <v>158</v>
      </c>
      <c r="X749" s="6" t="s">
        <v>257</v>
      </c>
      <c r="Y749" s="6" t="s">
        <v>162</v>
      </c>
      <c r="Z749" s="6" t="s">
        <v>165</v>
      </c>
      <c r="AA749" s="6" t="s">
        <v>1322</v>
      </c>
      <c r="AB749" s="6" t="s">
        <v>171</v>
      </c>
      <c r="AC749" s="6" t="s">
        <v>174</v>
      </c>
      <c r="AD749" s="6" t="s">
        <v>175</v>
      </c>
      <c r="AE749" s="6" t="s">
        <v>271</v>
      </c>
      <c r="AF749" s="6" t="s">
        <v>181</v>
      </c>
      <c r="AG749" s="6" t="s">
        <v>182</v>
      </c>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row>
    <row r="750" ht="22.5" customHeight="1">
      <c r="A750" s="4">
        <v>46229.70080387732</v>
      </c>
      <c r="B750" s="5">
        <v>0.0</v>
      </c>
      <c r="C750" s="6" t="s">
        <v>114</v>
      </c>
      <c r="D750" s="6" t="s">
        <v>1676</v>
      </c>
      <c r="E750" s="6" t="s">
        <v>1677</v>
      </c>
      <c r="F750" s="6">
        <v>6.9070501204E10</v>
      </c>
      <c r="G750" s="6" t="s">
        <v>228</v>
      </c>
      <c r="H750" s="7"/>
      <c r="I750" s="6" t="s">
        <v>8347</v>
      </c>
      <c r="J750" s="6" t="s">
        <v>8348</v>
      </c>
      <c r="K750" s="6" t="s">
        <v>8349</v>
      </c>
      <c r="L750" s="6" t="s">
        <v>4548</v>
      </c>
      <c r="M750" s="6" t="s">
        <v>8350</v>
      </c>
      <c r="N750" s="7"/>
      <c r="O750" s="6" t="s">
        <v>8351</v>
      </c>
      <c r="P750" s="6" t="s">
        <v>8352</v>
      </c>
      <c r="Q750" s="6" t="s">
        <v>8353</v>
      </c>
      <c r="R750" s="6" t="s">
        <v>246</v>
      </c>
      <c r="S750" s="6" t="s">
        <v>147</v>
      </c>
      <c r="T750" s="6" t="s">
        <v>250</v>
      </c>
      <c r="U750" s="6" t="s">
        <v>252</v>
      </c>
      <c r="V750" s="6" t="s">
        <v>246</v>
      </c>
      <c r="W750" s="6" t="s">
        <v>158</v>
      </c>
      <c r="X750" s="6" t="s">
        <v>257</v>
      </c>
      <c r="Y750" s="6" t="s">
        <v>162</v>
      </c>
      <c r="Z750" s="6" t="s">
        <v>165</v>
      </c>
      <c r="AA750" s="6" t="s">
        <v>262</v>
      </c>
      <c r="AB750" s="6" t="s">
        <v>171</v>
      </c>
      <c r="AC750" s="6" t="s">
        <v>174</v>
      </c>
      <c r="AD750" s="6" t="s">
        <v>175</v>
      </c>
      <c r="AE750" s="6" t="s">
        <v>271</v>
      </c>
      <c r="AF750" s="6" t="s">
        <v>181</v>
      </c>
      <c r="AG750" s="6" t="s">
        <v>182</v>
      </c>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row>
    <row r="751" ht="22.5" customHeight="1">
      <c r="A751" s="4">
        <v>46229.70080784722</v>
      </c>
      <c r="B751" s="5">
        <v>0.0</v>
      </c>
      <c r="C751" s="6" t="s">
        <v>3296</v>
      </c>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6" t="s">
        <v>2712</v>
      </c>
      <c r="AI751" s="6" t="s">
        <v>2713</v>
      </c>
      <c r="AJ751" s="6">
        <v>6.9070504007E10</v>
      </c>
      <c r="AK751" s="6" t="s">
        <v>4331</v>
      </c>
      <c r="AL751" s="7"/>
      <c r="AM751" s="6" t="s">
        <v>8354</v>
      </c>
      <c r="AN751" s="6" t="s">
        <v>8355</v>
      </c>
      <c r="AO751" s="6" t="s">
        <v>8356</v>
      </c>
      <c r="AP751" s="6" t="s">
        <v>8357</v>
      </c>
      <c r="AQ751" s="6" t="s">
        <v>8358</v>
      </c>
      <c r="AR751" s="7"/>
      <c r="AS751" s="6" t="s">
        <v>8359</v>
      </c>
      <c r="AT751" s="6" t="s">
        <v>8360</v>
      </c>
      <c r="AU751" s="6" t="s">
        <v>8361</v>
      </c>
      <c r="AV751" s="6" t="s">
        <v>3306</v>
      </c>
      <c r="AW751" s="6" t="s">
        <v>3307</v>
      </c>
      <c r="AX751" s="6" t="s">
        <v>3887</v>
      </c>
      <c r="AY751" s="6" t="s">
        <v>3309</v>
      </c>
      <c r="AZ751" s="6" t="s">
        <v>3306</v>
      </c>
      <c r="BA751" s="6" t="s">
        <v>3311</v>
      </c>
      <c r="BB751" s="6" t="s">
        <v>3312</v>
      </c>
      <c r="BC751" s="6" t="s">
        <v>3313</v>
      </c>
      <c r="BD751" s="6" t="s">
        <v>165</v>
      </c>
      <c r="BE751" s="6" t="s">
        <v>3888</v>
      </c>
      <c r="BF751" s="6" t="s">
        <v>3315</v>
      </c>
      <c r="BG751" s="6" t="s">
        <v>4068</v>
      </c>
      <c r="BH751" s="6" t="s">
        <v>3317</v>
      </c>
      <c r="BI751" s="6" t="s">
        <v>271</v>
      </c>
      <c r="BJ751" s="6" t="s">
        <v>3318</v>
      </c>
      <c r="BK751" s="6" t="s">
        <v>3319</v>
      </c>
    </row>
    <row r="752" ht="22.5" customHeight="1">
      <c r="A752" s="4">
        <v>46229.700810486116</v>
      </c>
      <c r="B752" s="5">
        <v>0.0</v>
      </c>
      <c r="C752" s="6" t="s">
        <v>114</v>
      </c>
      <c r="D752" s="6" t="s">
        <v>1678</v>
      </c>
      <c r="E752" s="6" t="s">
        <v>1679</v>
      </c>
      <c r="F752" s="6">
        <v>6.9070502238E10</v>
      </c>
      <c r="G752" s="6" t="s">
        <v>496</v>
      </c>
      <c r="H752" s="6" t="s">
        <v>8362</v>
      </c>
      <c r="I752" s="6" t="s">
        <v>8363</v>
      </c>
      <c r="J752" s="6" t="s">
        <v>8364</v>
      </c>
      <c r="K752" s="6" t="s">
        <v>8365</v>
      </c>
      <c r="L752" s="6" t="s">
        <v>5545</v>
      </c>
      <c r="M752" s="6" t="s">
        <v>8366</v>
      </c>
      <c r="N752" s="7"/>
      <c r="O752" s="6" t="s">
        <v>8367</v>
      </c>
      <c r="P752" s="6" t="s">
        <v>8368</v>
      </c>
      <c r="Q752" s="6" t="s">
        <v>8369</v>
      </c>
      <c r="R752" s="6" t="s">
        <v>246</v>
      </c>
      <c r="S752" s="6" t="s">
        <v>147</v>
      </c>
      <c r="T752" s="6" t="s">
        <v>257</v>
      </c>
      <c r="U752" s="6" t="s">
        <v>686</v>
      </c>
      <c r="V752" s="6" t="s">
        <v>246</v>
      </c>
      <c r="W752" s="6" t="s">
        <v>158</v>
      </c>
      <c r="X752" s="6" t="s">
        <v>458</v>
      </c>
      <c r="Y752" s="6" t="s">
        <v>162</v>
      </c>
      <c r="Z752" s="6" t="s">
        <v>165</v>
      </c>
      <c r="AA752" s="6" t="s">
        <v>262</v>
      </c>
      <c r="AB752" s="6" t="s">
        <v>171</v>
      </c>
      <c r="AC752" s="6" t="s">
        <v>174</v>
      </c>
      <c r="AD752" s="6" t="s">
        <v>175</v>
      </c>
      <c r="AE752" s="6" t="s">
        <v>271</v>
      </c>
      <c r="AF752" s="6" t="s">
        <v>181</v>
      </c>
      <c r="AG752" s="6" t="s">
        <v>182</v>
      </c>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row>
    <row r="753" ht="22.5" customHeight="1">
      <c r="A753" s="4">
        <v>46229.700812916664</v>
      </c>
      <c r="B753" s="5">
        <v>0.0</v>
      </c>
      <c r="C753" s="6" t="s">
        <v>114</v>
      </c>
      <c r="D753" s="6" t="s">
        <v>800</v>
      </c>
      <c r="E753" s="6" t="s">
        <v>1680</v>
      </c>
      <c r="F753" s="6">
        <v>6.9070509437E10</v>
      </c>
      <c r="G753" s="6" t="s">
        <v>122</v>
      </c>
      <c r="H753" s="7"/>
      <c r="I753" s="6" t="s">
        <v>8370</v>
      </c>
      <c r="J753" s="6" t="s">
        <v>3825</v>
      </c>
      <c r="K753" s="6" t="s">
        <v>8371</v>
      </c>
      <c r="L753" s="6" t="s">
        <v>8372</v>
      </c>
      <c r="M753" s="6" t="s">
        <v>8373</v>
      </c>
      <c r="N753" s="6" t="s">
        <v>8374</v>
      </c>
      <c r="O753" s="6" t="s">
        <v>8375</v>
      </c>
      <c r="P753" s="6" t="s">
        <v>8376</v>
      </c>
      <c r="Q753" s="6" t="s">
        <v>8377</v>
      </c>
      <c r="R753" s="6" t="s">
        <v>861</v>
      </c>
      <c r="S753" s="6" t="s">
        <v>147</v>
      </c>
      <c r="T753" s="6" t="s">
        <v>149</v>
      </c>
      <c r="U753" s="6" t="s">
        <v>686</v>
      </c>
      <c r="V753" s="6" t="s">
        <v>458</v>
      </c>
      <c r="W753" s="6" t="s">
        <v>158</v>
      </c>
      <c r="X753" s="6" t="s">
        <v>257</v>
      </c>
      <c r="Y753" s="6" t="s">
        <v>162</v>
      </c>
      <c r="Z753" s="6" t="s">
        <v>165</v>
      </c>
      <c r="AA753" s="6" t="s">
        <v>2307</v>
      </c>
      <c r="AB753" s="6" t="s">
        <v>171</v>
      </c>
      <c r="AC753" s="6" t="s">
        <v>174</v>
      </c>
      <c r="AD753" s="6" t="s">
        <v>175</v>
      </c>
      <c r="AE753" s="6" t="s">
        <v>271</v>
      </c>
      <c r="AF753" s="6" t="s">
        <v>181</v>
      </c>
      <c r="AG753" s="6" t="s">
        <v>182</v>
      </c>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row>
    <row r="754" ht="22.5" customHeight="1">
      <c r="A754" s="4">
        <v>46229.700825277774</v>
      </c>
      <c r="B754" s="5">
        <v>0.0</v>
      </c>
      <c r="C754" s="6" t="s">
        <v>114</v>
      </c>
      <c r="D754" s="6" t="s">
        <v>1468</v>
      </c>
      <c r="E754" s="6" t="s">
        <v>1681</v>
      </c>
      <c r="F754" s="6">
        <v>6.9070500249E10</v>
      </c>
      <c r="G754" s="6" t="s">
        <v>599</v>
      </c>
      <c r="H754" s="7"/>
      <c r="I754" s="6" t="s">
        <v>8378</v>
      </c>
      <c r="J754" s="6" t="s">
        <v>3333</v>
      </c>
      <c r="K754" s="6" t="s">
        <v>8379</v>
      </c>
      <c r="L754" s="6" t="s">
        <v>8380</v>
      </c>
      <c r="M754" s="6" t="s">
        <v>8381</v>
      </c>
      <c r="N754" s="6" t="s">
        <v>8382</v>
      </c>
      <c r="O754" s="6" t="s">
        <v>8383</v>
      </c>
      <c r="P754" s="6" t="s">
        <v>8384</v>
      </c>
      <c r="Q754" s="6" t="s">
        <v>8385</v>
      </c>
      <c r="R754" s="6" t="s">
        <v>246</v>
      </c>
      <c r="S754" s="6" t="s">
        <v>147</v>
      </c>
      <c r="T754" s="6" t="s">
        <v>250</v>
      </c>
      <c r="U754" s="6" t="s">
        <v>560</v>
      </c>
      <c r="V754" s="6" t="s">
        <v>246</v>
      </c>
      <c r="W754" s="6" t="s">
        <v>158</v>
      </c>
      <c r="X754" s="6" t="s">
        <v>257</v>
      </c>
      <c r="Y754" s="6" t="s">
        <v>162</v>
      </c>
      <c r="Z754" s="6" t="s">
        <v>165</v>
      </c>
      <c r="AA754" s="6" t="s">
        <v>262</v>
      </c>
      <c r="AB754" s="6" t="s">
        <v>171</v>
      </c>
      <c r="AC754" s="6" t="s">
        <v>174</v>
      </c>
      <c r="AD754" s="6" t="s">
        <v>175</v>
      </c>
      <c r="AE754" s="6" t="s">
        <v>271</v>
      </c>
      <c r="AF754" s="6" t="s">
        <v>181</v>
      </c>
      <c r="AG754" s="6" t="s">
        <v>182</v>
      </c>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row>
    <row r="755" ht="22.5" customHeight="1">
      <c r="A755" s="4">
        <v>46229.700825381944</v>
      </c>
      <c r="B755" s="5">
        <v>0.0</v>
      </c>
      <c r="C755" s="6" t="s">
        <v>114</v>
      </c>
      <c r="D755" s="6" t="s">
        <v>1682</v>
      </c>
      <c r="E755" s="6" t="s">
        <v>1683</v>
      </c>
      <c r="F755" s="6">
        <v>6.9070508234E10</v>
      </c>
      <c r="G755" s="6" t="s">
        <v>730</v>
      </c>
      <c r="H755" s="6" t="s">
        <v>8386</v>
      </c>
      <c r="I755" s="6" t="s">
        <v>8387</v>
      </c>
      <c r="J755" s="6" t="s">
        <v>8388</v>
      </c>
      <c r="K755" s="6" t="s">
        <v>8389</v>
      </c>
      <c r="L755" s="6" t="s">
        <v>8269</v>
      </c>
      <c r="M755" s="6" t="s">
        <v>8390</v>
      </c>
      <c r="N755" s="7"/>
      <c r="O755" s="6" t="s">
        <v>8391</v>
      </c>
      <c r="P755" s="6" t="s">
        <v>8392</v>
      </c>
      <c r="Q755" s="6" t="s">
        <v>8393</v>
      </c>
      <c r="R755" s="6" t="s">
        <v>246</v>
      </c>
      <c r="S755" s="6" t="s">
        <v>147</v>
      </c>
      <c r="T755" s="6" t="s">
        <v>250</v>
      </c>
      <c r="U755" s="6" t="s">
        <v>560</v>
      </c>
      <c r="V755" s="6" t="s">
        <v>246</v>
      </c>
      <c r="W755" s="6" t="s">
        <v>158</v>
      </c>
      <c r="X755" s="6" t="s">
        <v>257</v>
      </c>
      <c r="Y755" s="6" t="s">
        <v>162</v>
      </c>
      <c r="Z755" s="6" t="s">
        <v>165</v>
      </c>
      <c r="AA755" s="6" t="s">
        <v>168</v>
      </c>
      <c r="AB755" s="6" t="s">
        <v>1266</v>
      </c>
      <c r="AC755" s="6" t="s">
        <v>174</v>
      </c>
      <c r="AD755" s="6" t="s">
        <v>175</v>
      </c>
      <c r="AE755" s="6" t="s">
        <v>271</v>
      </c>
      <c r="AF755" s="6" t="s">
        <v>181</v>
      </c>
      <c r="AG755" s="6" t="s">
        <v>182</v>
      </c>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row>
    <row r="756" ht="22.5" customHeight="1">
      <c r="A756" s="4">
        <v>46229.70083598379</v>
      </c>
      <c r="B756" s="5">
        <v>0.0</v>
      </c>
      <c r="C756" s="6" t="s">
        <v>114</v>
      </c>
      <c r="D756" s="6" t="s">
        <v>1684</v>
      </c>
      <c r="E756" s="6" t="s">
        <v>1685</v>
      </c>
      <c r="F756" s="6">
        <v>6.9070505231E10</v>
      </c>
      <c r="G756" s="6" t="s">
        <v>1470</v>
      </c>
      <c r="H756" s="6" t="s">
        <v>8394</v>
      </c>
      <c r="I756" s="6" t="s">
        <v>8395</v>
      </c>
      <c r="J756" s="6" t="s">
        <v>3466</v>
      </c>
      <c r="K756" s="6" t="s">
        <v>3467</v>
      </c>
      <c r="L756" s="6" t="s">
        <v>8396</v>
      </c>
      <c r="M756" s="6" t="s">
        <v>3468</v>
      </c>
      <c r="N756" s="6" t="s">
        <v>8397</v>
      </c>
      <c r="O756" s="6" t="s">
        <v>8398</v>
      </c>
      <c r="P756" s="6" t="s">
        <v>8399</v>
      </c>
      <c r="Q756" s="6" t="s">
        <v>8400</v>
      </c>
      <c r="R756" s="6" t="s">
        <v>246</v>
      </c>
      <c r="S756" s="6" t="s">
        <v>147</v>
      </c>
      <c r="T756" s="6" t="s">
        <v>250</v>
      </c>
      <c r="U756" s="6" t="s">
        <v>252</v>
      </c>
      <c r="V756" s="6" t="s">
        <v>246</v>
      </c>
      <c r="W756" s="6" t="s">
        <v>158</v>
      </c>
      <c r="X756" s="6" t="s">
        <v>161</v>
      </c>
      <c r="Y756" s="6" t="s">
        <v>162</v>
      </c>
      <c r="Z756" s="6" t="s">
        <v>165</v>
      </c>
      <c r="AA756" s="6" t="s">
        <v>641</v>
      </c>
      <c r="AB756" s="6" t="s">
        <v>171</v>
      </c>
      <c r="AC756" s="6" t="s">
        <v>174</v>
      </c>
      <c r="AD756" s="6" t="s">
        <v>175</v>
      </c>
      <c r="AE756" s="6" t="s">
        <v>271</v>
      </c>
      <c r="AF756" s="6" t="s">
        <v>181</v>
      </c>
      <c r="AG756" s="6" t="s">
        <v>182</v>
      </c>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row>
    <row r="757" ht="22.5" customHeight="1">
      <c r="A757" s="4">
        <v>46229.700836689815</v>
      </c>
      <c r="B757" s="5">
        <v>0.0</v>
      </c>
      <c r="C757" s="6" t="s">
        <v>114</v>
      </c>
      <c r="D757" s="6" t="s">
        <v>1686</v>
      </c>
      <c r="E757" s="6" t="s">
        <v>1687</v>
      </c>
      <c r="F757" s="6">
        <v>6.9070501833E10</v>
      </c>
      <c r="G757" s="6" t="s">
        <v>730</v>
      </c>
      <c r="H757" s="6" t="s">
        <v>2633</v>
      </c>
      <c r="I757" s="6" t="s">
        <v>7219</v>
      </c>
      <c r="J757" s="6" t="s">
        <v>8401</v>
      </c>
      <c r="K757" s="6" t="s">
        <v>737</v>
      </c>
      <c r="L757" s="6" t="s">
        <v>2010</v>
      </c>
      <c r="M757" s="6" t="s">
        <v>8402</v>
      </c>
      <c r="N757" s="7"/>
      <c r="O757" s="6" t="s">
        <v>8403</v>
      </c>
      <c r="P757" s="6" t="s">
        <v>8404</v>
      </c>
      <c r="Q757" s="6" t="s">
        <v>8405</v>
      </c>
      <c r="R757" s="6" t="s">
        <v>257</v>
      </c>
      <c r="S757" s="6" t="s">
        <v>147</v>
      </c>
      <c r="T757" s="6" t="s">
        <v>250</v>
      </c>
      <c r="U757" s="6" t="s">
        <v>686</v>
      </c>
      <c r="V757" s="6" t="s">
        <v>246</v>
      </c>
      <c r="W757" s="6" t="s">
        <v>158</v>
      </c>
      <c r="X757" s="6" t="s">
        <v>257</v>
      </c>
      <c r="Y757" s="6" t="s">
        <v>162</v>
      </c>
      <c r="Z757" s="6" t="s">
        <v>165</v>
      </c>
      <c r="AA757" s="6" t="s">
        <v>262</v>
      </c>
      <c r="AB757" s="6" t="s">
        <v>171</v>
      </c>
      <c r="AC757" s="6" t="s">
        <v>174</v>
      </c>
      <c r="AD757" s="6" t="s">
        <v>175</v>
      </c>
      <c r="AE757" s="6" t="s">
        <v>271</v>
      </c>
      <c r="AF757" s="6" t="s">
        <v>181</v>
      </c>
      <c r="AG757" s="6" t="s">
        <v>182</v>
      </c>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row>
    <row r="758" ht="22.5" customHeight="1">
      <c r="A758" s="4">
        <v>46229.70084204861</v>
      </c>
      <c r="B758" s="5">
        <v>0.0</v>
      </c>
      <c r="C758" s="6" t="s">
        <v>114</v>
      </c>
      <c r="D758" s="6" t="s">
        <v>1688</v>
      </c>
      <c r="E758" s="6" t="s">
        <v>1689</v>
      </c>
      <c r="F758" s="6">
        <v>6.9070500298E10</v>
      </c>
      <c r="G758" s="6" t="s">
        <v>599</v>
      </c>
      <c r="H758" s="6" t="s">
        <v>8406</v>
      </c>
      <c r="I758" s="6" t="s">
        <v>2065</v>
      </c>
      <c r="J758" s="6" t="s">
        <v>8407</v>
      </c>
      <c r="K758" s="6" t="s">
        <v>5004</v>
      </c>
      <c r="L758" s="6" t="s">
        <v>5017</v>
      </c>
      <c r="M758" s="6" t="s">
        <v>5746</v>
      </c>
      <c r="N758" s="7"/>
      <c r="O758" s="6" t="s">
        <v>8408</v>
      </c>
      <c r="P758" s="6" t="s">
        <v>8409</v>
      </c>
      <c r="Q758" s="6" t="s">
        <v>8410</v>
      </c>
      <c r="R758" s="6" t="s">
        <v>246</v>
      </c>
      <c r="S758" s="6" t="s">
        <v>147</v>
      </c>
      <c r="T758" s="6" t="s">
        <v>149</v>
      </c>
      <c r="U758" s="6" t="s">
        <v>152</v>
      </c>
      <c r="V758" s="6" t="s">
        <v>246</v>
      </c>
      <c r="W758" s="6" t="s">
        <v>158</v>
      </c>
      <c r="X758" s="6" t="s">
        <v>257</v>
      </c>
      <c r="Y758" s="6" t="s">
        <v>162</v>
      </c>
      <c r="Z758" s="6" t="s">
        <v>165</v>
      </c>
      <c r="AA758" s="6" t="s">
        <v>262</v>
      </c>
      <c r="AB758" s="6" t="s">
        <v>521</v>
      </c>
      <c r="AC758" s="6" t="s">
        <v>174</v>
      </c>
      <c r="AD758" s="6" t="s">
        <v>175</v>
      </c>
      <c r="AE758" s="6" t="s">
        <v>271</v>
      </c>
      <c r="AF758" s="6" t="s">
        <v>181</v>
      </c>
      <c r="AG758" s="6" t="s">
        <v>182</v>
      </c>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row>
    <row r="759" ht="22.5" customHeight="1">
      <c r="A759" s="4">
        <v>46229.70084351852</v>
      </c>
      <c r="B759" s="5">
        <v>0.0</v>
      </c>
      <c r="C759" s="6" t="s">
        <v>3296</v>
      </c>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6" t="s">
        <v>2714</v>
      </c>
      <c r="AI759" s="6" t="s">
        <v>2715</v>
      </c>
      <c r="AJ759" s="6">
        <v>6.9070503463E10</v>
      </c>
      <c r="AK759" s="6" t="s">
        <v>3297</v>
      </c>
      <c r="AL759" s="6" t="s">
        <v>8411</v>
      </c>
      <c r="AM759" s="6" t="s">
        <v>8164</v>
      </c>
      <c r="AN759" s="6" t="s">
        <v>8165</v>
      </c>
      <c r="AO759" s="6" t="s">
        <v>8412</v>
      </c>
      <c r="AP759" s="6" t="s">
        <v>8167</v>
      </c>
      <c r="AQ759" s="6" t="s">
        <v>8168</v>
      </c>
      <c r="AR759" s="7"/>
      <c r="AS759" s="6" t="s">
        <v>8413</v>
      </c>
      <c r="AT759" s="6" t="s">
        <v>8414</v>
      </c>
      <c r="AU759" s="6" t="s">
        <v>8415</v>
      </c>
      <c r="AV759" s="6" t="s">
        <v>3306</v>
      </c>
      <c r="AW759" s="6" t="s">
        <v>3307</v>
      </c>
      <c r="AX759" s="6" t="s">
        <v>3308</v>
      </c>
      <c r="AY759" s="6" t="s">
        <v>4067</v>
      </c>
      <c r="AZ759" s="6" t="s">
        <v>3306</v>
      </c>
      <c r="BA759" s="6" t="s">
        <v>3311</v>
      </c>
      <c r="BB759" s="6" t="s">
        <v>6098</v>
      </c>
      <c r="BC759" s="6" t="s">
        <v>3313</v>
      </c>
      <c r="BD759" s="6" t="s">
        <v>165</v>
      </c>
      <c r="BE759" s="6" t="s">
        <v>4341</v>
      </c>
      <c r="BF759" s="6" t="s">
        <v>3315</v>
      </c>
      <c r="BG759" s="6" t="s">
        <v>4068</v>
      </c>
      <c r="BH759" s="6" t="s">
        <v>3317</v>
      </c>
      <c r="BI759" s="6" t="s">
        <v>271</v>
      </c>
      <c r="BJ759" s="6" t="s">
        <v>3318</v>
      </c>
      <c r="BK759" s="6" t="s">
        <v>3319</v>
      </c>
    </row>
    <row r="760" ht="22.5" customHeight="1">
      <c r="A760" s="4">
        <v>46229.700854386574</v>
      </c>
      <c r="B760" s="5">
        <v>0.0</v>
      </c>
      <c r="C760" s="6" t="s">
        <v>3296</v>
      </c>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6" t="s">
        <v>2716</v>
      </c>
      <c r="AI760" s="6" t="s">
        <v>2717</v>
      </c>
      <c r="AJ760" s="6">
        <v>6.9070503423E10</v>
      </c>
      <c r="AK760" s="6" t="s">
        <v>3297</v>
      </c>
      <c r="AL760" s="7"/>
      <c r="AM760" s="6" t="s">
        <v>7045</v>
      </c>
      <c r="AN760" s="6" t="s">
        <v>5552</v>
      </c>
      <c r="AO760" s="6" t="s">
        <v>5584</v>
      </c>
      <c r="AP760" s="6" t="s">
        <v>6794</v>
      </c>
      <c r="AQ760" s="6" t="s">
        <v>5402</v>
      </c>
      <c r="AR760" s="7"/>
      <c r="AS760" s="6" t="s">
        <v>8416</v>
      </c>
      <c r="AT760" s="6" t="s">
        <v>8417</v>
      </c>
      <c r="AU760" s="6" t="s">
        <v>8418</v>
      </c>
      <c r="AV760" s="6" t="s">
        <v>3312</v>
      </c>
      <c r="AW760" s="6" t="s">
        <v>3307</v>
      </c>
      <c r="AX760" s="6" t="s">
        <v>3887</v>
      </c>
      <c r="AY760" s="6" t="s">
        <v>804</v>
      </c>
      <c r="AZ760" s="6" t="s">
        <v>3306</v>
      </c>
      <c r="BA760" s="6" t="s">
        <v>3311</v>
      </c>
      <c r="BB760" s="6" t="s">
        <v>3312</v>
      </c>
      <c r="BC760" s="6" t="s">
        <v>3313</v>
      </c>
      <c r="BD760" s="6" t="s">
        <v>165</v>
      </c>
      <c r="BE760" s="6" t="s">
        <v>3314</v>
      </c>
      <c r="BF760" s="6" t="s">
        <v>3315</v>
      </c>
      <c r="BG760" s="6" t="s">
        <v>4342</v>
      </c>
      <c r="BH760" s="6" t="s">
        <v>3317</v>
      </c>
      <c r="BI760" s="6" t="s">
        <v>271</v>
      </c>
      <c r="BJ760" s="6" t="s">
        <v>3318</v>
      </c>
      <c r="BK760" s="6" t="s">
        <v>3319</v>
      </c>
    </row>
    <row r="761" ht="22.5" customHeight="1">
      <c r="A761" s="4">
        <v>46229.70085918982</v>
      </c>
      <c r="B761" s="5">
        <v>0.0</v>
      </c>
      <c r="C761" s="6" t="s">
        <v>114</v>
      </c>
      <c r="D761" s="6" t="s">
        <v>871</v>
      </c>
      <c r="E761" s="6" t="s">
        <v>1690</v>
      </c>
      <c r="F761" s="6">
        <v>6.907050824E10</v>
      </c>
      <c r="G761" s="6" t="s">
        <v>730</v>
      </c>
      <c r="H761" s="6" t="s">
        <v>8419</v>
      </c>
      <c r="I761" s="6" t="s">
        <v>8420</v>
      </c>
      <c r="J761" s="6" t="s">
        <v>8421</v>
      </c>
      <c r="K761" s="6" t="s">
        <v>8422</v>
      </c>
      <c r="L761" s="6" t="s">
        <v>8423</v>
      </c>
      <c r="M761" s="6" t="s">
        <v>8424</v>
      </c>
      <c r="N761" s="6" t="s">
        <v>2633</v>
      </c>
      <c r="O761" s="6" t="s">
        <v>8425</v>
      </c>
      <c r="P761" s="6" t="s">
        <v>8426</v>
      </c>
      <c r="Q761" s="6" t="s">
        <v>8427</v>
      </c>
      <c r="R761" s="6" t="s">
        <v>246</v>
      </c>
      <c r="S761" s="6" t="s">
        <v>147</v>
      </c>
      <c r="T761" s="6" t="s">
        <v>250</v>
      </c>
      <c r="U761" s="6" t="s">
        <v>560</v>
      </c>
      <c r="V761" s="6" t="s">
        <v>246</v>
      </c>
      <c r="W761" s="6" t="s">
        <v>158</v>
      </c>
      <c r="X761" s="6" t="s">
        <v>257</v>
      </c>
      <c r="Y761" s="6" t="s">
        <v>162</v>
      </c>
      <c r="Z761" s="6" t="s">
        <v>165</v>
      </c>
      <c r="AA761" s="6" t="s">
        <v>2307</v>
      </c>
      <c r="AB761" s="6" t="s">
        <v>1266</v>
      </c>
      <c r="AC761" s="6" t="s">
        <v>174</v>
      </c>
      <c r="AD761" s="6" t="s">
        <v>175</v>
      </c>
      <c r="AE761" s="6" t="s">
        <v>271</v>
      </c>
      <c r="AF761" s="6" t="s">
        <v>181</v>
      </c>
      <c r="AG761" s="6" t="s">
        <v>182</v>
      </c>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row>
    <row r="762" ht="22.5" customHeight="1">
      <c r="A762" s="4">
        <v>46229.70086295139</v>
      </c>
      <c r="B762" s="5">
        <v>0.0</v>
      </c>
      <c r="C762" s="6" t="s">
        <v>114</v>
      </c>
      <c r="D762" s="6" t="s">
        <v>1691</v>
      </c>
      <c r="E762" s="6" t="s">
        <v>1692</v>
      </c>
      <c r="F762" s="6">
        <v>6.9070502223E10</v>
      </c>
      <c r="G762" s="6" t="s">
        <v>496</v>
      </c>
      <c r="H762" s="7"/>
      <c r="I762" s="6" t="s">
        <v>8428</v>
      </c>
      <c r="J762" s="6" t="s">
        <v>8429</v>
      </c>
      <c r="K762" s="6" t="s">
        <v>8430</v>
      </c>
      <c r="L762" s="6" t="s">
        <v>8431</v>
      </c>
      <c r="M762" s="6" t="s">
        <v>8432</v>
      </c>
      <c r="N762" s="7"/>
      <c r="O762" s="6" t="s">
        <v>8433</v>
      </c>
      <c r="P762" s="6" t="s">
        <v>8434</v>
      </c>
      <c r="Q762" s="6" t="s">
        <v>8435</v>
      </c>
      <c r="R762" s="6" t="s">
        <v>861</v>
      </c>
      <c r="S762" s="6" t="s">
        <v>147</v>
      </c>
      <c r="T762" s="6" t="s">
        <v>250</v>
      </c>
      <c r="U762" s="6" t="s">
        <v>252</v>
      </c>
      <c r="V762" s="6" t="s">
        <v>246</v>
      </c>
      <c r="W762" s="6" t="s">
        <v>158</v>
      </c>
      <c r="X762" s="6" t="s">
        <v>458</v>
      </c>
      <c r="Y762" s="6" t="s">
        <v>162</v>
      </c>
      <c r="Z762" s="6" t="s">
        <v>165</v>
      </c>
      <c r="AA762" s="6" t="s">
        <v>262</v>
      </c>
      <c r="AB762" s="6" t="s">
        <v>171</v>
      </c>
      <c r="AC762" s="6" t="s">
        <v>174</v>
      </c>
      <c r="AD762" s="6" t="s">
        <v>175</v>
      </c>
      <c r="AE762" s="6" t="s">
        <v>271</v>
      </c>
      <c r="AF762" s="6" t="s">
        <v>181</v>
      </c>
      <c r="AG762" s="6" t="s">
        <v>182</v>
      </c>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row>
    <row r="763" ht="22.5" customHeight="1">
      <c r="A763" s="4">
        <v>46229.70086491898</v>
      </c>
      <c r="B763" s="5">
        <v>0.0</v>
      </c>
      <c r="C763" s="6" t="s">
        <v>114</v>
      </c>
      <c r="D763" s="6" t="s">
        <v>1693</v>
      </c>
      <c r="E763" s="6" t="s">
        <v>1694</v>
      </c>
      <c r="F763" s="6">
        <v>6.9070501269E10</v>
      </c>
      <c r="G763" s="6" t="s">
        <v>228</v>
      </c>
      <c r="H763" s="7"/>
      <c r="I763" s="6" t="s">
        <v>8436</v>
      </c>
      <c r="J763" s="6" t="s">
        <v>8437</v>
      </c>
      <c r="K763" s="6" t="s">
        <v>8438</v>
      </c>
      <c r="L763" s="6" t="s">
        <v>8439</v>
      </c>
      <c r="M763" s="6" t="s">
        <v>8440</v>
      </c>
      <c r="N763" s="7"/>
      <c r="O763" s="6" t="s">
        <v>8441</v>
      </c>
      <c r="P763" s="6" t="s">
        <v>8442</v>
      </c>
      <c r="Q763" s="6" t="s">
        <v>8443</v>
      </c>
      <c r="R763" s="6" t="s">
        <v>246</v>
      </c>
      <c r="S763" s="6" t="s">
        <v>147</v>
      </c>
      <c r="T763" s="6" t="s">
        <v>250</v>
      </c>
      <c r="U763" s="6" t="s">
        <v>2254</v>
      </c>
      <c r="V763" s="6" t="s">
        <v>246</v>
      </c>
      <c r="W763" s="6" t="s">
        <v>158</v>
      </c>
      <c r="X763" s="6" t="s">
        <v>257</v>
      </c>
      <c r="Y763" s="6" t="s">
        <v>162</v>
      </c>
      <c r="Z763" s="6" t="s">
        <v>165</v>
      </c>
      <c r="AA763" s="6" t="s">
        <v>262</v>
      </c>
      <c r="AB763" s="6" t="s">
        <v>171</v>
      </c>
      <c r="AC763" s="6" t="s">
        <v>174</v>
      </c>
      <c r="AD763" s="6" t="s">
        <v>175</v>
      </c>
      <c r="AE763" s="6" t="s">
        <v>178</v>
      </c>
      <c r="AF763" s="6" t="s">
        <v>181</v>
      </c>
      <c r="AG763" s="6" t="s">
        <v>182</v>
      </c>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row>
    <row r="764" ht="22.5" customHeight="1">
      <c r="A764" s="4">
        <v>46229.700880648146</v>
      </c>
      <c r="B764" s="5">
        <v>0.0</v>
      </c>
      <c r="C764" s="6" t="s">
        <v>114</v>
      </c>
      <c r="D764" s="6" t="s">
        <v>338</v>
      </c>
      <c r="E764" s="6" t="s">
        <v>1695</v>
      </c>
      <c r="F764" s="6">
        <v>6.9070501221E10</v>
      </c>
      <c r="G764" s="6" t="s">
        <v>228</v>
      </c>
      <c r="H764" s="7"/>
      <c r="I764" s="6" t="s">
        <v>8444</v>
      </c>
      <c r="J764" s="6" t="s">
        <v>8445</v>
      </c>
      <c r="K764" s="6" t="s">
        <v>8446</v>
      </c>
      <c r="L764" s="6" t="s">
        <v>8447</v>
      </c>
      <c r="M764" s="6" t="s">
        <v>8448</v>
      </c>
      <c r="N764" s="7"/>
      <c r="O764" s="6" t="s">
        <v>8449</v>
      </c>
      <c r="P764" s="6" t="s">
        <v>8450</v>
      </c>
      <c r="Q764" s="6" t="s">
        <v>8451</v>
      </c>
      <c r="R764" s="6" t="s">
        <v>246</v>
      </c>
      <c r="S764" s="6" t="s">
        <v>147</v>
      </c>
      <c r="T764" s="6" t="s">
        <v>250</v>
      </c>
      <c r="U764" s="6" t="s">
        <v>2254</v>
      </c>
      <c r="V764" s="6" t="s">
        <v>246</v>
      </c>
      <c r="W764" s="6" t="s">
        <v>158</v>
      </c>
      <c r="X764" s="6" t="s">
        <v>161</v>
      </c>
      <c r="Y764" s="6" t="s">
        <v>162</v>
      </c>
      <c r="Z764" s="6" t="s">
        <v>165</v>
      </c>
      <c r="AA764" s="6" t="s">
        <v>262</v>
      </c>
      <c r="AB764" s="6" t="s">
        <v>171</v>
      </c>
      <c r="AC764" s="6" t="s">
        <v>174</v>
      </c>
      <c r="AD764" s="6" t="s">
        <v>175</v>
      </c>
      <c r="AE764" s="6" t="s">
        <v>271</v>
      </c>
      <c r="AF764" s="6" t="s">
        <v>181</v>
      </c>
      <c r="AG764" s="6" t="s">
        <v>182</v>
      </c>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row>
    <row r="765" ht="22.5" customHeight="1">
      <c r="A765" s="4">
        <v>46229.70088395833</v>
      </c>
      <c r="B765" s="5">
        <v>0.0</v>
      </c>
      <c r="C765" s="6" t="s">
        <v>3296</v>
      </c>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6" t="s">
        <v>2719</v>
      </c>
      <c r="AI765" s="6" t="s">
        <v>2720</v>
      </c>
      <c r="AJ765" s="6">
        <v>6.9070507842E10</v>
      </c>
      <c r="AK765" s="6" t="s">
        <v>5236</v>
      </c>
      <c r="AL765" s="7"/>
      <c r="AM765" s="6" t="s">
        <v>8136</v>
      </c>
      <c r="AN765" s="6" t="s">
        <v>8452</v>
      </c>
      <c r="AO765" s="6" t="s">
        <v>8138</v>
      </c>
      <c r="AP765" s="6" t="s">
        <v>8453</v>
      </c>
      <c r="AQ765" s="6" t="s">
        <v>8137</v>
      </c>
      <c r="AR765" s="7"/>
      <c r="AS765" s="6" t="s">
        <v>8454</v>
      </c>
      <c r="AT765" s="6" t="s">
        <v>8455</v>
      </c>
      <c r="AU765" s="6" t="s">
        <v>8456</v>
      </c>
      <c r="AV765" s="6" t="s">
        <v>3306</v>
      </c>
      <c r="AW765" s="6" t="s">
        <v>3307</v>
      </c>
      <c r="AX765" s="6" t="s">
        <v>3887</v>
      </c>
      <c r="AY765" s="6" t="s">
        <v>3309</v>
      </c>
      <c r="AZ765" s="6" t="s">
        <v>3310</v>
      </c>
      <c r="BA765" s="6" t="s">
        <v>3311</v>
      </c>
      <c r="BB765" s="6" t="s">
        <v>3312</v>
      </c>
      <c r="BC765" s="6" t="s">
        <v>3313</v>
      </c>
      <c r="BD765" s="6" t="s">
        <v>165</v>
      </c>
      <c r="BE765" s="6" t="s">
        <v>3888</v>
      </c>
      <c r="BF765" s="6" t="s">
        <v>3315</v>
      </c>
      <c r="BG765" s="6" t="s">
        <v>4068</v>
      </c>
      <c r="BH765" s="6" t="s">
        <v>3317</v>
      </c>
      <c r="BI765" s="6" t="s">
        <v>271</v>
      </c>
      <c r="BJ765" s="6" t="s">
        <v>3318</v>
      </c>
      <c r="BK765" s="6" t="s">
        <v>4695</v>
      </c>
    </row>
    <row r="766" ht="22.5" customHeight="1">
      <c r="A766" s="4">
        <v>46229.700887893516</v>
      </c>
      <c r="B766" s="5">
        <v>0.0</v>
      </c>
      <c r="C766" s="6" t="s">
        <v>114</v>
      </c>
      <c r="D766" s="6" t="s">
        <v>1696</v>
      </c>
      <c r="E766" s="6" t="s">
        <v>1697</v>
      </c>
      <c r="F766" s="6">
        <v>6.9070500218E10</v>
      </c>
      <c r="G766" s="6" t="s">
        <v>599</v>
      </c>
      <c r="H766" s="7"/>
      <c r="I766" s="6" t="s">
        <v>8457</v>
      </c>
      <c r="J766" s="6" t="s">
        <v>8458</v>
      </c>
      <c r="K766" s="6" t="s">
        <v>8459</v>
      </c>
      <c r="L766" s="6" t="s">
        <v>8460</v>
      </c>
      <c r="M766" s="6" t="s">
        <v>3324</v>
      </c>
      <c r="N766" s="7"/>
      <c r="O766" s="6" t="s">
        <v>8461</v>
      </c>
      <c r="P766" s="6" t="s">
        <v>8462</v>
      </c>
      <c r="Q766" s="6" t="s">
        <v>8463</v>
      </c>
      <c r="R766" s="6" t="s">
        <v>246</v>
      </c>
      <c r="S766" s="6" t="s">
        <v>147</v>
      </c>
      <c r="T766" s="6" t="s">
        <v>250</v>
      </c>
      <c r="U766" s="6" t="s">
        <v>560</v>
      </c>
      <c r="V766" s="6" t="s">
        <v>246</v>
      </c>
      <c r="W766" s="6" t="s">
        <v>158</v>
      </c>
      <c r="X766" s="6" t="s">
        <v>257</v>
      </c>
      <c r="Y766" s="6" t="s">
        <v>162</v>
      </c>
      <c r="Z766" s="6" t="s">
        <v>165</v>
      </c>
      <c r="AA766" s="6" t="s">
        <v>262</v>
      </c>
      <c r="AB766" s="6" t="s">
        <v>171</v>
      </c>
      <c r="AC766" s="6" t="s">
        <v>174</v>
      </c>
      <c r="AD766" s="6" t="s">
        <v>175</v>
      </c>
      <c r="AE766" s="6" t="s">
        <v>271</v>
      </c>
      <c r="AF766" s="6" t="s">
        <v>181</v>
      </c>
      <c r="AG766" s="6" t="s">
        <v>182</v>
      </c>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row>
    <row r="767" ht="22.5" customHeight="1">
      <c r="A767" s="4">
        <v>46229.70089100694</v>
      </c>
      <c r="B767" s="5">
        <v>0.0</v>
      </c>
      <c r="C767" s="6" t="s">
        <v>114</v>
      </c>
      <c r="D767" s="6" t="s">
        <v>1698</v>
      </c>
      <c r="E767" s="6" t="s">
        <v>1699</v>
      </c>
      <c r="F767" s="6">
        <v>6.9070505202E10</v>
      </c>
      <c r="G767" s="6" t="s">
        <v>1470</v>
      </c>
      <c r="H767" s="7"/>
      <c r="I767" s="6" t="s">
        <v>8464</v>
      </c>
      <c r="J767" s="6" t="s">
        <v>8465</v>
      </c>
      <c r="K767" s="6" t="s">
        <v>8466</v>
      </c>
      <c r="L767" s="6" t="s">
        <v>8467</v>
      </c>
      <c r="M767" s="6" t="s">
        <v>8468</v>
      </c>
      <c r="N767" s="7"/>
      <c r="O767" s="6" t="s">
        <v>8469</v>
      </c>
      <c r="P767" s="6" t="s">
        <v>8470</v>
      </c>
      <c r="Q767" s="6" t="s">
        <v>8471</v>
      </c>
      <c r="R767" s="6" t="s">
        <v>861</v>
      </c>
      <c r="S767" s="6" t="s">
        <v>147</v>
      </c>
      <c r="T767" s="6" t="s">
        <v>250</v>
      </c>
      <c r="U767" s="6" t="s">
        <v>252</v>
      </c>
      <c r="V767" s="6" t="s">
        <v>246</v>
      </c>
      <c r="W767" s="6" t="s">
        <v>158</v>
      </c>
      <c r="X767" s="6" t="s">
        <v>458</v>
      </c>
      <c r="Y767" s="6" t="s">
        <v>162</v>
      </c>
      <c r="Z767" s="6" t="s">
        <v>165</v>
      </c>
      <c r="AA767" s="6" t="s">
        <v>262</v>
      </c>
      <c r="AB767" s="6" t="s">
        <v>171</v>
      </c>
      <c r="AC767" s="6" t="s">
        <v>2718</v>
      </c>
      <c r="AD767" s="6" t="s">
        <v>175</v>
      </c>
      <c r="AE767" s="6" t="s">
        <v>271</v>
      </c>
      <c r="AF767" s="6" t="s">
        <v>181</v>
      </c>
      <c r="AG767" s="6" t="s">
        <v>182</v>
      </c>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row>
    <row r="768" ht="22.5" customHeight="1">
      <c r="A768" s="4">
        <v>46229.70089180555</v>
      </c>
      <c r="B768" s="5">
        <v>0.0</v>
      </c>
      <c r="C768" s="6" t="s">
        <v>114</v>
      </c>
      <c r="D768" s="6" t="s">
        <v>1701</v>
      </c>
      <c r="E768" s="6" t="s">
        <v>1702</v>
      </c>
      <c r="F768" s="6">
        <v>6.9070501209E10</v>
      </c>
      <c r="G768" s="6" t="s">
        <v>228</v>
      </c>
      <c r="H768" s="7"/>
      <c r="I768" s="6" t="s">
        <v>8472</v>
      </c>
      <c r="J768" s="6" t="s">
        <v>8473</v>
      </c>
      <c r="K768" s="6" t="s">
        <v>8474</v>
      </c>
      <c r="L768" s="6" t="s">
        <v>8475</v>
      </c>
      <c r="M768" s="6" t="s">
        <v>8476</v>
      </c>
      <c r="N768" s="7"/>
      <c r="O768" s="6" t="s">
        <v>8477</v>
      </c>
      <c r="P768" s="6" t="s">
        <v>8478</v>
      </c>
      <c r="Q768" s="6" t="s">
        <v>8479</v>
      </c>
      <c r="R768" s="6" t="s">
        <v>246</v>
      </c>
      <c r="S768" s="6" t="s">
        <v>147</v>
      </c>
      <c r="T768" s="6" t="s">
        <v>250</v>
      </c>
      <c r="U768" s="6" t="s">
        <v>252</v>
      </c>
      <c r="V768" s="6" t="s">
        <v>246</v>
      </c>
      <c r="W768" s="6" t="s">
        <v>158</v>
      </c>
      <c r="X768" s="6" t="s">
        <v>458</v>
      </c>
      <c r="Y768" s="6" t="s">
        <v>162</v>
      </c>
      <c r="Z768" s="6" t="s">
        <v>165</v>
      </c>
      <c r="AA768" s="6" t="s">
        <v>262</v>
      </c>
      <c r="AB768" s="6" t="s">
        <v>171</v>
      </c>
      <c r="AC768" s="6" t="s">
        <v>174</v>
      </c>
      <c r="AD768" s="6" t="s">
        <v>175</v>
      </c>
      <c r="AE768" s="6" t="s">
        <v>271</v>
      </c>
      <c r="AF768" s="6" t="s">
        <v>181</v>
      </c>
      <c r="AG768" s="6" t="s">
        <v>641</v>
      </c>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row>
    <row r="769" ht="22.5" customHeight="1">
      <c r="A769" s="4">
        <v>46229.700891817134</v>
      </c>
      <c r="B769" s="5">
        <v>0.0</v>
      </c>
      <c r="C769" s="6" t="s">
        <v>114</v>
      </c>
      <c r="D769" s="6" t="s">
        <v>558</v>
      </c>
      <c r="E769" s="6" t="s">
        <v>1706</v>
      </c>
      <c r="F769" s="6">
        <v>6.907050025E10</v>
      </c>
      <c r="G769" s="6" t="s">
        <v>599</v>
      </c>
      <c r="H769" s="6" t="s">
        <v>8480</v>
      </c>
      <c r="I769" s="6" t="s">
        <v>8481</v>
      </c>
      <c r="J769" s="6" t="s">
        <v>8482</v>
      </c>
      <c r="K769" s="6" t="s">
        <v>8483</v>
      </c>
      <c r="L769" s="6" t="s">
        <v>8484</v>
      </c>
      <c r="M769" s="6" t="s">
        <v>8485</v>
      </c>
      <c r="N769" s="6" t="s">
        <v>2633</v>
      </c>
      <c r="O769" s="6" t="s">
        <v>8486</v>
      </c>
      <c r="P769" s="6" t="s">
        <v>8487</v>
      </c>
      <c r="Q769" s="6" t="s">
        <v>8488</v>
      </c>
      <c r="R769" s="6" t="s">
        <v>246</v>
      </c>
      <c r="S769" s="6" t="s">
        <v>147</v>
      </c>
      <c r="T769" s="6" t="s">
        <v>250</v>
      </c>
      <c r="U769" s="6" t="s">
        <v>560</v>
      </c>
      <c r="V769" s="6" t="s">
        <v>246</v>
      </c>
      <c r="W769" s="6" t="s">
        <v>158</v>
      </c>
      <c r="X769" s="6" t="s">
        <v>257</v>
      </c>
      <c r="Y769" s="6" t="s">
        <v>162</v>
      </c>
      <c r="Z769" s="6" t="s">
        <v>165</v>
      </c>
      <c r="AA769" s="6" t="s">
        <v>262</v>
      </c>
      <c r="AB769" s="6" t="s">
        <v>171</v>
      </c>
      <c r="AC769" s="6" t="s">
        <v>174</v>
      </c>
      <c r="AD769" s="6" t="s">
        <v>175</v>
      </c>
      <c r="AE769" s="6" t="s">
        <v>271</v>
      </c>
      <c r="AF769" s="6" t="s">
        <v>181</v>
      </c>
      <c r="AG769" s="6" t="s">
        <v>182</v>
      </c>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row>
    <row r="770" ht="22.5" customHeight="1">
      <c r="A770" s="4">
        <v>46229.70089694444</v>
      </c>
      <c r="B770" s="5">
        <v>0.0</v>
      </c>
      <c r="C770" s="6" t="s">
        <v>114</v>
      </c>
      <c r="D770" s="6" t="s">
        <v>1708</v>
      </c>
      <c r="E770" s="6" t="s">
        <v>1709</v>
      </c>
      <c r="F770" s="6">
        <v>6.907050023E10</v>
      </c>
      <c r="G770" s="6" t="s">
        <v>599</v>
      </c>
      <c r="H770" s="7"/>
      <c r="I770" s="6" t="s">
        <v>4550</v>
      </c>
      <c r="J770" s="6" t="s">
        <v>8489</v>
      </c>
      <c r="K770" s="6" t="s">
        <v>8490</v>
      </c>
      <c r="L770" s="6" t="s">
        <v>5783</v>
      </c>
      <c r="M770" s="6" t="s">
        <v>4159</v>
      </c>
      <c r="N770" s="6" t="s">
        <v>6789</v>
      </c>
      <c r="O770" s="6" t="s">
        <v>8491</v>
      </c>
      <c r="P770" s="6" t="s">
        <v>8492</v>
      </c>
      <c r="Q770" s="6" t="s">
        <v>8493</v>
      </c>
      <c r="R770" s="6" t="s">
        <v>246</v>
      </c>
      <c r="S770" s="6" t="s">
        <v>147</v>
      </c>
      <c r="T770" s="6" t="s">
        <v>250</v>
      </c>
      <c r="U770" s="6" t="s">
        <v>560</v>
      </c>
      <c r="V770" s="6" t="s">
        <v>246</v>
      </c>
      <c r="W770" s="6" t="s">
        <v>158</v>
      </c>
      <c r="X770" s="6" t="s">
        <v>257</v>
      </c>
      <c r="Y770" s="6" t="s">
        <v>162</v>
      </c>
      <c r="Z770" s="6" t="s">
        <v>165</v>
      </c>
      <c r="AA770" s="6" t="s">
        <v>262</v>
      </c>
      <c r="AB770" s="6" t="s">
        <v>171</v>
      </c>
      <c r="AC770" s="6" t="s">
        <v>174</v>
      </c>
      <c r="AD770" s="6" t="s">
        <v>175</v>
      </c>
      <c r="AE770" s="6" t="s">
        <v>271</v>
      </c>
      <c r="AF770" s="6" t="s">
        <v>181</v>
      </c>
      <c r="AG770" s="6" t="s">
        <v>182</v>
      </c>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row>
    <row r="771" ht="22.5" customHeight="1">
      <c r="A771" s="4">
        <v>46229.7009003125</v>
      </c>
      <c r="B771" s="5">
        <v>0.0</v>
      </c>
      <c r="C771" s="6" t="s">
        <v>3296</v>
      </c>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6" t="s">
        <v>2721</v>
      </c>
      <c r="AI771" s="6" t="s">
        <v>2722</v>
      </c>
      <c r="AJ771" s="6">
        <v>6.907050929E10</v>
      </c>
      <c r="AK771" s="6" t="s">
        <v>4331</v>
      </c>
      <c r="AL771" s="7"/>
      <c r="AM771" s="6" t="s">
        <v>8494</v>
      </c>
      <c r="AN771" s="6" t="s">
        <v>6725</v>
      </c>
      <c r="AO771" s="6" t="s">
        <v>8495</v>
      </c>
      <c r="AP771" s="6" t="s">
        <v>6724</v>
      </c>
      <c r="AQ771" s="6" t="s">
        <v>6723</v>
      </c>
      <c r="AR771" s="7"/>
      <c r="AS771" s="6" t="s">
        <v>8496</v>
      </c>
      <c r="AT771" s="6" t="s">
        <v>8497</v>
      </c>
      <c r="AU771" s="6" t="s">
        <v>8498</v>
      </c>
      <c r="AV771" s="6" t="s">
        <v>3312</v>
      </c>
      <c r="AW771" s="6" t="s">
        <v>3307</v>
      </c>
      <c r="AX771" s="6" t="s">
        <v>3306</v>
      </c>
      <c r="AY771" s="6" t="s">
        <v>152</v>
      </c>
      <c r="AZ771" s="6" t="s">
        <v>3306</v>
      </c>
      <c r="BA771" s="6" t="s">
        <v>3311</v>
      </c>
      <c r="BB771" s="6" t="s">
        <v>3312</v>
      </c>
      <c r="BC771" s="6" t="s">
        <v>3313</v>
      </c>
      <c r="BD771" s="6" t="s">
        <v>152</v>
      </c>
      <c r="BE771" s="6" t="s">
        <v>3888</v>
      </c>
      <c r="BF771" s="6" t="s">
        <v>3315</v>
      </c>
      <c r="BG771" s="6" t="s">
        <v>3316</v>
      </c>
      <c r="BH771" s="6" t="s">
        <v>5246</v>
      </c>
      <c r="BI771" s="6" t="s">
        <v>1211</v>
      </c>
      <c r="BJ771" s="6" t="s">
        <v>8499</v>
      </c>
      <c r="BK771" s="6" t="s">
        <v>4695</v>
      </c>
    </row>
    <row r="772" ht="22.5" customHeight="1">
      <c r="A772" s="4">
        <v>46229.70090336805</v>
      </c>
      <c r="B772" s="5">
        <v>0.0</v>
      </c>
      <c r="C772" s="6" t="s">
        <v>114</v>
      </c>
      <c r="D772" s="6" t="s">
        <v>68</v>
      </c>
      <c r="E772" s="6" t="s">
        <v>1713</v>
      </c>
      <c r="F772" s="6">
        <v>6.9070500018E10</v>
      </c>
      <c r="G772" s="6" t="s">
        <v>4580</v>
      </c>
      <c r="H772" s="7"/>
      <c r="I772" s="6" t="s">
        <v>8500</v>
      </c>
      <c r="J772" s="6" t="s">
        <v>8501</v>
      </c>
      <c r="K772" s="6" t="s">
        <v>8502</v>
      </c>
      <c r="L772" s="6" t="s">
        <v>8503</v>
      </c>
      <c r="M772" s="6" t="s">
        <v>5552</v>
      </c>
      <c r="N772" s="7"/>
      <c r="O772" s="6" t="s">
        <v>8504</v>
      </c>
      <c r="P772" s="6" t="s">
        <v>8505</v>
      </c>
      <c r="Q772" s="6" t="s">
        <v>8506</v>
      </c>
      <c r="R772" s="6" t="s">
        <v>257</v>
      </c>
      <c r="S772" s="6" t="s">
        <v>147</v>
      </c>
      <c r="T772" s="6" t="s">
        <v>149</v>
      </c>
      <c r="U772" s="6" t="s">
        <v>686</v>
      </c>
      <c r="V772" s="6" t="s">
        <v>246</v>
      </c>
      <c r="W772" s="6" t="s">
        <v>158</v>
      </c>
      <c r="X772" s="6" t="s">
        <v>257</v>
      </c>
      <c r="Y772" s="6" t="s">
        <v>162</v>
      </c>
      <c r="Z772" s="6" t="s">
        <v>165</v>
      </c>
      <c r="AA772" s="6" t="s">
        <v>262</v>
      </c>
      <c r="AB772" s="6" t="s">
        <v>171</v>
      </c>
      <c r="AC772" s="6" t="s">
        <v>1669</v>
      </c>
      <c r="AD772" s="6" t="s">
        <v>175</v>
      </c>
      <c r="AE772" s="6" t="s">
        <v>178</v>
      </c>
      <c r="AF772" s="6" t="s">
        <v>181</v>
      </c>
      <c r="AG772" s="6" t="s">
        <v>182</v>
      </c>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row>
    <row r="773" ht="22.5" customHeight="1">
      <c r="A773" s="4">
        <v>46229.70090443287</v>
      </c>
      <c r="B773" s="5">
        <v>0.0</v>
      </c>
      <c r="C773" s="6" t="s">
        <v>114</v>
      </c>
      <c r="D773" s="6" t="s">
        <v>1714</v>
      </c>
      <c r="E773" s="6" t="s">
        <v>1715</v>
      </c>
      <c r="F773" s="6">
        <v>6.9070506475E10</v>
      </c>
      <c r="G773" s="6" t="s">
        <v>599</v>
      </c>
      <c r="H773" s="7"/>
      <c r="I773" s="6" t="s">
        <v>8507</v>
      </c>
      <c r="J773" s="6" t="s">
        <v>8508</v>
      </c>
      <c r="K773" s="6" t="s">
        <v>8509</v>
      </c>
      <c r="L773" s="6" t="s">
        <v>8510</v>
      </c>
      <c r="M773" s="6" t="s">
        <v>4006</v>
      </c>
      <c r="N773" s="7"/>
      <c r="O773" s="6" t="s">
        <v>8511</v>
      </c>
      <c r="P773" s="6" t="s">
        <v>8512</v>
      </c>
      <c r="Q773" s="6" t="s">
        <v>8513</v>
      </c>
      <c r="R773" s="6" t="s">
        <v>257</v>
      </c>
      <c r="S773" s="6" t="s">
        <v>147</v>
      </c>
      <c r="T773" s="6" t="s">
        <v>250</v>
      </c>
      <c r="U773" s="6" t="s">
        <v>252</v>
      </c>
      <c r="V773" s="6" t="s">
        <v>458</v>
      </c>
      <c r="W773" s="6" t="s">
        <v>158</v>
      </c>
      <c r="X773" s="6" t="s">
        <v>246</v>
      </c>
      <c r="Y773" s="6" t="s">
        <v>162</v>
      </c>
      <c r="Z773" s="6" t="s">
        <v>165</v>
      </c>
      <c r="AA773" s="6" t="s">
        <v>262</v>
      </c>
      <c r="AB773" s="6" t="s">
        <v>171</v>
      </c>
      <c r="AC773" s="6" t="s">
        <v>174</v>
      </c>
      <c r="AD773" s="6" t="s">
        <v>175</v>
      </c>
      <c r="AE773" s="6" t="s">
        <v>524</v>
      </c>
      <c r="AF773" s="6" t="s">
        <v>181</v>
      </c>
      <c r="AG773" s="6" t="s">
        <v>182</v>
      </c>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row>
    <row r="774" ht="22.5" customHeight="1">
      <c r="A774" s="4">
        <v>46229.700909583335</v>
      </c>
      <c r="B774" s="5">
        <v>0.0</v>
      </c>
      <c r="C774" s="6" t="s">
        <v>114</v>
      </c>
      <c r="D774" s="6" t="s">
        <v>1716</v>
      </c>
      <c r="E774" s="6" t="s">
        <v>1717</v>
      </c>
      <c r="F774" s="6">
        <v>6.9070501845E10</v>
      </c>
      <c r="G774" s="6" t="s">
        <v>730</v>
      </c>
      <c r="H774" s="7"/>
      <c r="I774" s="6" t="s">
        <v>8514</v>
      </c>
      <c r="J774" s="6" t="s">
        <v>8515</v>
      </c>
      <c r="K774" s="6" t="s">
        <v>8516</v>
      </c>
      <c r="L774" s="6" t="s">
        <v>8517</v>
      </c>
      <c r="M774" s="6" t="s">
        <v>8518</v>
      </c>
      <c r="N774" s="6" t="s">
        <v>8519</v>
      </c>
      <c r="O774" s="6" t="s">
        <v>8520</v>
      </c>
      <c r="P774" s="6" t="s">
        <v>8521</v>
      </c>
      <c r="Q774" s="6" t="s">
        <v>8522</v>
      </c>
      <c r="R774" s="6" t="s">
        <v>246</v>
      </c>
      <c r="S774" s="6" t="s">
        <v>147</v>
      </c>
      <c r="T774" s="6" t="s">
        <v>250</v>
      </c>
      <c r="U774" s="6" t="s">
        <v>152</v>
      </c>
      <c r="V774" s="6" t="s">
        <v>246</v>
      </c>
      <c r="W774" s="6" t="s">
        <v>158</v>
      </c>
      <c r="X774" s="6" t="s">
        <v>257</v>
      </c>
      <c r="Y774" s="6" t="s">
        <v>162</v>
      </c>
      <c r="Z774" s="6" t="s">
        <v>165</v>
      </c>
      <c r="AA774" s="6" t="s">
        <v>262</v>
      </c>
      <c r="AB774" s="6" t="s">
        <v>171</v>
      </c>
      <c r="AC774" s="6" t="s">
        <v>174</v>
      </c>
      <c r="AD774" s="6" t="s">
        <v>175</v>
      </c>
      <c r="AE774" s="6" t="s">
        <v>271</v>
      </c>
      <c r="AF774" s="6" t="s">
        <v>181</v>
      </c>
      <c r="AG774" s="6" t="s">
        <v>182</v>
      </c>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row>
    <row r="775" ht="22.5" customHeight="1">
      <c r="A775" s="4">
        <v>46229.70091165509</v>
      </c>
      <c r="B775" s="5">
        <v>0.0</v>
      </c>
      <c r="C775" s="6" t="s">
        <v>114</v>
      </c>
      <c r="D775" s="6" t="s">
        <v>1718</v>
      </c>
      <c r="E775" s="6" t="s">
        <v>1719</v>
      </c>
      <c r="F775" s="6">
        <v>6.9070501828E10</v>
      </c>
      <c r="G775" s="6" t="s">
        <v>730</v>
      </c>
      <c r="H775" s="7"/>
      <c r="I775" s="6" t="s">
        <v>8031</v>
      </c>
      <c r="J775" s="6" t="s">
        <v>8523</v>
      </c>
      <c r="K775" s="6" t="s">
        <v>8524</v>
      </c>
      <c r="L775" s="6" t="s">
        <v>8525</v>
      </c>
      <c r="M775" s="6" t="s">
        <v>6024</v>
      </c>
      <c r="N775" s="6" t="s">
        <v>8526</v>
      </c>
      <c r="O775" s="6" t="s">
        <v>8527</v>
      </c>
      <c r="P775" s="6" t="s">
        <v>8528</v>
      </c>
      <c r="Q775" s="6" t="s">
        <v>8529</v>
      </c>
      <c r="R775" s="6" t="s">
        <v>246</v>
      </c>
      <c r="S775" s="6" t="s">
        <v>147</v>
      </c>
      <c r="T775" s="6" t="s">
        <v>250</v>
      </c>
      <c r="U775" s="6" t="s">
        <v>152</v>
      </c>
      <c r="V775" s="6" t="s">
        <v>246</v>
      </c>
      <c r="W775" s="6" t="s">
        <v>158</v>
      </c>
      <c r="X775" s="6" t="s">
        <v>257</v>
      </c>
      <c r="Y775" s="6" t="s">
        <v>162</v>
      </c>
      <c r="Z775" s="6" t="s">
        <v>165</v>
      </c>
      <c r="AA775" s="6" t="s">
        <v>262</v>
      </c>
      <c r="AB775" s="6" t="s">
        <v>1266</v>
      </c>
      <c r="AC775" s="6" t="s">
        <v>174</v>
      </c>
      <c r="AD775" s="6" t="s">
        <v>175</v>
      </c>
      <c r="AE775" s="6" t="s">
        <v>271</v>
      </c>
      <c r="AF775" s="6" t="s">
        <v>181</v>
      </c>
      <c r="AG775" s="6" t="s">
        <v>182</v>
      </c>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row>
    <row r="776" ht="22.5" customHeight="1">
      <c r="A776" s="4">
        <v>46229.70091480324</v>
      </c>
      <c r="B776" s="5">
        <v>0.0</v>
      </c>
      <c r="C776" s="6" t="s">
        <v>3296</v>
      </c>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6" t="s">
        <v>2723</v>
      </c>
      <c r="AI776" s="6" t="s">
        <v>2724</v>
      </c>
      <c r="AJ776" s="6">
        <v>6.9070503436E10</v>
      </c>
      <c r="AK776" s="6" t="s">
        <v>3297</v>
      </c>
      <c r="AL776" s="7"/>
      <c r="AM776" s="6" t="s">
        <v>8530</v>
      </c>
      <c r="AN776" s="6" t="s">
        <v>8531</v>
      </c>
      <c r="AO776" s="6" t="s">
        <v>8532</v>
      </c>
      <c r="AP776" s="6" t="s">
        <v>8533</v>
      </c>
      <c r="AQ776" s="6" t="s">
        <v>8534</v>
      </c>
      <c r="AR776" s="7"/>
      <c r="AS776" s="6" t="s">
        <v>8535</v>
      </c>
      <c r="AT776" s="6" t="s">
        <v>8536</v>
      </c>
      <c r="AU776" s="6" t="s">
        <v>8537</v>
      </c>
      <c r="AV776" s="6" t="s">
        <v>3306</v>
      </c>
      <c r="AW776" s="6" t="s">
        <v>3307</v>
      </c>
      <c r="AX776" s="6" t="s">
        <v>3887</v>
      </c>
      <c r="AY776" s="6" t="s">
        <v>3309</v>
      </c>
      <c r="AZ776" s="6" t="s">
        <v>3306</v>
      </c>
      <c r="BA776" s="6" t="s">
        <v>7430</v>
      </c>
      <c r="BB776" s="6" t="s">
        <v>6098</v>
      </c>
      <c r="BC776" s="6" t="s">
        <v>7431</v>
      </c>
      <c r="BD776" s="6" t="s">
        <v>165</v>
      </c>
      <c r="BE776" s="6" t="s">
        <v>4341</v>
      </c>
      <c r="BF776" s="6" t="s">
        <v>3315</v>
      </c>
      <c r="BG776" s="6" t="s">
        <v>4068</v>
      </c>
      <c r="BH776" s="6" t="s">
        <v>3317</v>
      </c>
      <c r="BI776" s="6" t="s">
        <v>271</v>
      </c>
      <c r="BJ776" s="6" t="s">
        <v>3318</v>
      </c>
      <c r="BK776" s="6" t="s">
        <v>3319</v>
      </c>
    </row>
    <row r="777" ht="22.5" customHeight="1">
      <c r="A777" s="4">
        <v>46229.70091752315</v>
      </c>
      <c r="B777" s="5">
        <v>0.0</v>
      </c>
      <c r="C777" s="6" t="s">
        <v>114</v>
      </c>
      <c r="D777" s="6" t="s">
        <v>600</v>
      </c>
      <c r="E777" s="6" t="s">
        <v>1720</v>
      </c>
      <c r="F777" s="6">
        <v>6.9070506411E10</v>
      </c>
      <c r="G777" s="6" t="s">
        <v>599</v>
      </c>
      <c r="H777" s="7"/>
      <c r="I777" s="6" t="s">
        <v>8538</v>
      </c>
      <c r="J777" s="6" t="s">
        <v>1910</v>
      </c>
      <c r="K777" s="6" t="s">
        <v>1907</v>
      </c>
      <c r="L777" s="6" t="s">
        <v>8539</v>
      </c>
      <c r="M777" s="6" t="s">
        <v>8540</v>
      </c>
      <c r="N777" s="7"/>
      <c r="O777" s="6" t="s">
        <v>8541</v>
      </c>
      <c r="P777" s="6" t="s">
        <v>8542</v>
      </c>
      <c r="Q777" s="6" t="s">
        <v>8543</v>
      </c>
      <c r="R777" s="6" t="s">
        <v>246</v>
      </c>
      <c r="S777" s="6" t="s">
        <v>147</v>
      </c>
      <c r="T777" s="6" t="s">
        <v>250</v>
      </c>
      <c r="U777" s="6" t="s">
        <v>560</v>
      </c>
      <c r="V777" s="6" t="s">
        <v>246</v>
      </c>
      <c r="W777" s="6" t="s">
        <v>158</v>
      </c>
      <c r="X777" s="6" t="s">
        <v>257</v>
      </c>
      <c r="Y777" s="6" t="s">
        <v>162</v>
      </c>
      <c r="Z777" s="6" t="s">
        <v>165</v>
      </c>
      <c r="AA777" s="6" t="s">
        <v>262</v>
      </c>
      <c r="AB777" s="6" t="s">
        <v>1266</v>
      </c>
      <c r="AC777" s="6" t="s">
        <v>174</v>
      </c>
      <c r="AD777" s="6" t="s">
        <v>175</v>
      </c>
      <c r="AE777" s="6" t="s">
        <v>271</v>
      </c>
      <c r="AF777" s="6" t="s">
        <v>181</v>
      </c>
      <c r="AG777" s="6" t="s">
        <v>182</v>
      </c>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row>
    <row r="778" ht="22.5" customHeight="1">
      <c r="A778" s="4">
        <v>46229.70091866898</v>
      </c>
      <c r="B778" s="5">
        <v>0.0</v>
      </c>
      <c r="C778" s="6" t="s">
        <v>114</v>
      </c>
      <c r="D778" s="6" t="s">
        <v>1721</v>
      </c>
      <c r="E778" s="6" t="s">
        <v>1722</v>
      </c>
      <c r="F778" s="6">
        <v>6.9070509423E10</v>
      </c>
      <c r="G778" s="6" t="s">
        <v>122</v>
      </c>
      <c r="H778" s="7"/>
      <c r="I778" s="6" t="s">
        <v>8544</v>
      </c>
      <c r="J778" s="6" t="s">
        <v>8545</v>
      </c>
      <c r="K778" s="6" t="s">
        <v>8546</v>
      </c>
      <c r="L778" s="6" t="s">
        <v>8547</v>
      </c>
      <c r="M778" s="6" t="s">
        <v>8548</v>
      </c>
      <c r="N778" s="7"/>
      <c r="O778" s="6" t="s">
        <v>8549</v>
      </c>
      <c r="P778" s="6" t="s">
        <v>8550</v>
      </c>
      <c r="Q778" s="6" t="s">
        <v>8551</v>
      </c>
      <c r="R778" s="6" t="s">
        <v>246</v>
      </c>
      <c r="S778" s="6" t="s">
        <v>147</v>
      </c>
      <c r="T778" s="6" t="s">
        <v>149</v>
      </c>
      <c r="U778" s="6" t="s">
        <v>686</v>
      </c>
      <c r="V778" s="6" t="s">
        <v>155</v>
      </c>
      <c r="W778" s="6" t="s">
        <v>158</v>
      </c>
      <c r="X778" s="6" t="s">
        <v>257</v>
      </c>
      <c r="Y778" s="6" t="s">
        <v>162</v>
      </c>
      <c r="Z778" s="6" t="s">
        <v>165</v>
      </c>
      <c r="AA778" s="6" t="s">
        <v>262</v>
      </c>
      <c r="AB778" s="6" t="s">
        <v>521</v>
      </c>
      <c r="AC778" s="6" t="s">
        <v>174</v>
      </c>
      <c r="AD778" s="6" t="s">
        <v>175</v>
      </c>
      <c r="AE778" s="6" t="s">
        <v>178</v>
      </c>
      <c r="AF778" s="6" t="s">
        <v>181</v>
      </c>
      <c r="AG778" s="6" t="s">
        <v>182</v>
      </c>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row>
    <row r="779" ht="22.5" customHeight="1">
      <c r="A779" s="4">
        <v>46229.700920324074</v>
      </c>
      <c r="B779" s="5">
        <v>0.0</v>
      </c>
      <c r="C779" s="6" t="s">
        <v>114</v>
      </c>
      <c r="D779" s="6" t="s">
        <v>205</v>
      </c>
      <c r="E779" s="6" t="s">
        <v>1724</v>
      </c>
      <c r="F779" s="6">
        <v>6.9070509468E10</v>
      </c>
      <c r="G779" s="6" t="s">
        <v>122</v>
      </c>
      <c r="H779" s="6" t="s">
        <v>2633</v>
      </c>
      <c r="I779" s="6" t="s">
        <v>8552</v>
      </c>
      <c r="J779" s="6" t="s">
        <v>7482</v>
      </c>
      <c r="K779" s="6" t="s">
        <v>8553</v>
      </c>
      <c r="L779" s="6" t="s">
        <v>6778</v>
      </c>
      <c r="M779" s="6" t="s">
        <v>443</v>
      </c>
      <c r="N779" s="6" t="s">
        <v>2633</v>
      </c>
      <c r="O779" s="6" t="s">
        <v>8554</v>
      </c>
      <c r="P779" s="6" t="s">
        <v>8555</v>
      </c>
      <c r="Q779" s="6" t="s">
        <v>8556</v>
      </c>
      <c r="R779" s="6" t="s">
        <v>861</v>
      </c>
      <c r="S779" s="6" t="s">
        <v>147</v>
      </c>
      <c r="T779" s="6" t="s">
        <v>250</v>
      </c>
      <c r="U779" s="6" t="s">
        <v>686</v>
      </c>
      <c r="V779" s="6" t="s">
        <v>246</v>
      </c>
      <c r="W779" s="6" t="s">
        <v>158</v>
      </c>
      <c r="X779" s="6" t="s">
        <v>257</v>
      </c>
      <c r="Y779" s="6" t="s">
        <v>162</v>
      </c>
      <c r="Z779" s="6" t="s">
        <v>165</v>
      </c>
      <c r="AA779" s="6" t="s">
        <v>262</v>
      </c>
      <c r="AB779" s="6" t="s">
        <v>171</v>
      </c>
      <c r="AC779" s="6" t="s">
        <v>174</v>
      </c>
      <c r="AD779" s="6" t="s">
        <v>175</v>
      </c>
      <c r="AE779" s="6" t="s">
        <v>271</v>
      </c>
      <c r="AF779" s="6" t="s">
        <v>181</v>
      </c>
      <c r="AG779" s="6" t="s">
        <v>182</v>
      </c>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row>
    <row r="780" ht="22.5" customHeight="1">
      <c r="A780" s="4">
        <v>46229.70092878472</v>
      </c>
      <c r="B780" s="5">
        <v>0.0</v>
      </c>
      <c r="C780" s="6" t="s">
        <v>114</v>
      </c>
      <c r="D780" s="6" t="s">
        <v>1725</v>
      </c>
      <c r="E780" s="6" t="s">
        <v>1726</v>
      </c>
      <c r="F780" s="6">
        <v>6.9070509425E10</v>
      </c>
      <c r="G780" s="6" t="s">
        <v>122</v>
      </c>
      <c r="H780" s="7"/>
      <c r="I780" s="6" t="s">
        <v>8557</v>
      </c>
      <c r="J780" s="6" t="s">
        <v>8558</v>
      </c>
      <c r="K780" s="6" t="s">
        <v>8559</v>
      </c>
      <c r="L780" s="6" t="s">
        <v>8560</v>
      </c>
      <c r="M780" s="6" t="s">
        <v>8561</v>
      </c>
      <c r="N780" s="7"/>
      <c r="O780" s="6" t="s">
        <v>8562</v>
      </c>
      <c r="P780" s="6" t="s">
        <v>8563</v>
      </c>
      <c r="Q780" s="6" t="s">
        <v>8564</v>
      </c>
      <c r="R780" s="6" t="s">
        <v>246</v>
      </c>
      <c r="S780" s="6" t="s">
        <v>147</v>
      </c>
      <c r="T780" s="6" t="s">
        <v>149</v>
      </c>
      <c r="U780" s="6" t="s">
        <v>686</v>
      </c>
      <c r="V780" s="6" t="s">
        <v>155</v>
      </c>
      <c r="W780" s="6" t="s">
        <v>158</v>
      </c>
      <c r="X780" s="6" t="s">
        <v>257</v>
      </c>
      <c r="Y780" s="6" t="s">
        <v>162</v>
      </c>
      <c r="Z780" s="6" t="s">
        <v>165</v>
      </c>
      <c r="AA780" s="6" t="s">
        <v>262</v>
      </c>
      <c r="AB780" s="6" t="s">
        <v>521</v>
      </c>
      <c r="AC780" s="6" t="s">
        <v>174</v>
      </c>
      <c r="AD780" s="6" t="s">
        <v>175</v>
      </c>
      <c r="AE780" s="6" t="s">
        <v>178</v>
      </c>
      <c r="AF780" s="6" t="s">
        <v>181</v>
      </c>
      <c r="AG780" s="6" t="s">
        <v>182</v>
      </c>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row>
    <row r="781" ht="22.5" customHeight="1">
      <c r="A781" s="4">
        <v>46229.70094255787</v>
      </c>
      <c r="B781" s="5">
        <v>0.0</v>
      </c>
      <c r="C781" s="6" t="s">
        <v>114</v>
      </c>
      <c r="D781" s="6" t="s">
        <v>1727</v>
      </c>
      <c r="E781" s="6" t="s">
        <v>1728</v>
      </c>
      <c r="F781" s="6">
        <v>6.9070509464E10</v>
      </c>
      <c r="G781" s="6" t="s">
        <v>122</v>
      </c>
      <c r="H781" s="6" t="s">
        <v>8565</v>
      </c>
      <c r="I781" s="6" t="s">
        <v>8566</v>
      </c>
      <c r="J781" s="6" t="s">
        <v>8567</v>
      </c>
      <c r="K781" s="6" t="s">
        <v>8568</v>
      </c>
      <c r="L781" s="6" t="s">
        <v>8569</v>
      </c>
      <c r="M781" s="6" t="s">
        <v>4871</v>
      </c>
      <c r="N781" s="7"/>
      <c r="O781" s="6" t="s">
        <v>8570</v>
      </c>
      <c r="P781" s="6" t="s">
        <v>8571</v>
      </c>
      <c r="Q781" s="6" t="s">
        <v>8572</v>
      </c>
      <c r="R781" s="6" t="s">
        <v>246</v>
      </c>
      <c r="S781" s="6" t="s">
        <v>147</v>
      </c>
      <c r="T781" s="6" t="s">
        <v>149</v>
      </c>
      <c r="U781" s="6" t="s">
        <v>686</v>
      </c>
      <c r="V781" s="6" t="s">
        <v>246</v>
      </c>
      <c r="W781" s="6" t="s">
        <v>158</v>
      </c>
      <c r="X781" s="6" t="s">
        <v>257</v>
      </c>
      <c r="Y781" s="6" t="s">
        <v>162</v>
      </c>
      <c r="Z781" s="6" t="s">
        <v>165</v>
      </c>
      <c r="AA781" s="6" t="s">
        <v>262</v>
      </c>
      <c r="AB781" s="6" t="s">
        <v>521</v>
      </c>
      <c r="AC781" s="6" t="s">
        <v>1669</v>
      </c>
      <c r="AD781" s="6" t="s">
        <v>175</v>
      </c>
      <c r="AE781" s="6" t="s">
        <v>271</v>
      </c>
      <c r="AF781" s="6" t="s">
        <v>181</v>
      </c>
      <c r="AG781" s="6" t="s">
        <v>182</v>
      </c>
      <c r="AH781" s="7"/>
      <c r="AI781" s="7"/>
      <c r="AJ781" s="7"/>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c r="BJ781" s="7"/>
      <c r="BK781" s="7"/>
    </row>
    <row r="782" ht="22.5" customHeight="1">
      <c r="A782" s="4">
        <v>46229.7009559375</v>
      </c>
      <c r="B782" s="5">
        <v>0.0</v>
      </c>
      <c r="C782" s="6" t="s">
        <v>114</v>
      </c>
      <c r="D782" s="6" t="s">
        <v>1729</v>
      </c>
      <c r="E782" s="6" t="s">
        <v>1730</v>
      </c>
      <c r="F782" s="6">
        <v>6.9070508216E10</v>
      </c>
      <c r="G782" s="6" t="s">
        <v>730</v>
      </c>
      <c r="H782" s="7"/>
      <c r="I782" s="6" t="s">
        <v>8573</v>
      </c>
      <c r="J782" s="6" t="s">
        <v>8574</v>
      </c>
      <c r="K782" s="6" t="s">
        <v>7009</v>
      </c>
      <c r="L782" s="6" t="s">
        <v>8575</v>
      </c>
      <c r="M782" s="6" t="s">
        <v>8576</v>
      </c>
      <c r="N782" s="6" t="s">
        <v>7007</v>
      </c>
      <c r="O782" s="6" t="s">
        <v>8577</v>
      </c>
      <c r="P782" s="6" t="s">
        <v>8578</v>
      </c>
      <c r="Q782" s="6" t="s">
        <v>8579</v>
      </c>
      <c r="R782" s="6" t="s">
        <v>246</v>
      </c>
      <c r="S782" s="6" t="s">
        <v>147</v>
      </c>
      <c r="T782" s="6" t="s">
        <v>250</v>
      </c>
      <c r="U782" s="6" t="s">
        <v>560</v>
      </c>
      <c r="V782" s="6" t="s">
        <v>246</v>
      </c>
      <c r="W782" s="6" t="s">
        <v>158</v>
      </c>
      <c r="X782" s="6" t="s">
        <v>257</v>
      </c>
      <c r="Y782" s="6" t="s">
        <v>162</v>
      </c>
      <c r="Z782" s="6" t="s">
        <v>165</v>
      </c>
      <c r="AA782" s="6" t="s">
        <v>262</v>
      </c>
      <c r="AB782" s="6" t="s">
        <v>171</v>
      </c>
      <c r="AC782" s="6" t="s">
        <v>174</v>
      </c>
      <c r="AD782" s="6" t="s">
        <v>175</v>
      </c>
      <c r="AE782" s="6" t="s">
        <v>271</v>
      </c>
      <c r="AF782" s="6" t="s">
        <v>181</v>
      </c>
      <c r="AG782" s="6" t="s">
        <v>182</v>
      </c>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row>
    <row r="783" ht="22.5" customHeight="1">
      <c r="A783" s="4">
        <v>46229.700960104165</v>
      </c>
      <c r="B783" s="5">
        <v>0.0</v>
      </c>
      <c r="C783" s="6" t="s">
        <v>114</v>
      </c>
      <c r="D783" s="6" t="s">
        <v>1731</v>
      </c>
      <c r="E783" s="6" t="s">
        <v>1732</v>
      </c>
      <c r="F783" s="6">
        <v>6.9070502216E10</v>
      </c>
      <c r="G783" s="6" t="s">
        <v>496</v>
      </c>
      <c r="H783" s="7"/>
      <c r="I783" s="6" t="s">
        <v>8580</v>
      </c>
      <c r="J783" s="6" t="s">
        <v>6732</v>
      </c>
      <c r="K783" s="6" t="s">
        <v>6498</v>
      </c>
      <c r="L783" s="6" t="s">
        <v>8581</v>
      </c>
      <c r="M783" s="6" t="s">
        <v>8582</v>
      </c>
      <c r="N783" s="7"/>
      <c r="O783" s="6" t="s">
        <v>8583</v>
      </c>
      <c r="P783" s="6" t="s">
        <v>8584</v>
      </c>
      <c r="Q783" s="6" t="s">
        <v>8585</v>
      </c>
      <c r="R783" s="6" t="s">
        <v>246</v>
      </c>
      <c r="S783" s="6" t="s">
        <v>147</v>
      </c>
      <c r="T783" s="6" t="s">
        <v>250</v>
      </c>
      <c r="U783" s="6" t="s">
        <v>560</v>
      </c>
      <c r="V783" s="6" t="s">
        <v>246</v>
      </c>
      <c r="W783" s="6" t="s">
        <v>158</v>
      </c>
      <c r="X783" s="6" t="s">
        <v>257</v>
      </c>
      <c r="Y783" s="6" t="s">
        <v>162</v>
      </c>
      <c r="Z783" s="6" t="s">
        <v>165</v>
      </c>
      <c r="AA783" s="6" t="s">
        <v>262</v>
      </c>
      <c r="AB783" s="6" t="s">
        <v>521</v>
      </c>
      <c r="AC783" s="6" t="s">
        <v>174</v>
      </c>
      <c r="AD783" s="6" t="s">
        <v>175</v>
      </c>
      <c r="AE783" s="6" t="s">
        <v>271</v>
      </c>
      <c r="AF783" s="6" t="s">
        <v>181</v>
      </c>
      <c r="AG783" s="6" t="s">
        <v>182</v>
      </c>
      <c r="AH783" s="7"/>
      <c r="AI783" s="7"/>
      <c r="AJ783" s="7"/>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c r="BJ783" s="7"/>
      <c r="BK783" s="7"/>
    </row>
    <row r="784" ht="22.5" customHeight="1">
      <c r="A784" s="4">
        <v>46229.70096417824</v>
      </c>
      <c r="B784" s="5">
        <v>0.0</v>
      </c>
      <c r="C784" s="6" t="s">
        <v>3296</v>
      </c>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6" t="s">
        <v>2725</v>
      </c>
      <c r="AI784" s="6" t="s">
        <v>2726</v>
      </c>
      <c r="AJ784" s="6">
        <v>6.907050348E10</v>
      </c>
      <c r="AK784" s="6" t="s">
        <v>3297</v>
      </c>
      <c r="AL784" s="7"/>
      <c r="AM784" s="6" t="s">
        <v>6753</v>
      </c>
      <c r="AN784" s="6" t="s">
        <v>8586</v>
      </c>
      <c r="AO784" s="6" t="s">
        <v>8587</v>
      </c>
      <c r="AP784" s="6" t="s">
        <v>8588</v>
      </c>
      <c r="AQ784" s="6" t="s">
        <v>8589</v>
      </c>
      <c r="AR784" s="7"/>
      <c r="AS784" s="6" t="s">
        <v>8590</v>
      </c>
      <c r="AT784" s="6" t="s">
        <v>8591</v>
      </c>
      <c r="AU784" s="6" t="s">
        <v>8592</v>
      </c>
      <c r="AV784" s="6" t="s">
        <v>3306</v>
      </c>
      <c r="AW784" s="6" t="s">
        <v>3307</v>
      </c>
      <c r="AX784" s="6" t="s">
        <v>3887</v>
      </c>
      <c r="AY784" s="6" t="s">
        <v>4067</v>
      </c>
      <c r="AZ784" s="6" t="s">
        <v>3306</v>
      </c>
      <c r="BA784" s="6" t="s">
        <v>8593</v>
      </c>
      <c r="BB784" s="6" t="s">
        <v>4693</v>
      </c>
      <c r="BC784" s="6" t="s">
        <v>3313</v>
      </c>
      <c r="BD784" s="6" t="s">
        <v>165</v>
      </c>
      <c r="BE784" s="6" t="s">
        <v>3888</v>
      </c>
      <c r="BF784" s="6" t="s">
        <v>3315</v>
      </c>
      <c r="BG784" s="6" t="s">
        <v>4068</v>
      </c>
      <c r="BH784" s="6" t="s">
        <v>3317</v>
      </c>
      <c r="BI784" s="6" t="s">
        <v>271</v>
      </c>
      <c r="BJ784" s="6" t="s">
        <v>3318</v>
      </c>
      <c r="BK784" s="6" t="s">
        <v>3319</v>
      </c>
    </row>
    <row r="785" ht="22.5" customHeight="1">
      <c r="A785" s="4">
        <v>46229.70097024305</v>
      </c>
      <c r="B785" s="5">
        <v>0.0</v>
      </c>
      <c r="C785" s="6" t="s">
        <v>114</v>
      </c>
      <c r="D785" s="6" t="s">
        <v>1733</v>
      </c>
      <c r="E785" s="6" t="s">
        <v>986</v>
      </c>
      <c r="F785" s="6">
        <v>6.9070502203E10</v>
      </c>
      <c r="G785" s="6" t="s">
        <v>496</v>
      </c>
      <c r="H785" s="7"/>
      <c r="I785" s="6" t="s">
        <v>8594</v>
      </c>
      <c r="J785" s="6" t="s">
        <v>6732</v>
      </c>
      <c r="K785" s="6" t="s">
        <v>6498</v>
      </c>
      <c r="L785" s="6" t="s">
        <v>8595</v>
      </c>
      <c r="M785" s="6" t="s">
        <v>8596</v>
      </c>
      <c r="N785" s="7"/>
      <c r="O785" s="6" t="s">
        <v>8597</v>
      </c>
      <c r="P785" s="6" t="s">
        <v>8598</v>
      </c>
      <c r="Q785" s="6" t="s">
        <v>8599</v>
      </c>
      <c r="R785" s="6" t="s">
        <v>246</v>
      </c>
      <c r="S785" s="6" t="s">
        <v>147</v>
      </c>
      <c r="T785" s="6" t="s">
        <v>250</v>
      </c>
      <c r="U785" s="6" t="s">
        <v>560</v>
      </c>
      <c r="V785" s="6" t="s">
        <v>246</v>
      </c>
      <c r="W785" s="6" t="s">
        <v>158</v>
      </c>
      <c r="X785" s="6" t="s">
        <v>257</v>
      </c>
      <c r="Y785" s="6" t="s">
        <v>162</v>
      </c>
      <c r="Z785" s="6" t="s">
        <v>165</v>
      </c>
      <c r="AA785" s="6" t="s">
        <v>262</v>
      </c>
      <c r="AB785" s="6" t="s">
        <v>521</v>
      </c>
      <c r="AC785" s="6" t="s">
        <v>174</v>
      </c>
      <c r="AD785" s="6" t="s">
        <v>175</v>
      </c>
      <c r="AE785" s="6" t="s">
        <v>271</v>
      </c>
      <c r="AF785" s="6" t="s">
        <v>181</v>
      </c>
      <c r="AG785" s="6" t="s">
        <v>182</v>
      </c>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row>
    <row r="786" ht="22.5" customHeight="1">
      <c r="A786" s="4">
        <v>46229.700972708335</v>
      </c>
      <c r="B786" s="5">
        <v>0.0</v>
      </c>
      <c r="C786" s="6" t="s">
        <v>114</v>
      </c>
      <c r="D786" s="6" t="s">
        <v>296</v>
      </c>
      <c r="E786" s="6" t="s">
        <v>1734</v>
      </c>
      <c r="F786" s="6">
        <v>6.907050102E10</v>
      </c>
      <c r="G786" s="6" t="s">
        <v>1470</v>
      </c>
      <c r="H786" s="6" t="s">
        <v>8600</v>
      </c>
      <c r="I786" s="6" t="s">
        <v>8601</v>
      </c>
      <c r="J786" s="6" t="s">
        <v>8602</v>
      </c>
      <c r="K786" s="6" t="s">
        <v>8603</v>
      </c>
      <c r="L786" s="6" t="s">
        <v>8604</v>
      </c>
      <c r="M786" s="6" t="s">
        <v>8605</v>
      </c>
      <c r="N786" s="6" t="s">
        <v>2633</v>
      </c>
      <c r="O786" s="6" t="s">
        <v>8606</v>
      </c>
      <c r="P786" s="6" t="s">
        <v>8607</v>
      </c>
      <c r="Q786" s="6" t="s">
        <v>8608</v>
      </c>
      <c r="R786" s="6" t="s">
        <v>246</v>
      </c>
      <c r="S786" s="6" t="s">
        <v>147</v>
      </c>
      <c r="T786" s="6" t="s">
        <v>246</v>
      </c>
      <c r="U786" s="6" t="s">
        <v>252</v>
      </c>
      <c r="V786" s="6" t="s">
        <v>246</v>
      </c>
      <c r="W786" s="6" t="s">
        <v>158</v>
      </c>
      <c r="X786" s="6" t="s">
        <v>246</v>
      </c>
      <c r="Y786" s="6" t="s">
        <v>4287</v>
      </c>
      <c r="Z786" s="6" t="s">
        <v>165</v>
      </c>
      <c r="AA786" s="6" t="s">
        <v>2307</v>
      </c>
      <c r="AB786" s="6" t="s">
        <v>521</v>
      </c>
      <c r="AC786" s="6" t="s">
        <v>174</v>
      </c>
      <c r="AD786" s="6" t="s">
        <v>175</v>
      </c>
      <c r="AE786" s="6" t="s">
        <v>271</v>
      </c>
      <c r="AF786" s="6" t="s">
        <v>181</v>
      </c>
      <c r="AG786" s="6" t="s">
        <v>182</v>
      </c>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row>
    <row r="787" ht="22.5" customHeight="1">
      <c r="A787" s="4">
        <v>46229.700980821755</v>
      </c>
      <c r="B787" s="5">
        <v>0.0</v>
      </c>
      <c r="C787" s="6" t="s">
        <v>114</v>
      </c>
      <c r="D787" s="6" t="s">
        <v>1464</v>
      </c>
      <c r="E787" s="6" t="s">
        <v>1735</v>
      </c>
      <c r="F787" s="6">
        <v>6.907050042E10</v>
      </c>
      <c r="G787" s="6" t="s">
        <v>310</v>
      </c>
      <c r="H787" s="6" t="s">
        <v>2633</v>
      </c>
      <c r="I787" s="6" t="s">
        <v>8609</v>
      </c>
      <c r="J787" s="6" t="s">
        <v>8610</v>
      </c>
      <c r="K787" s="6" t="s">
        <v>8611</v>
      </c>
      <c r="L787" s="6" t="s">
        <v>8612</v>
      </c>
      <c r="M787" s="6" t="s">
        <v>8613</v>
      </c>
      <c r="N787" s="6" t="s">
        <v>8614</v>
      </c>
      <c r="O787" s="6" t="s">
        <v>8615</v>
      </c>
      <c r="P787" s="6" t="s">
        <v>8616</v>
      </c>
      <c r="Q787" s="6" t="s">
        <v>8617</v>
      </c>
      <c r="R787" s="6" t="s">
        <v>246</v>
      </c>
      <c r="S787" s="6" t="s">
        <v>147</v>
      </c>
      <c r="T787" s="6" t="s">
        <v>250</v>
      </c>
      <c r="U787" s="6" t="s">
        <v>252</v>
      </c>
      <c r="V787" s="6" t="s">
        <v>246</v>
      </c>
      <c r="W787" s="6" t="s">
        <v>158</v>
      </c>
      <c r="X787" s="6" t="s">
        <v>257</v>
      </c>
      <c r="Y787" s="6" t="s">
        <v>162</v>
      </c>
      <c r="Z787" s="6" t="s">
        <v>165</v>
      </c>
      <c r="AA787" s="6" t="s">
        <v>262</v>
      </c>
      <c r="AB787" s="6" t="s">
        <v>521</v>
      </c>
      <c r="AC787" s="6" t="s">
        <v>174</v>
      </c>
      <c r="AD787" s="6" t="s">
        <v>175</v>
      </c>
      <c r="AE787" s="6" t="s">
        <v>271</v>
      </c>
      <c r="AF787" s="6" t="s">
        <v>181</v>
      </c>
      <c r="AG787" s="6" t="s">
        <v>182</v>
      </c>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row>
    <row r="788" ht="22.5" customHeight="1">
      <c r="A788" s="4">
        <v>46229.70099354167</v>
      </c>
      <c r="B788" s="5">
        <v>0.0</v>
      </c>
      <c r="C788" s="6" t="s">
        <v>114</v>
      </c>
      <c r="D788" s="6" t="s">
        <v>1736</v>
      </c>
      <c r="E788" s="6" t="s">
        <v>1737</v>
      </c>
      <c r="F788" s="6">
        <v>6.9070506473E10</v>
      </c>
      <c r="G788" s="6" t="s">
        <v>599</v>
      </c>
      <c r="H788" s="7"/>
      <c r="I788" s="6" t="s">
        <v>4712</v>
      </c>
      <c r="J788" s="6" t="s">
        <v>8618</v>
      </c>
      <c r="K788" s="6" t="s">
        <v>8619</v>
      </c>
      <c r="L788" s="6" t="s">
        <v>8620</v>
      </c>
      <c r="M788" s="6" t="s">
        <v>8621</v>
      </c>
      <c r="N788" s="7"/>
      <c r="O788" s="6" t="s">
        <v>8622</v>
      </c>
      <c r="P788" s="6" t="s">
        <v>8623</v>
      </c>
      <c r="Q788" s="6" t="s">
        <v>8624</v>
      </c>
      <c r="R788" s="6" t="s">
        <v>257</v>
      </c>
      <c r="S788" s="6" t="s">
        <v>147</v>
      </c>
      <c r="T788" s="6" t="s">
        <v>246</v>
      </c>
      <c r="U788" s="6" t="s">
        <v>252</v>
      </c>
      <c r="V788" s="6" t="s">
        <v>246</v>
      </c>
      <c r="W788" s="6" t="s">
        <v>158</v>
      </c>
      <c r="X788" s="6" t="s">
        <v>250</v>
      </c>
      <c r="Y788" s="6" t="s">
        <v>162</v>
      </c>
      <c r="Z788" s="6" t="s">
        <v>165</v>
      </c>
      <c r="AA788" s="6" t="s">
        <v>262</v>
      </c>
      <c r="AB788" s="6" t="s">
        <v>171</v>
      </c>
      <c r="AC788" s="6" t="s">
        <v>174</v>
      </c>
      <c r="AD788" s="6" t="s">
        <v>635</v>
      </c>
      <c r="AE788" s="6" t="s">
        <v>271</v>
      </c>
      <c r="AF788" s="6" t="s">
        <v>174</v>
      </c>
      <c r="AG788" s="6" t="s">
        <v>182</v>
      </c>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row>
    <row r="789" ht="22.5" customHeight="1">
      <c r="A789" s="4">
        <v>46229.701002500005</v>
      </c>
      <c r="B789" s="5">
        <v>0.0</v>
      </c>
      <c r="C789" s="6" t="s">
        <v>114</v>
      </c>
      <c r="D789" s="6" t="s">
        <v>1738</v>
      </c>
      <c r="E789" s="6" t="s">
        <v>1739</v>
      </c>
      <c r="F789" s="6">
        <v>6.9070506455E10</v>
      </c>
      <c r="G789" s="6" t="s">
        <v>599</v>
      </c>
      <c r="H789" s="7"/>
      <c r="I789" s="6" t="s">
        <v>8625</v>
      </c>
      <c r="J789" s="6" t="s">
        <v>8626</v>
      </c>
      <c r="K789" s="6" t="s">
        <v>8627</v>
      </c>
      <c r="L789" s="6" t="s">
        <v>8628</v>
      </c>
      <c r="M789" s="6" t="s">
        <v>8629</v>
      </c>
      <c r="N789" s="7"/>
      <c r="O789" s="6" t="s">
        <v>8630</v>
      </c>
      <c r="P789" s="6" t="s">
        <v>8631</v>
      </c>
      <c r="Q789" s="6" t="s">
        <v>8632</v>
      </c>
      <c r="R789" s="6" t="s">
        <v>246</v>
      </c>
      <c r="S789" s="6" t="s">
        <v>147</v>
      </c>
      <c r="T789" s="6" t="s">
        <v>250</v>
      </c>
      <c r="U789" s="6" t="s">
        <v>2254</v>
      </c>
      <c r="V789" s="6" t="s">
        <v>246</v>
      </c>
      <c r="W789" s="6" t="s">
        <v>158</v>
      </c>
      <c r="X789" s="6" t="s">
        <v>257</v>
      </c>
      <c r="Y789" s="6" t="s">
        <v>162</v>
      </c>
      <c r="Z789" s="6" t="s">
        <v>165</v>
      </c>
      <c r="AA789" s="6" t="s">
        <v>262</v>
      </c>
      <c r="AB789" s="6" t="s">
        <v>171</v>
      </c>
      <c r="AC789" s="6" t="s">
        <v>174</v>
      </c>
      <c r="AD789" s="6" t="s">
        <v>175</v>
      </c>
      <c r="AE789" s="6" t="s">
        <v>178</v>
      </c>
      <c r="AF789" s="6" t="s">
        <v>181</v>
      </c>
      <c r="AG789" s="6" t="s">
        <v>182</v>
      </c>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row>
    <row r="790" ht="22.5" customHeight="1">
      <c r="A790" s="4">
        <v>46229.7010256713</v>
      </c>
      <c r="B790" s="5">
        <v>0.0</v>
      </c>
      <c r="C790" s="6" t="s">
        <v>114</v>
      </c>
      <c r="D790" s="6" t="s">
        <v>1740</v>
      </c>
      <c r="E790" s="6" t="s">
        <v>1741</v>
      </c>
      <c r="F790" s="6">
        <v>6.9070502521E10</v>
      </c>
      <c r="G790" s="6" t="s">
        <v>122</v>
      </c>
      <c r="H790" s="7"/>
      <c r="I790" s="6" t="s">
        <v>8633</v>
      </c>
      <c r="J790" s="6" t="s">
        <v>8634</v>
      </c>
      <c r="K790" s="6" t="s">
        <v>8635</v>
      </c>
      <c r="L790" s="6" t="s">
        <v>8633</v>
      </c>
      <c r="M790" s="6" t="s">
        <v>8636</v>
      </c>
      <c r="N790" s="7"/>
      <c r="O790" s="6" t="s">
        <v>8637</v>
      </c>
      <c r="P790" s="6" t="s">
        <v>8638</v>
      </c>
      <c r="Q790" s="6" t="s">
        <v>8639</v>
      </c>
      <c r="R790" s="6" t="s">
        <v>246</v>
      </c>
      <c r="S790" s="6" t="s">
        <v>147</v>
      </c>
      <c r="T790" s="6" t="s">
        <v>250</v>
      </c>
      <c r="U790" s="6" t="s">
        <v>2254</v>
      </c>
      <c r="V790" s="6" t="s">
        <v>155</v>
      </c>
      <c r="W790" s="6" t="s">
        <v>158</v>
      </c>
      <c r="X790" s="6" t="s">
        <v>161</v>
      </c>
      <c r="Y790" s="6" t="s">
        <v>162</v>
      </c>
      <c r="Z790" s="6" t="s">
        <v>804</v>
      </c>
      <c r="AA790" s="6" t="s">
        <v>262</v>
      </c>
      <c r="AB790" s="6" t="s">
        <v>171</v>
      </c>
      <c r="AC790" s="6" t="s">
        <v>174</v>
      </c>
      <c r="AD790" s="6" t="s">
        <v>175</v>
      </c>
      <c r="AE790" s="6" t="s">
        <v>271</v>
      </c>
      <c r="AF790" s="6" t="s">
        <v>181</v>
      </c>
      <c r="AG790" s="6" t="s">
        <v>182</v>
      </c>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row>
    <row r="791" ht="22.5" customHeight="1">
      <c r="A791" s="4">
        <v>46229.70102719907</v>
      </c>
      <c r="B791" s="5">
        <v>0.0</v>
      </c>
      <c r="C791" s="6" t="s">
        <v>3296</v>
      </c>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6" t="s">
        <v>2727</v>
      </c>
      <c r="AI791" s="6" t="s">
        <v>2728</v>
      </c>
      <c r="AJ791" s="6">
        <v>6.9070503411E10</v>
      </c>
      <c r="AK791" s="6" t="s">
        <v>3297</v>
      </c>
      <c r="AL791" s="6" t="s">
        <v>8640</v>
      </c>
      <c r="AM791" s="6" t="s">
        <v>8641</v>
      </c>
      <c r="AN791" s="6" t="s">
        <v>8261</v>
      </c>
      <c r="AO791" s="6" t="s">
        <v>7195</v>
      </c>
      <c r="AP791" s="6" t="s">
        <v>8642</v>
      </c>
      <c r="AQ791" s="6" t="s">
        <v>8587</v>
      </c>
      <c r="AR791" s="7"/>
      <c r="AS791" s="6" t="s">
        <v>8643</v>
      </c>
      <c r="AT791" s="6" t="s">
        <v>8644</v>
      </c>
      <c r="AU791" s="6" t="s">
        <v>8645</v>
      </c>
      <c r="AV791" s="6" t="s">
        <v>3306</v>
      </c>
      <c r="AW791" s="6" t="s">
        <v>3307</v>
      </c>
      <c r="AX791" s="6" t="s">
        <v>3306</v>
      </c>
      <c r="AY791" s="6" t="s">
        <v>3309</v>
      </c>
      <c r="AZ791" s="6" t="s">
        <v>3306</v>
      </c>
      <c r="BA791" s="6" t="s">
        <v>3311</v>
      </c>
      <c r="BB791" s="6" t="s">
        <v>3312</v>
      </c>
      <c r="BC791" s="6" t="s">
        <v>3313</v>
      </c>
      <c r="BD791" s="6" t="s">
        <v>4804</v>
      </c>
      <c r="BE791" s="6" t="s">
        <v>3888</v>
      </c>
      <c r="BF791" s="6" t="s">
        <v>3315</v>
      </c>
      <c r="BG791" s="6" t="s">
        <v>4068</v>
      </c>
      <c r="BH791" s="6" t="s">
        <v>3317</v>
      </c>
      <c r="BI791" s="6" t="s">
        <v>271</v>
      </c>
      <c r="BJ791" s="6" t="s">
        <v>5247</v>
      </c>
      <c r="BK791" s="6" t="s">
        <v>3319</v>
      </c>
    </row>
    <row r="792" ht="22.5" customHeight="1">
      <c r="A792" s="4">
        <v>46229.7010462037</v>
      </c>
      <c r="B792" s="5">
        <v>0.0</v>
      </c>
      <c r="C792" s="6" t="s">
        <v>3296</v>
      </c>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6" t="s">
        <v>2729</v>
      </c>
      <c r="AI792" s="6" t="s">
        <v>2730</v>
      </c>
      <c r="AJ792" s="6">
        <v>6.9070507848E10</v>
      </c>
      <c r="AK792" s="6" t="s">
        <v>5236</v>
      </c>
      <c r="AL792" s="7"/>
      <c r="AM792" s="6" t="s">
        <v>8646</v>
      </c>
      <c r="AN792" s="6" t="s">
        <v>8136</v>
      </c>
      <c r="AO792" s="6" t="s">
        <v>8138</v>
      </c>
      <c r="AP792" s="6" t="s">
        <v>8647</v>
      </c>
      <c r="AQ792" s="6" t="s">
        <v>8648</v>
      </c>
      <c r="AR792" s="7"/>
      <c r="AS792" s="6" t="s">
        <v>8649</v>
      </c>
      <c r="AT792" s="6" t="s">
        <v>8650</v>
      </c>
      <c r="AU792" s="6" t="s">
        <v>8651</v>
      </c>
      <c r="AV792" s="6" t="s">
        <v>3306</v>
      </c>
      <c r="AW792" s="6" t="s">
        <v>3307</v>
      </c>
      <c r="AX792" s="6" t="s">
        <v>3887</v>
      </c>
      <c r="AY792" s="6" t="s">
        <v>3309</v>
      </c>
      <c r="AZ792" s="6" t="s">
        <v>3310</v>
      </c>
      <c r="BA792" s="6" t="s">
        <v>3311</v>
      </c>
      <c r="BB792" s="6" t="s">
        <v>3312</v>
      </c>
      <c r="BC792" s="6" t="s">
        <v>3313</v>
      </c>
      <c r="BD792" s="6" t="s">
        <v>804</v>
      </c>
      <c r="BE792" s="6" t="s">
        <v>3888</v>
      </c>
      <c r="BF792" s="6" t="s">
        <v>5052</v>
      </c>
      <c r="BG792" s="6" t="s">
        <v>4694</v>
      </c>
      <c r="BH792" s="6" t="s">
        <v>8124</v>
      </c>
      <c r="BI792" s="6" t="s">
        <v>3105</v>
      </c>
      <c r="BJ792" s="6" t="s">
        <v>5247</v>
      </c>
      <c r="BK792" s="6" t="s">
        <v>3319</v>
      </c>
    </row>
    <row r="793" ht="22.5" customHeight="1">
      <c r="A793" s="4">
        <v>46229.70105001157</v>
      </c>
      <c r="B793" s="5">
        <v>0.0</v>
      </c>
      <c r="C793" s="6" t="s">
        <v>114</v>
      </c>
      <c r="D793" s="6" t="s">
        <v>159</v>
      </c>
      <c r="E793" s="6" t="s">
        <v>1742</v>
      </c>
      <c r="F793" s="6">
        <v>6.9070500263E10</v>
      </c>
      <c r="G793" s="6" t="s">
        <v>599</v>
      </c>
      <c r="H793" s="7"/>
      <c r="I793" s="6" t="s">
        <v>8652</v>
      </c>
      <c r="J793" s="6" t="s">
        <v>8653</v>
      </c>
      <c r="K793" s="6" t="s">
        <v>8654</v>
      </c>
      <c r="L793" s="6" t="s">
        <v>8655</v>
      </c>
      <c r="M793" s="6" t="s">
        <v>6211</v>
      </c>
      <c r="N793" s="7"/>
      <c r="O793" s="6" t="s">
        <v>8656</v>
      </c>
      <c r="P793" s="6" t="s">
        <v>8657</v>
      </c>
      <c r="Q793" s="6" t="s">
        <v>8658</v>
      </c>
      <c r="R793" s="6" t="s">
        <v>246</v>
      </c>
      <c r="S793" s="6" t="s">
        <v>147</v>
      </c>
      <c r="T793" s="6" t="s">
        <v>250</v>
      </c>
      <c r="U793" s="6" t="s">
        <v>560</v>
      </c>
      <c r="V793" s="6" t="s">
        <v>246</v>
      </c>
      <c r="W793" s="6" t="s">
        <v>158</v>
      </c>
      <c r="X793" s="6" t="s">
        <v>257</v>
      </c>
      <c r="Y793" s="6" t="s">
        <v>162</v>
      </c>
      <c r="Z793" s="6" t="s">
        <v>165</v>
      </c>
      <c r="AA793" s="6" t="s">
        <v>262</v>
      </c>
      <c r="AB793" s="6" t="s">
        <v>171</v>
      </c>
      <c r="AC793" s="6" t="s">
        <v>174</v>
      </c>
      <c r="AD793" s="6" t="s">
        <v>175</v>
      </c>
      <c r="AE793" s="6" t="s">
        <v>271</v>
      </c>
      <c r="AF793" s="6" t="s">
        <v>181</v>
      </c>
      <c r="AG793" s="6" t="s">
        <v>182</v>
      </c>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row>
    <row r="794" ht="22.5" customHeight="1">
      <c r="A794" s="4">
        <v>46229.70105002315</v>
      </c>
      <c r="B794" s="5">
        <v>0.0</v>
      </c>
      <c r="C794" s="6" t="s">
        <v>114</v>
      </c>
      <c r="D794" s="6" t="s">
        <v>1743</v>
      </c>
      <c r="E794" s="6" t="s">
        <v>1744</v>
      </c>
      <c r="F794" s="6">
        <v>6.9070509449E10</v>
      </c>
      <c r="G794" s="6" t="s">
        <v>122</v>
      </c>
      <c r="H794" s="7"/>
      <c r="I794" s="6" t="s">
        <v>8659</v>
      </c>
      <c r="J794" s="6" t="s">
        <v>8660</v>
      </c>
      <c r="K794" s="6" t="s">
        <v>8661</v>
      </c>
      <c r="L794" s="6" t="s">
        <v>8662</v>
      </c>
      <c r="M794" s="6" t="s">
        <v>8663</v>
      </c>
      <c r="N794" s="6" t="s">
        <v>8664</v>
      </c>
      <c r="O794" s="6" t="s">
        <v>8665</v>
      </c>
      <c r="P794" s="6" t="s">
        <v>8666</v>
      </c>
      <c r="Q794" s="6" t="s">
        <v>8667</v>
      </c>
      <c r="R794" s="6" t="s">
        <v>246</v>
      </c>
      <c r="S794" s="6" t="s">
        <v>147</v>
      </c>
      <c r="T794" s="6" t="s">
        <v>250</v>
      </c>
      <c r="U794" s="6" t="s">
        <v>152</v>
      </c>
      <c r="V794" s="6" t="s">
        <v>155</v>
      </c>
      <c r="W794" s="6" t="s">
        <v>158</v>
      </c>
      <c r="X794" s="6" t="s">
        <v>161</v>
      </c>
      <c r="Y794" s="6" t="s">
        <v>162</v>
      </c>
      <c r="Z794" s="6" t="s">
        <v>165</v>
      </c>
      <c r="AA794" s="6" t="s">
        <v>262</v>
      </c>
      <c r="AB794" s="6" t="s">
        <v>171</v>
      </c>
      <c r="AC794" s="6" t="s">
        <v>174</v>
      </c>
      <c r="AD794" s="6" t="s">
        <v>175</v>
      </c>
      <c r="AE794" s="6" t="s">
        <v>271</v>
      </c>
      <c r="AF794" s="6" t="s">
        <v>181</v>
      </c>
      <c r="AG794" s="6" t="s">
        <v>182</v>
      </c>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row>
    <row r="795" ht="22.5" customHeight="1">
      <c r="A795" s="4">
        <v>46229.701050185184</v>
      </c>
      <c r="B795" s="5">
        <v>0.0</v>
      </c>
      <c r="C795" s="6" t="s">
        <v>114</v>
      </c>
      <c r="D795" s="6" t="s">
        <v>1745</v>
      </c>
      <c r="E795" s="6" t="s">
        <v>1746</v>
      </c>
      <c r="F795" s="6">
        <v>6.9070502211E10</v>
      </c>
      <c r="G795" s="6" t="s">
        <v>496</v>
      </c>
      <c r="H795" s="7"/>
      <c r="I795" s="6" t="s">
        <v>8668</v>
      </c>
      <c r="J795" s="6" t="s">
        <v>8669</v>
      </c>
      <c r="K795" s="6" t="s">
        <v>8670</v>
      </c>
      <c r="L795" s="6" t="s">
        <v>8671</v>
      </c>
      <c r="M795" s="6" t="s">
        <v>8672</v>
      </c>
      <c r="N795" s="7"/>
      <c r="O795" s="6" t="s">
        <v>8673</v>
      </c>
      <c r="P795" s="6" t="s">
        <v>8674</v>
      </c>
      <c r="Q795" s="6" t="s">
        <v>8675</v>
      </c>
      <c r="R795" s="6" t="s">
        <v>246</v>
      </c>
      <c r="S795" s="6" t="s">
        <v>147</v>
      </c>
      <c r="T795" s="6" t="s">
        <v>250</v>
      </c>
      <c r="U795" s="6" t="s">
        <v>560</v>
      </c>
      <c r="V795" s="6" t="s">
        <v>246</v>
      </c>
      <c r="W795" s="6" t="s">
        <v>158</v>
      </c>
      <c r="X795" s="6" t="s">
        <v>161</v>
      </c>
      <c r="Y795" s="6" t="s">
        <v>162</v>
      </c>
      <c r="Z795" s="6" t="s">
        <v>165</v>
      </c>
      <c r="AA795" s="6" t="s">
        <v>262</v>
      </c>
      <c r="AB795" s="6" t="s">
        <v>171</v>
      </c>
      <c r="AC795" s="6" t="s">
        <v>174</v>
      </c>
      <c r="AD795" s="6" t="s">
        <v>175</v>
      </c>
      <c r="AE795" s="6" t="s">
        <v>271</v>
      </c>
      <c r="AF795" s="6" t="s">
        <v>181</v>
      </c>
      <c r="AG795" s="6" t="s">
        <v>182</v>
      </c>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row>
    <row r="796" ht="22.5" customHeight="1">
      <c r="A796" s="4">
        <v>46229.701053564815</v>
      </c>
      <c r="B796" s="5">
        <v>0.0</v>
      </c>
      <c r="C796" s="6" t="s">
        <v>114</v>
      </c>
      <c r="D796" s="6" t="s">
        <v>1747</v>
      </c>
      <c r="E796" s="6" t="s">
        <v>1748</v>
      </c>
      <c r="F796" s="6">
        <v>6.9070506419E10</v>
      </c>
      <c r="G796" s="6" t="s">
        <v>599</v>
      </c>
      <c r="H796" s="7"/>
      <c r="I796" s="6" t="s">
        <v>8676</v>
      </c>
      <c r="J796" s="6" t="s">
        <v>8677</v>
      </c>
      <c r="K796" s="6" t="s">
        <v>8678</v>
      </c>
      <c r="L796" s="6" t="s">
        <v>6085</v>
      </c>
      <c r="M796" s="6" t="s">
        <v>3649</v>
      </c>
      <c r="N796" s="7"/>
      <c r="O796" s="6" t="s">
        <v>8679</v>
      </c>
      <c r="P796" s="6" t="s">
        <v>8680</v>
      </c>
      <c r="Q796" s="6" t="s">
        <v>8681</v>
      </c>
      <c r="R796" s="6" t="s">
        <v>246</v>
      </c>
      <c r="S796" s="6" t="s">
        <v>147</v>
      </c>
      <c r="T796" s="6" t="s">
        <v>250</v>
      </c>
      <c r="U796" s="6" t="s">
        <v>560</v>
      </c>
      <c r="V796" s="6" t="s">
        <v>246</v>
      </c>
      <c r="W796" s="6" t="s">
        <v>158</v>
      </c>
      <c r="X796" s="6" t="s">
        <v>257</v>
      </c>
      <c r="Y796" s="6" t="s">
        <v>162</v>
      </c>
      <c r="Z796" s="6" t="s">
        <v>165</v>
      </c>
      <c r="AA796" s="6" t="s">
        <v>262</v>
      </c>
      <c r="AB796" s="6" t="s">
        <v>171</v>
      </c>
      <c r="AC796" s="6" t="s">
        <v>174</v>
      </c>
      <c r="AD796" s="6" t="s">
        <v>175</v>
      </c>
      <c r="AE796" s="6" t="s">
        <v>271</v>
      </c>
      <c r="AF796" s="6" t="s">
        <v>181</v>
      </c>
      <c r="AG796" s="6" t="s">
        <v>182</v>
      </c>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row>
    <row r="797" ht="22.5" customHeight="1">
      <c r="A797" s="4">
        <v>46229.70106116898</v>
      </c>
      <c r="B797" s="5">
        <v>0.0</v>
      </c>
      <c r="C797" s="6" t="s">
        <v>114</v>
      </c>
      <c r="D797" s="6" t="s">
        <v>902</v>
      </c>
      <c r="E797" s="6" t="s">
        <v>1749</v>
      </c>
      <c r="F797" s="6">
        <v>6.9070506416E10</v>
      </c>
      <c r="G797" s="6" t="s">
        <v>599</v>
      </c>
      <c r="H797" s="7"/>
      <c r="I797" s="6" t="s">
        <v>8682</v>
      </c>
      <c r="J797" s="6" t="s">
        <v>8683</v>
      </c>
      <c r="K797" s="6" t="s">
        <v>6085</v>
      </c>
      <c r="L797" s="6" t="s">
        <v>1080</v>
      </c>
      <c r="M797" s="6" t="s">
        <v>4645</v>
      </c>
      <c r="N797" s="6" t="s">
        <v>3162</v>
      </c>
      <c r="O797" s="6" t="s">
        <v>8684</v>
      </c>
      <c r="P797" s="6" t="s">
        <v>8685</v>
      </c>
      <c r="Q797" s="6" t="s">
        <v>8686</v>
      </c>
      <c r="R797" s="6" t="s">
        <v>246</v>
      </c>
      <c r="S797" s="6" t="s">
        <v>147</v>
      </c>
      <c r="T797" s="6" t="s">
        <v>250</v>
      </c>
      <c r="U797" s="6" t="s">
        <v>560</v>
      </c>
      <c r="V797" s="6" t="s">
        <v>246</v>
      </c>
      <c r="W797" s="6" t="s">
        <v>158</v>
      </c>
      <c r="X797" s="6" t="s">
        <v>257</v>
      </c>
      <c r="Y797" s="6" t="s">
        <v>162</v>
      </c>
      <c r="Z797" s="6" t="s">
        <v>165</v>
      </c>
      <c r="AA797" s="6" t="s">
        <v>262</v>
      </c>
      <c r="AB797" s="6" t="s">
        <v>171</v>
      </c>
      <c r="AC797" s="6" t="s">
        <v>174</v>
      </c>
      <c r="AD797" s="6" t="s">
        <v>175</v>
      </c>
      <c r="AE797" s="6" t="s">
        <v>271</v>
      </c>
      <c r="AF797" s="6" t="s">
        <v>181</v>
      </c>
      <c r="AG797" s="6" t="s">
        <v>182</v>
      </c>
      <c r="AH797" s="7"/>
      <c r="AI797" s="7"/>
      <c r="AJ797" s="7"/>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row>
    <row r="798" ht="22.5" customHeight="1">
      <c r="A798" s="4">
        <v>46229.70106508102</v>
      </c>
      <c r="B798" s="5">
        <v>0.0</v>
      </c>
      <c r="C798" s="6" t="s">
        <v>114</v>
      </c>
      <c r="D798" s="6" t="s">
        <v>1751</v>
      </c>
      <c r="E798" s="6" t="s">
        <v>1752</v>
      </c>
      <c r="F798" s="6">
        <v>6.9070500484E10</v>
      </c>
      <c r="G798" s="6" t="s">
        <v>310</v>
      </c>
      <c r="H798" s="7"/>
      <c r="I798" s="6" t="s">
        <v>8687</v>
      </c>
      <c r="J798" s="6" t="s">
        <v>8688</v>
      </c>
      <c r="K798" s="6" t="s">
        <v>8689</v>
      </c>
      <c r="L798" s="6" t="s">
        <v>4253</v>
      </c>
      <c r="M798" s="6" t="s">
        <v>8690</v>
      </c>
      <c r="N798" s="7"/>
      <c r="O798" s="6" t="s">
        <v>8691</v>
      </c>
      <c r="P798" s="6" t="s">
        <v>8692</v>
      </c>
      <c r="Q798" s="6" t="s">
        <v>8692</v>
      </c>
      <c r="R798" s="6" t="s">
        <v>246</v>
      </c>
      <c r="S798" s="6" t="s">
        <v>147</v>
      </c>
      <c r="T798" s="6" t="s">
        <v>250</v>
      </c>
      <c r="U798" s="6" t="s">
        <v>252</v>
      </c>
      <c r="V798" s="6" t="s">
        <v>246</v>
      </c>
      <c r="W798" s="6" t="s">
        <v>158</v>
      </c>
      <c r="X798" s="6" t="s">
        <v>458</v>
      </c>
      <c r="Y798" s="6" t="s">
        <v>162</v>
      </c>
      <c r="Z798" s="6" t="s">
        <v>165</v>
      </c>
      <c r="AA798" s="6" t="s">
        <v>262</v>
      </c>
      <c r="AB798" s="6" t="s">
        <v>171</v>
      </c>
      <c r="AC798" s="6" t="s">
        <v>174</v>
      </c>
      <c r="AD798" s="6" t="s">
        <v>1723</v>
      </c>
      <c r="AE798" s="6" t="s">
        <v>271</v>
      </c>
      <c r="AF798" s="6" t="s">
        <v>181</v>
      </c>
      <c r="AG798" s="6" t="s">
        <v>182</v>
      </c>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row>
    <row r="799" ht="22.5" customHeight="1">
      <c r="A799" s="4">
        <v>46229.70107087963</v>
      </c>
      <c r="B799" s="5">
        <v>0.0</v>
      </c>
      <c r="C799" s="6" t="s">
        <v>114</v>
      </c>
      <c r="D799" s="6" t="s">
        <v>159</v>
      </c>
      <c r="E799" s="6" t="s">
        <v>1755</v>
      </c>
      <c r="F799" s="6">
        <v>6.9070500264E10</v>
      </c>
      <c r="G799" s="6" t="s">
        <v>599</v>
      </c>
      <c r="H799" s="6" t="s">
        <v>8693</v>
      </c>
      <c r="I799" s="6" t="s">
        <v>8694</v>
      </c>
      <c r="J799" s="6" t="s">
        <v>8695</v>
      </c>
      <c r="K799" s="6" t="s">
        <v>3818</v>
      </c>
      <c r="L799" s="6" t="s">
        <v>4805</v>
      </c>
      <c r="M799" s="6" t="s">
        <v>3657</v>
      </c>
      <c r="N799" s="7"/>
      <c r="O799" s="6" t="s">
        <v>8696</v>
      </c>
      <c r="P799" s="6" t="s">
        <v>8697</v>
      </c>
      <c r="Q799" s="6" t="s">
        <v>8698</v>
      </c>
      <c r="R799" s="6" t="s">
        <v>145</v>
      </c>
      <c r="S799" s="6" t="s">
        <v>147</v>
      </c>
      <c r="T799" s="6" t="s">
        <v>257</v>
      </c>
      <c r="U799" s="6" t="s">
        <v>560</v>
      </c>
      <c r="V799" s="6" t="s">
        <v>246</v>
      </c>
      <c r="W799" s="6" t="s">
        <v>158</v>
      </c>
      <c r="X799" s="6" t="s">
        <v>257</v>
      </c>
      <c r="Y799" s="6" t="s">
        <v>162</v>
      </c>
      <c r="Z799" s="6" t="s">
        <v>165</v>
      </c>
      <c r="AA799" s="6" t="s">
        <v>262</v>
      </c>
      <c r="AB799" s="6" t="s">
        <v>171</v>
      </c>
      <c r="AC799" s="6" t="s">
        <v>174</v>
      </c>
      <c r="AD799" s="6" t="s">
        <v>175</v>
      </c>
      <c r="AE799" s="6" t="s">
        <v>271</v>
      </c>
      <c r="AF799" s="6" t="s">
        <v>181</v>
      </c>
      <c r="AG799" s="6" t="s">
        <v>182</v>
      </c>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row>
    <row r="800" ht="22.5" customHeight="1">
      <c r="A800" s="4">
        <v>46229.70108445601</v>
      </c>
      <c r="B800" s="5">
        <v>0.0</v>
      </c>
      <c r="C800" s="6" t="s">
        <v>114</v>
      </c>
      <c r="D800" s="6" t="s">
        <v>1758</v>
      </c>
      <c r="E800" s="6" t="s">
        <v>1759</v>
      </c>
      <c r="F800" s="6">
        <v>6.9070502441E10</v>
      </c>
      <c r="G800" s="6" t="s">
        <v>122</v>
      </c>
      <c r="H800" s="7"/>
      <c r="I800" s="6" t="s">
        <v>6228</v>
      </c>
      <c r="J800" s="6" t="s">
        <v>8699</v>
      </c>
      <c r="K800" s="6" t="s">
        <v>4108</v>
      </c>
      <c r="L800" s="6" t="s">
        <v>5306</v>
      </c>
      <c r="M800" s="6" t="s">
        <v>5138</v>
      </c>
      <c r="N800" s="6" t="s">
        <v>8032</v>
      </c>
      <c r="O800" s="6" t="s">
        <v>8700</v>
      </c>
      <c r="P800" s="6" t="s">
        <v>8701</v>
      </c>
      <c r="Q800" s="6" t="s">
        <v>8702</v>
      </c>
      <c r="R800" s="6" t="s">
        <v>246</v>
      </c>
      <c r="S800" s="6" t="s">
        <v>147</v>
      </c>
      <c r="T800" s="6" t="s">
        <v>250</v>
      </c>
      <c r="U800" s="6" t="s">
        <v>560</v>
      </c>
      <c r="V800" s="6" t="s">
        <v>246</v>
      </c>
      <c r="W800" s="6" t="s">
        <v>158</v>
      </c>
      <c r="X800" s="6" t="s">
        <v>257</v>
      </c>
      <c r="Y800" s="6" t="s">
        <v>162</v>
      </c>
      <c r="Z800" s="6" t="s">
        <v>165</v>
      </c>
      <c r="AA800" s="6" t="s">
        <v>262</v>
      </c>
      <c r="AB800" s="6" t="s">
        <v>171</v>
      </c>
      <c r="AC800" s="6" t="s">
        <v>174</v>
      </c>
      <c r="AD800" s="6" t="s">
        <v>175</v>
      </c>
      <c r="AE800" s="6" t="s">
        <v>271</v>
      </c>
      <c r="AF800" s="6" t="s">
        <v>181</v>
      </c>
      <c r="AG800" s="6" t="s">
        <v>182</v>
      </c>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row>
    <row r="801" ht="22.5" customHeight="1">
      <c r="A801" s="4">
        <v>46229.7010878588</v>
      </c>
      <c r="B801" s="5">
        <v>0.0</v>
      </c>
      <c r="C801" s="6" t="s">
        <v>3296</v>
      </c>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6" t="s">
        <v>2731</v>
      </c>
      <c r="AI801" s="6" t="s">
        <v>2732</v>
      </c>
      <c r="AJ801" s="6">
        <v>6.907050783E10</v>
      </c>
      <c r="AK801" s="6" t="s">
        <v>5236</v>
      </c>
      <c r="AL801" s="6" t="s">
        <v>8703</v>
      </c>
      <c r="AM801" s="6" t="s">
        <v>8704</v>
      </c>
      <c r="AN801" s="6" t="s">
        <v>8705</v>
      </c>
      <c r="AO801" s="6" t="s">
        <v>8706</v>
      </c>
      <c r="AP801" s="6" t="s">
        <v>8707</v>
      </c>
      <c r="AQ801" s="6" t="s">
        <v>8708</v>
      </c>
      <c r="AR801" s="6" t="s">
        <v>8709</v>
      </c>
      <c r="AS801" s="6" t="s">
        <v>8710</v>
      </c>
      <c r="AT801" s="6" t="s">
        <v>8711</v>
      </c>
      <c r="AU801" s="6" t="s">
        <v>8712</v>
      </c>
      <c r="AV801" s="6" t="s">
        <v>3306</v>
      </c>
      <c r="AW801" s="6" t="s">
        <v>3307</v>
      </c>
      <c r="AX801" s="6" t="s">
        <v>3887</v>
      </c>
      <c r="AY801" s="6" t="s">
        <v>4067</v>
      </c>
      <c r="AZ801" s="6" t="s">
        <v>3306</v>
      </c>
      <c r="BA801" s="6" t="s">
        <v>3311</v>
      </c>
      <c r="BB801" s="6" t="s">
        <v>3312</v>
      </c>
      <c r="BC801" s="6" t="s">
        <v>3313</v>
      </c>
      <c r="BD801" s="6" t="s">
        <v>165</v>
      </c>
      <c r="BE801" s="6" t="s">
        <v>3888</v>
      </c>
      <c r="BF801" s="6" t="s">
        <v>3889</v>
      </c>
      <c r="BG801" s="6" t="s">
        <v>4068</v>
      </c>
      <c r="BH801" s="6" t="s">
        <v>3317</v>
      </c>
      <c r="BI801" s="6" t="s">
        <v>271</v>
      </c>
      <c r="BJ801" s="6" t="s">
        <v>3318</v>
      </c>
      <c r="BK801" s="6" t="s">
        <v>3319</v>
      </c>
    </row>
    <row r="802" ht="22.5" customHeight="1">
      <c r="A802" s="4">
        <v>46229.701091006944</v>
      </c>
      <c r="B802" s="5">
        <v>0.0</v>
      </c>
      <c r="C802" s="6" t="s">
        <v>114</v>
      </c>
      <c r="D802" s="6" t="s">
        <v>1762</v>
      </c>
      <c r="E802" s="6" t="s">
        <v>1764</v>
      </c>
      <c r="F802" s="6">
        <v>6.9070508204E10</v>
      </c>
      <c r="G802" s="6" t="s">
        <v>730</v>
      </c>
      <c r="H802" s="7"/>
      <c r="I802" s="6" t="s">
        <v>8713</v>
      </c>
      <c r="J802" s="6" t="s">
        <v>8714</v>
      </c>
      <c r="K802" s="6" t="s">
        <v>8715</v>
      </c>
      <c r="L802" s="6" t="s">
        <v>8716</v>
      </c>
      <c r="M802" s="6" t="s">
        <v>6867</v>
      </c>
      <c r="N802" s="6" t="s">
        <v>8717</v>
      </c>
      <c r="O802" s="6" t="s">
        <v>8718</v>
      </c>
      <c r="P802" s="6" t="s">
        <v>8719</v>
      </c>
      <c r="Q802" s="6" t="s">
        <v>8720</v>
      </c>
      <c r="R802" s="6" t="s">
        <v>246</v>
      </c>
      <c r="S802" s="6" t="s">
        <v>147</v>
      </c>
      <c r="T802" s="6" t="s">
        <v>250</v>
      </c>
      <c r="U802" s="6" t="s">
        <v>252</v>
      </c>
      <c r="V802" s="6" t="s">
        <v>246</v>
      </c>
      <c r="W802" s="6" t="s">
        <v>158</v>
      </c>
      <c r="X802" s="6" t="s">
        <v>257</v>
      </c>
      <c r="Y802" s="6" t="s">
        <v>162</v>
      </c>
      <c r="Z802" s="6" t="s">
        <v>165</v>
      </c>
      <c r="AA802" s="6" t="s">
        <v>1322</v>
      </c>
      <c r="AB802" s="6" t="s">
        <v>521</v>
      </c>
      <c r="AC802" s="6" t="s">
        <v>174</v>
      </c>
      <c r="AD802" s="6" t="s">
        <v>175</v>
      </c>
      <c r="AE802" s="6" t="s">
        <v>271</v>
      </c>
      <c r="AF802" s="6" t="s">
        <v>181</v>
      </c>
      <c r="AG802" s="6" t="s">
        <v>182</v>
      </c>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row>
    <row r="803" ht="22.5" customHeight="1">
      <c r="A803" s="4">
        <v>46229.701097303245</v>
      </c>
      <c r="B803" s="5">
        <v>0.0</v>
      </c>
      <c r="C803" s="6" t="s">
        <v>114</v>
      </c>
      <c r="D803" s="6" t="s">
        <v>1765</v>
      </c>
      <c r="E803" s="6" t="s">
        <v>1766</v>
      </c>
      <c r="F803" s="6">
        <v>6.9070501271E10</v>
      </c>
      <c r="G803" s="6" t="s">
        <v>228</v>
      </c>
      <c r="H803" s="7"/>
      <c r="I803" s="6" t="s">
        <v>2502</v>
      </c>
      <c r="J803" s="6" t="s">
        <v>2506</v>
      </c>
      <c r="K803" s="6" t="s">
        <v>8721</v>
      </c>
      <c r="L803" s="6" t="s">
        <v>8722</v>
      </c>
      <c r="M803" s="6" t="s">
        <v>8723</v>
      </c>
      <c r="N803" s="7"/>
      <c r="O803" s="6" t="s">
        <v>8724</v>
      </c>
      <c r="P803" s="6" t="s">
        <v>8725</v>
      </c>
      <c r="Q803" s="6" t="s">
        <v>8726</v>
      </c>
      <c r="R803" s="6" t="s">
        <v>246</v>
      </c>
      <c r="S803" s="6" t="s">
        <v>147</v>
      </c>
      <c r="T803" s="6" t="s">
        <v>246</v>
      </c>
      <c r="U803" s="6" t="s">
        <v>252</v>
      </c>
      <c r="V803" s="6" t="s">
        <v>246</v>
      </c>
      <c r="W803" s="6" t="s">
        <v>158</v>
      </c>
      <c r="X803" s="6" t="s">
        <v>257</v>
      </c>
      <c r="Y803" s="6" t="s">
        <v>162</v>
      </c>
      <c r="Z803" s="6" t="s">
        <v>4804</v>
      </c>
      <c r="AA803" s="6" t="s">
        <v>262</v>
      </c>
      <c r="AB803" s="6" t="s">
        <v>521</v>
      </c>
      <c r="AC803" s="6" t="s">
        <v>174</v>
      </c>
      <c r="AD803" s="6" t="s">
        <v>175</v>
      </c>
      <c r="AE803" s="6" t="s">
        <v>271</v>
      </c>
      <c r="AF803" s="6" t="s">
        <v>181</v>
      </c>
      <c r="AG803" s="6" t="s">
        <v>182</v>
      </c>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row>
    <row r="804" ht="22.5" customHeight="1">
      <c r="A804" s="4">
        <v>46229.701098564816</v>
      </c>
      <c r="B804" s="5">
        <v>0.0</v>
      </c>
      <c r="C804" s="6" t="s">
        <v>114</v>
      </c>
      <c r="D804" s="6" t="s">
        <v>1202</v>
      </c>
      <c r="E804" s="6" t="s">
        <v>1767</v>
      </c>
      <c r="F804" s="6">
        <v>6.9070502434E10</v>
      </c>
      <c r="G804" s="6" t="s">
        <v>122</v>
      </c>
      <c r="H804" s="7"/>
      <c r="I804" s="6" t="s">
        <v>8727</v>
      </c>
      <c r="J804" s="6" t="s">
        <v>8728</v>
      </c>
      <c r="K804" s="6" t="s">
        <v>8729</v>
      </c>
      <c r="L804" s="6" t="s">
        <v>8730</v>
      </c>
      <c r="M804" s="6" t="s">
        <v>8731</v>
      </c>
      <c r="N804" s="7"/>
      <c r="O804" s="6" t="s">
        <v>8732</v>
      </c>
      <c r="P804" s="6" t="s">
        <v>8733</v>
      </c>
      <c r="Q804" s="6" t="s">
        <v>8734</v>
      </c>
      <c r="R804" s="6" t="s">
        <v>246</v>
      </c>
      <c r="S804" s="6" t="s">
        <v>147</v>
      </c>
      <c r="T804" s="6" t="s">
        <v>250</v>
      </c>
      <c r="U804" s="6" t="s">
        <v>152</v>
      </c>
      <c r="V804" s="6" t="s">
        <v>246</v>
      </c>
      <c r="W804" s="6" t="s">
        <v>158</v>
      </c>
      <c r="X804" s="6" t="s">
        <v>257</v>
      </c>
      <c r="Y804" s="6" t="s">
        <v>162</v>
      </c>
      <c r="Z804" s="6" t="s">
        <v>165</v>
      </c>
      <c r="AA804" s="6" t="s">
        <v>262</v>
      </c>
      <c r="AB804" s="6" t="s">
        <v>171</v>
      </c>
      <c r="AC804" s="6" t="s">
        <v>174</v>
      </c>
      <c r="AD804" s="6" t="s">
        <v>175</v>
      </c>
      <c r="AE804" s="6" t="s">
        <v>271</v>
      </c>
      <c r="AF804" s="6" t="s">
        <v>181</v>
      </c>
      <c r="AG804" s="6" t="s">
        <v>182</v>
      </c>
      <c r="AH804" s="7"/>
      <c r="AI804" s="7"/>
      <c r="AJ804" s="7"/>
      <c r="AK804" s="7"/>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c r="BJ804" s="7"/>
      <c r="BK804" s="7"/>
    </row>
    <row r="805" ht="22.5" customHeight="1">
      <c r="A805" s="4">
        <v>46229.7010999537</v>
      </c>
      <c r="B805" s="5">
        <v>0.0</v>
      </c>
      <c r="C805" s="6" t="s">
        <v>114</v>
      </c>
      <c r="D805" s="6" t="s">
        <v>107</v>
      </c>
      <c r="E805" s="6" t="s">
        <v>1768</v>
      </c>
      <c r="F805" s="6">
        <v>6.9070508247E10</v>
      </c>
      <c r="G805" s="6" t="s">
        <v>730</v>
      </c>
      <c r="H805" s="7"/>
      <c r="I805" s="6" t="s">
        <v>8735</v>
      </c>
      <c r="J805" s="6" t="s">
        <v>8736</v>
      </c>
      <c r="K805" s="6" t="s">
        <v>8737</v>
      </c>
      <c r="L805" s="6" t="s">
        <v>8738</v>
      </c>
      <c r="M805" s="6" t="s">
        <v>8739</v>
      </c>
      <c r="N805" s="7"/>
      <c r="O805" s="6" t="s">
        <v>8740</v>
      </c>
      <c r="P805" s="6" t="s">
        <v>8741</v>
      </c>
      <c r="Q805" s="6" t="s">
        <v>8742</v>
      </c>
      <c r="R805" s="6" t="s">
        <v>246</v>
      </c>
      <c r="S805" s="6" t="s">
        <v>147</v>
      </c>
      <c r="T805" s="6" t="s">
        <v>250</v>
      </c>
      <c r="U805" s="6" t="s">
        <v>252</v>
      </c>
      <c r="V805" s="6" t="s">
        <v>155</v>
      </c>
      <c r="W805" s="6" t="s">
        <v>158</v>
      </c>
      <c r="X805" s="6" t="s">
        <v>257</v>
      </c>
      <c r="Y805" s="6" t="s">
        <v>162</v>
      </c>
      <c r="Z805" s="6" t="s">
        <v>165</v>
      </c>
      <c r="AA805" s="6" t="s">
        <v>262</v>
      </c>
      <c r="AB805" s="6" t="s">
        <v>1266</v>
      </c>
      <c r="AC805" s="6" t="s">
        <v>633</v>
      </c>
      <c r="AD805" s="6" t="s">
        <v>175</v>
      </c>
      <c r="AE805" s="6" t="s">
        <v>3105</v>
      </c>
      <c r="AF805" s="6" t="s">
        <v>181</v>
      </c>
      <c r="AG805" s="6" t="s">
        <v>182</v>
      </c>
      <c r="AH805" s="7"/>
      <c r="AI805" s="7"/>
      <c r="AJ805" s="7"/>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row>
    <row r="806" ht="22.5" customHeight="1">
      <c r="A806" s="4">
        <v>46229.701116944445</v>
      </c>
      <c r="B806" s="5">
        <v>0.0</v>
      </c>
      <c r="C806" s="6" t="s">
        <v>114</v>
      </c>
      <c r="D806" s="6" t="s">
        <v>1769</v>
      </c>
      <c r="E806" s="6" t="s">
        <v>1770</v>
      </c>
      <c r="F806" s="6">
        <v>6.907050963E10</v>
      </c>
      <c r="G806" s="6" t="s">
        <v>730</v>
      </c>
      <c r="H806" s="7"/>
      <c r="I806" s="6" t="s">
        <v>8743</v>
      </c>
      <c r="J806" s="6" t="s">
        <v>8744</v>
      </c>
      <c r="K806" s="6" t="s">
        <v>8745</v>
      </c>
      <c r="L806" s="6" t="s">
        <v>5951</v>
      </c>
      <c r="M806" s="6" t="s">
        <v>8746</v>
      </c>
      <c r="N806" s="7"/>
      <c r="O806" s="6" t="s">
        <v>8747</v>
      </c>
      <c r="P806" s="6" t="s">
        <v>8748</v>
      </c>
      <c r="Q806" s="6" t="s">
        <v>8749</v>
      </c>
      <c r="R806" s="6" t="s">
        <v>246</v>
      </c>
      <c r="S806" s="6" t="s">
        <v>147</v>
      </c>
      <c r="T806" s="6" t="s">
        <v>250</v>
      </c>
      <c r="U806" s="6" t="s">
        <v>560</v>
      </c>
      <c r="V806" s="6" t="s">
        <v>155</v>
      </c>
      <c r="W806" s="6" t="s">
        <v>158</v>
      </c>
      <c r="X806" s="6" t="s">
        <v>257</v>
      </c>
      <c r="Y806" s="6" t="s">
        <v>162</v>
      </c>
      <c r="Z806" s="6" t="s">
        <v>165</v>
      </c>
      <c r="AA806" s="6" t="s">
        <v>262</v>
      </c>
      <c r="AB806" s="6" t="s">
        <v>171</v>
      </c>
      <c r="AC806" s="6" t="s">
        <v>174</v>
      </c>
      <c r="AD806" s="6" t="s">
        <v>175</v>
      </c>
      <c r="AE806" s="6" t="s">
        <v>271</v>
      </c>
      <c r="AF806" s="6" t="s">
        <v>181</v>
      </c>
      <c r="AG806" s="6" t="s">
        <v>182</v>
      </c>
      <c r="AH806" s="7"/>
      <c r="AI806" s="7"/>
      <c r="AJ806" s="7"/>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c r="BJ806" s="7"/>
      <c r="BK806" s="7"/>
    </row>
    <row r="807" ht="22.5" customHeight="1">
      <c r="A807" s="4">
        <v>46229.70112162037</v>
      </c>
      <c r="B807" s="5">
        <v>0.0</v>
      </c>
      <c r="C807" s="6" t="s">
        <v>114</v>
      </c>
      <c r="D807" s="6" t="s">
        <v>104</v>
      </c>
      <c r="E807" s="6" t="s">
        <v>1771</v>
      </c>
      <c r="F807" s="6">
        <v>6.9070502401E10</v>
      </c>
      <c r="G807" s="6" t="s">
        <v>122</v>
      </c>
      <c r="H807" s="6" t="s">
        <v>8750</v>
      </c>
      <c r="I807" s="6" t="s">
        <v>8751</v>
      </c>
      <c r="J807" s="6" t="s">
        <v>8751</v>
      </c>
      <c r="K807" s="6" t="s">
        <v>8752</v>
      </c>
      <c r="L807" s="6" t="s">
        <v>8753</v>
      </c>
      <c r="M807" s="6" t="s">
        <v>8754</v>
      </c>
      <c r="N807" s="6" t="s">
        <v>8755</v>
      </c>
      <c r="O807" s="6" t="s">
        <v>8756</v>
      </c>
      <c r="P807" s="6" t="s">
        <v>8757</v>
      </c>
      <c r="Q807" s="6" t="s">
        <v>8758</v>
      </c>
      <c r="R807" s="6" t="s">
        <v>246</v>
      </c>
      <c r="S807" s="6" t="s">
        <v>147</v>
      </c>
      <c r="T807" s="6" t="s">
        <v>250</v>
      </c>
      <c r="U807" s="6" t="s">
        <v>560</v>
      </c>
      <c r="V807" s="6" t="s">
        <v>246</v>
      </c>
      <c r="W807" s="6" t="s">
        <v>158</v>
      </c>
      <c r="X807" s="6" t="s">
        <v>458</v>
      </c>
      <c r="Y807" s="6" t="s">
        <v>162</v>
      </c>
      <c r="Z807" s="6" t="s">
        <v>165</v>
      </c>
      <c r="AA807" s="6" t="s">
        <v>262</v>
      </c>
      <c r="AB807" s="6" t="s">
        <v>171</v>
      </c>
      <c r="AC807" s="6" t="s">
        <v>174</v>
      </c>
      <c r="AD807" s="6" t="s">
        <v>175</v>
      </c>
      <c r="AE807" s="6" t="s">
        <v>271</v>
      </c>
      <c r="AF807" s="6" t="s">
        <v>181</v>
      </c>
      <c r="AG807" s="6" t="s">
        <v>182</v>
      </c>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row>
    <row r="808" ht="22.5" customHeight="1">
      <c r="A808" s="4">
        <v>46229.701122488426</v>
      </c>
      <c r="B808" s="5">
        <v>0.0</v>
      </c>
      <c r="C808" s="6" t="s">
        <v>114</v>
      </c>
      <c r="D808" s="6" t="s">
        <v>1772</v>
      </c>
      <c r="E808" s="6" t="s">
        <v>1773</v>
      </c>
      <c r="F808" s="6">
        <v>6.9070508225E10</v>
      </c>
      <c r="G808" s="6" t="s">
        <v>730</v>
      </c>
      <c r="H808" s="7"/>
      <c r="I808" s="6" t="s">
        <v>8759</v>
      </c>
      <c r="J808" s="6" t="s">
        <v>8760</v>
      </c>
      <c r="K808" s="6" t="s">
        <v>8761</v>
      </c>
      <c r="L808" s="6" t="s">
        <v>8762</v>
      </c>
      <c r="M808" s="6" t="s">
        <v>8763</v>
      </c>
      <c r="N808" s="6" t="s">
        <v>8764</v>
      </c>
      <c r="O808" s="6" t="s">
        <v>8765</v>
      </c>
      <c r="P808" s="6" t="s">
        <v>8766</v>
      </c>
      <c r="Q808" s="6" t="s">
        <v>8767</v>
      </c>
      <c r="R808" s="6" t="s">
        <v>246</v>
      </c>
      <c r="S808" s="6" t="s">
        <v>147</v>
      </c>
      <c r="T808" s="6" t="s">
        <v>250</v>
      </c>
      <c r="U808" s="6" t="s">
        <v>252</v>
      </c>
      <c r="V808" s="6" t="s">
        <v>246</v>
      </c>
      <c r="W808" s="6" t="s">
        <v>158</v>
      </c>
      <c r="X808" s="6" t="s">
        <v>458</v>
      </c>
      <c r="Y808" s="6" t="s">
        <v>162</v>
      </c>
      <c r="Z808" s="6" t="s">
        <v>165</v>
      </c>
      <c r="AA808" s="6" t="s">
        <v>262</v>
      </c>
      <c r="AB808" s="6" t="s">
        <v>171</v>
      </c>
      <c r="AC808" s="6" t="s">
        <v>1210</v>
      </c>
      <c r="AD808" s="6" t="s">
        <v>175</v>
      </c>
      <c r="AE808" s="6" t="s">
        <v>271</v>
      </c>
      <c r="AF808" s="6" t="s">
        <v>181</v>
      </c>
      <c r="AG808" s="6" t="s">
        <v>182</v>
      </c>
      <c r="AH808" s="7"/>
      <c r="AI808" s="7"/>
      <c r="AJ808" s="7"/>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c r="BJ808" s="7"/>
      <c r="BK808" s="7"/>
    </row>
    <row r="809" ht="22.5" customHeight="1">
      <c r="A809" s="4">
        <v>46229.70112515046</v>
      </c>
      <c r="B809" s="5">
        <v>0.0</v>
      </c>
      <c r="C809" s="6" t="s">
        <v>3296</v>
      </c>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6" t="s">
        <v>1380</v>
      </c>
      <c r="AI809" s="6" t="s">
        <v>2733</v>
      </c>
      <c r="AJ809" s="6">
        <v>6.9070503454E10</v>
      </c>
      <c r="AK809" s="6" t="s">
        <v>3297</v>
      </c>
      <c r="AL809" s="6" t="s">
        <v>8768</v>
      </c>
      <c r="AM809" s="6" t="s">
        <v>8769</v>
      </c>
      <c r="AN809" s="6" t="s">
        <v>8770</v>
      </c>
      <c r="AO809" s="6" t="s">
        <v>8771</v>
      </c>
      <c r="AP809" s="6" t="s">
        <v>8772</v>
      </c>
      <c r="AQ809" s="6" t="s">
        <v>8773</v>
      </c>
      <c r="AR809" s="7"/>
      <c r="AS809" s="6" t="s">
        <v>8774</v>
      </c>
      <c r="AT809" s="6" t="s">
        <v>8775</v>
      </c>
      <c r="AU809" s="6" t="s">
        <v>8776</v>
      </c>
      <c r="AV809" s="6" t="s">
        <v>3312</v>
      </c>
      <c r="AW809" s="6" t="s">
        <v>3307</v>
      </c>
      <c r="AX809" s="6" t="s">
        <v>3308</v>
      </c>
      <c r="AY809" s="6" t="s">
        <v>4067</v>
      </c>
      <c r="AZ809" s="6" t="s">
        <v>3306</v>
      </c>
      <c r="BA809" s="6" t="s">
        <v>3311</v>
      </c>
      <c r="BB809" s="6" t="s">
        <v>4693</v>
      </c>
      <c r="BC809" s="6" t="s">
        <v>3313</v>
      </c>
      <c r="BD809" s="6" t="s">
        <v>165</v>
      </c>
      <c r="BE809" s="6" t="s">
        <v>3888</v>
      </c>
      <c r="BF809" s="6" t="s">
        <v>3315</v>
      </c>
      <c r="BG809" s="6" t="s">
        <v>3316</v>
      </c>
      <c r="BH809" s="6" t="s">
        <v>3317</v>
      </c>
      <c r="BI809" s="6" t="s">
        <v>271</v>
      </c>
      <c r="BJ809" s="6" t="s">
        <v>3318</v>
      </c>
      <c r="BK809" s="6" t="s">
        <v>3319</v>
      </c>
    </row>
    <row r="810" ht="22.5" customHeight="1">
      <c r="A810" s="4">
        <v>46229.701136006945</v>
      </c>
      <c r="B810" s="5">
        <v>0.0</v>
      </c>
      <c r="C810" s="6" t="s">
        <v>114</v>
      </c>
      <c r="D810" s="6" t="s">
        <v>1774</v>
      </c>
      <c r="E810" s="6" t="s">
        <v>1775</v>
      </c>
      <c r="F810" s="6">
        <v>6.9070501848E10</v>
      </c>
      <c r="G810" s="6" t="s">
        <v>730</v>
      </c>
      <c r="H810" s="7"/>
      <c r="I810" s="6" t="s">
        <v>8777</v>
      </c>
      <c r="J810" s="6" t="s">
        <v>8778</v>
      </c>
      <c r="K810" s="6" t="s">
        <v>8779</v>
      </c>
      <c r="L810" s="6" t="s">
        <v>8780</v>
      </c>
      <c r="M810" s="6" t="s">
        <v>8781</v>
      </c>
      <c r="N810" s="7"/>
      <c r="O810" s="6" t="s">
        <v>8782</v>
      </c>
      <c r="P810" s="6" t="s">
        <v>8783</v>
      </c>
      <c r="Q810" s="6" t="s">
        <v>8784</v>
      </c>
      <c r="R810" s="6" t="s">
        <v>246</v>
      </c>
      <c r="S810" s="6" t="s">
        <v>147</v>
      </c>
      <c r="T810" s="6" t="s">
        <v>250</v>
      </c>
      <c r="U810" s="6" t="s">
        <v>2254</v>
      </c>
      <c r="V810" s="6" t="s">
        <v>246</v>
      </c>
      <c r="W810" s="6" t="s">
        <v>158</v>
      </c>
      <c r="X810" s="6" t="s">
        <v>257</v>
      </c>
      <c r="Y810" s="6" t="s">
        <v>162</v>
      </c>
      <c r="Z810" s="6" t="s">
        <v>165</v>
      </c>
      <c r="AA810" s="6" t="s">
        <v>262</v>
      </c>
      <c r="AB810" s="6" t="s">
        <v>521</v>
      </c>
      <c r="AC810" s="6" t="s">
        <v>1669</v>
      </c>
      <c r="AD810" s="6" t="s">
        <v>175</v>
      </c>
      <c r="AE810" s="6" t="s">
        <v>271</v>
      </c>
      <c r="AF810" s="6" t="s">
        <v>181</v>
      </c>
      <c r="AG810" s="6" t="s">
        <v>182</v>
      </c>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row>
    <row r="811" ht="22.5" customHeight="1">
      <c r="A811" s="4">
        <v>46229.701136979165</v>
      </c>
      <c r="B811" s="5">
        <v>0.0</v>
      </c>
      <c r="C811" s="6" t="s">
        <v>114</v>
      </c>
      <c r="D811" s="6" t="s">
        <v>1776</v>
      </c>
      <c r="E811" s="6" t="s">
        <v>1777</v>
      </c>
      <c r="F811" s="6">
        <v>6.9070506415E10</v>
      </c>
      <c r="G811" s="6" t="s">
        <v>599</v>
      </c>
      <c r="H811" s="7"/>
      <c r="I811" s="6" t="s">
        <v>8785</v>
      </c>
      <c r="J811" s="6" t="s">
        <v>8786</v>
      </c>
      <c r="K811" s="6" t="s">
        <v>8787</v>
      </c>
      <c r="L811" s="6" t="s">
        <v>8788</v>
      </c>
      <c r="M811" s="6" t="s">
        <v>8789</v>
      </c>
      <c r="N811" s="6" t="s">
        <v>4012</v>
      </c>
      <c r="O811" s="6" t="s">
        <v>8790</v>
      </c>
      <c r="P811" s="6" t="s">
        <v>8791</v>
      </c>
      <c r="Q811" s="6" t="s">
        <v>8792</v>
      </c>
      <c r="R811" s="6" t="s">
        <v>246</v>
      </c>
      <c r="S811" s="6" t="s">
        <v>147</v>
      </c>
      <c r="T811" s="6" t="s">
        <v>250</v>
      </c>
      <c r="U811" s="6" t="s">
        <v>252</v>
      </c>
      <c r="V811" s="6" t="s">
        <v>246</v>
      </c>
      <c r="W811" s="6" t="s">
        <v>158</v>
      </c>
      <c r="X811" s="6" t="s">
        <v>161</v>
      </c>
      <c r="Y811" s="6" t="s">
        <v>162</v>
      </c>
      <c r="Z811" s="6" t="s">
        <v>165</v>
      </c>
      <c r="AA811" s="6" t="s">
        <v>262</v>
      </c>
      <c r="AB811" s="6" t="s">
        <v>171</v>
      </c>
      <c r="AC811" s="6" t="s">
        <v>174</v>
      </c>
      <c r="AD811" s="6" t="s">
        <v>175</v>
      </c>
      <c r="AE811" s="6" t="s">
        <v>271</v>
      </c>
      <c r="AF811" s="6" t="s">
        <v>181</v>
      </c>
      <c r="AG811" s="6" t="s">
        <v>182</v>
      </c>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row>
    <row r="812" ht="22.5" customHeight="1">
      <c r="A812" s="4">
        <v>46229.70113961806</v>
      </c>
      <c r="B812" s="5">
        <v>0.0</v>
      </c>
      <c r="C812" s="6" t="s">
        <v>3296</v>
      </c>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6" t="s">
        <v>2734</v>
      </c>
      <c r="AI812" s="6" t="s">
        <v>2735</v>
      </c>
      <c r="AJ812" s="6">
        <v>6.9070507825E10</v>
      </c>
      <c r="AK812" s="6" t="s">
        <v>5236</v>
      </c>
      <c r="AL812" s="6">
        <v>6.0</v>
      </c>
      <c r="AM812" s="6" t="s">
        <v>8793</v>
      </c>
      <c r="AN812" s="6" t="s">
        <v>8794</v>
      </c>
      <c r="AO812" s="6" t="s">
        <v>8795</v>
      </c>
      <c r="AP812" s="6" t="s">
        <v>8796</v>
      </c>
      <c r="AQ812" s="6" t="s">
        <v>8797</v>
      </c>
      <c r="AR812" s="6" t="s">
        <v>8798</v>
      </c>
      <c r="AS812" s="6" t="s">
        <v>8799</v>
      </c>
      <c r="AT812" s="6" t="s">
        <v>8800</v>
      </c>
      <c r="AU812" s="6" t="s">
        <v>8801</v>
      </c>
      <c r="AV812" s="6" t="s">
        <v>3312</v>
      </c>
      <c r="AW812" s="6" t="s">
        <v>3307</v>
      </c>
      <c r="AX812" s="6" t="s">
        <v>3887</v>
      </c>
      <c r="AY812" s="6" t="s">
        <v>4067</v>
      </c>
      <c r="AZ812" s="6" t="s">
        <v>3306</v>
      </c>
      <c r="BA812" s="6" t="s">
        <v>3311</v>
      </c>
      <c r="BB812" s="6" t="s">
        <v>3312</v>
      </c>
      <c r="BC812" s="6" t="s">
        <v>8802</v>
      </c>
      <c r="BD812" s="6" t="s">
        <v>4804</v>
      </c>
      <c r="BE812" s="6" t="s">
        <v>3888</v>
      </c>
      <c r="BF812" s="6" t="s">
        <v>5052</v>
      </c>
      <c r="BG812" s="6" t="s">
        <v>3316</v>
      </c>
      <c r="BH812" s="6" t="s">
        <v>8124</v>
      </c>
      <c r="BI812" s="6" t="s">
        <v>3105</v>
      </c>
      <c r="BJ812" s="6" t="s">
        <v>3318</v>
      </c>
      <c r="BK812" s="6" t="s">
        <v>8803</v>
      </c>
    </row>
    <row r="813" ht="22.5" customHeight="1">
      <c r="A813" s="4">
        <v>46229.701150821755</v>
      </c>
      <c r="B813" s="5">
        <v>0.0</v>
      </c>
      <c r="C813" s="6" t="s">
        <v>114</v>
      </c>
      <c r="D813" s="6" t="s">
        <v>920</v>
      </c>
      <c r="E813" s="6" t="s">
        <v>1778</v>
      </c>
      <c r="F813" s="6">
        <v>6.9070500306E10</v>
      </c>
      <c r="G813" s="6" t="s">
        <v>599</v>
      </c>
      <c r="H813" s="7"/>
      <c r="I813" s="6" t="s">
        <v>3734</v>
      </c>
      <c r="J813" s="6" t="s">
        <v>8804</v>
      </c>
      <c r="K813" s="6" t="s">
        <v>7843</v>
      </c>
      <c r="L813" s="6" t="s">
        <v>6511</v>
      </c>
      <c r="M813" s="6" t="s">
        <v>5194</v>
      </c>
      <c r="N813" s="7"/>
      <c r="O813" s="6" t="s">
        <v>8805</v>
      </c>
      <c r="P813" s="6" t="s">
        <v>8806</v>
      </c>
      <c r="Q813" s="6" t="s">
        <v>8807</v>
      </c>
      <c r="R813" s="6" t="s">
        <v>246</v>
      </c>
      <c r="S813" s="6" t="s">
        <v>147</v>
      </c>
      <c r="T813" s="6" t="s">
        <v>250</v>
      </c>
      <c r="U813" s="6" t="s">
        <v>252</v>
      </c>
      <c r="V813" s="6" t="s">
        <v>246</v>
      </c>
      <c r="W813" s="6" t="s">
        <v>158</v>
      </c>
      <c r="X813" s="6" t="s">
        <v>257</v>
      </c>
      <c r="Y813" s="6" t="s">
        <v>162</v>
      </c>
      <c r="Z813" s="6" t="s">
        <v>165</v>
      </c>
      <c r="AA813" s="6" t="s">
        <v>262</v>
      </c>
      <c r="AB813" s="6" t="s">
        <v>171</v>
      </c>
      <c r="AC813" s="6" t="s">
        <v>174</v>
      </c>
      <c r="AD813" s="6" t="s">
        <v>175</v>
      </c>
      <c r="AE813" s="6" t="s">
        <v>271</v>
      </c>
      <c r="AF813" s="6" t="s">
        <v>181</v>
      </c>
      <c r="AG813" s="6" t="s">
        <v>182</v>
      </c>
      <c r="AH813" s="7"/>
      <c r="AI813" s="7"/>
      <c r="AJ813" s="7"/>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row>
    <row r="814" ht="22.5" customHeight="1">
      <c r="A814" s="4">
        <v>46229.701151643516</v>
      </c>
      <c r="B814" s="5">
        <v>0.0</v>
      </c>
      <c r="C814" s="6" t="s">
        <v>114</v>
      </c>
      <c r="D814" s="6" t="s">
        <v>60</v>
      </c>
      <c r="E814" s="6" t="s">
        <v>1779</v>
      </c>
      <c r="F814" s="6">
        <v>6.9070509815E10</v>
      </c>
      <c r="G814" s="6" t="s">
        <v>496</v>
      </c>
      <c r="H814" s="6" t="s">
        <v>8808</v>
      </c>
      <c r="I814" s="6" t="s">
        <v>3959</v>
      </c>
      <c r="J814" s="6" t="s">
        <v>8809</v>
      </c>
      <c r="K814" s="6" t="s">
        <v>8810</v>
      </c>
      <c r="L814" s="6" t="s">
        <v>8811</v>
      </c>
      <c r="M814" s="6" t="s">
        <v>8812</v>
      </c>
      <c r="N814" s="7"/>
      <c r="O814" s="6" t="s">
        <v>8813</v>
      </c>
      <c r="P814" s="6" t="s">
        <v>8814</v>
      </c>
      <c r="Q814" s="6" t="s">
        <v>8815</v>
      </c>
      <c r="R814" s="6" t="s">
        <v>257</v>
      </c>
      <c r="S814" s="6" t="s">
        <v>147</v>
      </c>
      <c r="T814" s="6" t="s">
        <v>246</v>
      </c>
      <c r="U814" s="6" t="s">
        <v>560</v>
      </c>
      <c r="V814" s="6" t="s">
        <v>246</v>
      </c>
      <c r="W814" s="6" t="s">
        <v>158</v>
      </c>
      <c r="X814" s="6" t="s">
        <v>257</v>
      </c>
      <c r="Y814" s="6" t="s">
        <v>162</v>
      </c>
      <c r="Z814" s="6" t="s">
        <v>165</v>
      </c>
      <c r="AA814" s="6" t="s">
        <v>262</v>
      </c>
      <c r="AB814" s="6" t="s">
        <v>521</v>
      </c>
      <c r="AC814" s="6" t="s">
        <v>174</v>
      </c>
      <c r="AD814" s="6" t="s">
        <v>175</v>
      </c>
      <c r="AE814" s="6" t="s">
        <v>178</v>
      </c>
      <c r="AF814" s="6" t="s">
        <v>181</v>
      </c>
      <c r="AG814" s="6" t="s">
        <v>182</v>
      </c>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row>
    <row r="815" ht="22.5" customHeight="1">
      <c r="A815" s="4">
        <v>46229.70115659722</v>
      </c>
      <c r="B815" s="5">
        <v>0.0</v>
      </c>
      <c r="C815" s="6" t="s">
        <v>114</v>
      </c>
      <c r="D815" s="6" t="s">
        <v>1780</v>
      </c>
      <c r="E815" s="6" t="s">
        <v>1781</v>
      </c>
      <c r="F815" s="6">
        <v>6.9070500266E10</v>
      </c>
      <c r="G815" s="6" t="s">
        <v>599</v>
      </c>
      <c r="H815" s="7"/>
      <c r="I815" s="6" t="s">
        <v>7555</v>
      </c>
      <c r="J815" s="6" t="s">
        <v>7843</v>
      </c>
      <c r="K815" s="6" t="s">
        <v>6511</v>
      </c>
      <c r="L815" s="6" t="s">
        <v>8816</v>
      </c>
      <c r="M815" s="6" t="s">
        <v>6305</v>
      </c>
      <c r="N815" s="7"/>
      <c r="O815" s="6" t="s">
        <v>8817</v>
      </c>
      <c r="P815" s="6" t="s">
        <v>8818</v>
      </c>
      <c r="Q815" s="6" t="s">
        <v>8819</v>
      </c>
      <c r="R815" s="6" t="s">
        <v>246</v>
      </c>
      <c r="S815" s="6" t="s">
        <v>147</v>
      </c>
      <c r="T815" s="6" t="s">
        <v>250</v>
      </c>
      <c r="U815" s="6" t="s">
        <v>252</v>
      </c>
      <c r="V815" s="6" t="s">
        <v>246</v>
      </c>
      <c r="W815" s="6" t="s">
        <v>158</v>
      </c>
      <c r="X815" s="6" t="s">
        <v>257</v>
      </c>
      <c r="Y815" s="6" t="s">
        <v>162</v>
      </c>
      <c r="Z815" s="6" t="s">
        <v>165</v>
      </c>
      <c r="AA815" s="6" t="s">
        <v>262</v>
      </c>
      <c r="AB815" s="6" t="s">
        <v>171</v>
      </c>
      <c r="AC815" s="6" t="s">
        <v>174</v>
      </c>
      <c r="AD815" s="6" t="s">
        <v>175</v>
      </c>
      <c r="AE815" s="6" t="s">
        <v>271</v>
      </c>
      <c r="AF815" s="6" t="s">
        <v>181</v>
      </c>
      <c r="AG815" s="6" t="s">
        <v>182</v>
      </c>
      <c r="AH815" s="7"/>
      <c r="AI815" s="7"/>
      <c r="AJ815" s="7"/>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row>
    <row r="816" ht="22.5" customHeight="1">
      <c r="A816" s="4">
        <v>46229.701158599535</v>
      </c>
      <c r="B816" s="5">
        <v>0.0</v>
      </c>
      <c r="C816" s="6" t="s">
        <v>3296</v>
      </c>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6" t="s">
        <v>2736</v>
      </c>
      <c r="AI816" s="6" t="s">
        <v>2737</v>
      </c>
      <c r="AJ816" s="6">
        <v>6.9070507832E10</v>
      </c>
      <c r="AK816" s="6" t="s">
        <v>5236</v>
      </c>
      <c r="AL816" s="7"/>
      <c r="AM816" s="6" t="s">
        <v>8820</v>
      </c>
      <c r="AN816" s="6" t="s">
        <v>8821</v>
      </c>
      <c r="AO816" s="6" t="s">
        <v>8822</v>
      </c>
      <c r="AP816" s="6" t="s">
        <v>8823</v>
      </c>
      <c r="AQ816" s="6" t="s">
        <v>8824</v>
      </c>
      <c r="AR816" s="7"/>
      <c r="AS816" s="6" t="s">
        <v>8825</v>
      </c>
      <c r="AT816" s="6" t="s">
        <v>8826</v>
      </c>
      <c r="AU816" s="6" t="s">
        <v>8827</v>
      </c>
      <c r="AV816" s="6" t="s">
        <v>3306</v>
      </c>
      <c r="AW816" s="6" t="s">
        <v>3307</v>
      </c>
      <c r="AX816" s="6" t="s">
        <v>3887</v>
      </c>
      <c r="AY816" s="6" t="s">
        <v>804</v>
      </c>
      <c r="AZ816" s="6" t="s">
        <v>3887</v>
      </c>
      <c r="BA816" s="6" t="s">
        <v>3311</v>
      </c>
      <c r="BB816" s="6" t="s">
        <v>3312</v>
      </c>
      <c r="BC816" s="6" t="s">
        <v>3313</v>
      </c>
      <c r="BD816" s="6" t="s">
        <v>165</v>
      </c>
      <c r="BE816" s="6" t="s">
        <v>3888</v>
      </c>
      <c r="BF816" s="6" t="s">
        <v>7476</v>
      </c>
      <c r="BG816" s="6" t="s">
        <v>4068</v>
      </c>
      <c r="BH816" s="6" t="s">
        <v>3317</v>
      </c>
      <c r="BI816" s="6" t="s">
        <v>271</v>
      </c>
      <c r="BJ816" s="6" t="s">
        <v>3318</v>
      </c>
      <c r="BK816" s="6" t="s">
        <v>3319</v>
      </c>
    </row>
    <row r="817" ht="22.5" customHeight="1">
      <c r="A817" s="4">
        <v>46229.70116578703</v>
      </c>
      <c r="B817" s="5">
        <v>0.0</v>
      </c>
      <c r="C817" s="6" t="s">
        <v>114</v>
      </c>
      <c r="D817" s="6" t="s">
        <v>1782</v>
      </c>
      <c r="E817" s="6" t="s">
        <v>1783</v>
      </c>
      <c r="F817" s="6">
        <v>6.9070508806E10</v>
      </c>
      <c r="G817" s="6" t="s">
        <v>5399</v>
      </c>
      <c r="H817" s="7"/>
      <c r="I817" s="6" t="s">
        <v>8828</v>
      </c>
      <c r="J817" s="6" t="s">
        <v>7821</v>
      </c>
      <c r="K817" s="6" t="s">
        <v>8829</v>
      </c>
      <c r="L817" s="6" t="s">
        <v>8830</v>
      </c>
      <c r="M817" s="6" t="s">
        <v>8831</v>
      </c>
      <c r="N817" s="6" t="s">
        <v>8832</v>
      </c>
      <c r="O817" s="6" t="s">
        <v>8833</v>
      </c>
      <c r="P817" s="6" t="s">
        <v>8834</v>
      </c>
      <c r="Q817" s="6" t="s">
        <v>8835</v>
      </c>
      <c r="R817" s="6" t="s">
        <v>257</v>
      </c>
      <c r="S817" s="6" t="s">
        <v>147</v>
      </c>
      <c r="T817" s="6" t="s">
        <v>250</v>
      </c>
      <c r="U817" s="6" t="s">
        <v>252</v>
      </c>
      <c r="V817" s="6" t="s">
        <v>246</v>
      </c>
      <c r="W817" s="6" t="s">
        <v>158</v>
      </c>
      <c r="X817" s="6" t="s">
        <v>257</v>
      </c>
      <c r="Y817" s="6" t="s">
        <v>162</v>
      </c>
      <c r="Z817" s="6" t="s">
        <v>165</v>
      </c>
      <c r="AA817" s="6" t="s">
        <v>262</v>
      </c>
      <c r="AB817" s="6" t="s">
        <v>171</v>
      </c>
      <c r="AC817" s="6" t="s">
        <v>174</v>
      </c>
      <c r="AD817" s="6" t="s">
        <v>175</v>
      </c>
      <c r="AE817" s="6" t="s">
        <v>271</v>
      </c>
      <c r="AF817" s="6" t="s">
        <v>181</v>
      </c>
      <c r="AG817" s="6" t="s">
        <v>182</v>
      </c>
      <c r="AH817" s="7"/>
      <c r="AI817" s="7"/>
      <c r="AJ817" s="7"/>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row>
    <row r="818" ht="22.5" customHeight="1">
      <c r="A818" s="4">
        <v>46229.70117</v>
      </c>
      <c r="B818" s="5">
        <v>0.0</v>
      </c>
      <c r="C818" s="6" t="s">
        <v>114</v>
      </c>
      <c r="D818" s="6" t="s">
        <v>1784</v>
      </c>
      <c r="E818" s="6" t="s">
        <v>1785</v>
      </c>
      <c r="F818" s="6">
        <v>6.9070509445E10</v>
      </c>
      <c r="G818" s="6" t="s">
        <v>122</v>
      </c>
      <c r="H818" s="6" t="s">
        <v>8836</v>
      </c>
      <c r="I818" s="6" t="s">
        <v>7136</v>
      </c>
      <c r="J818" s="6" t="s">
        <v>7134</v>
      </c>
      <c r="K818" s="6" t="s">
        <v>7115</v>
      </c>
      <c r="L818" s="6" t="s">
        <v>8837</v>
      </c>
      <c r="M818" s="6" t="s">
        <v>8838</v>
      </c>
      <c r="N818" s="6" t="s">
        <v>2633</v>
      </c>
      <c r="O818" s="6" t="s">
        <v>8839</v>
      </c>
      <c r="P818" s="6" t="s">
        <v>8840</v>
      </c>
      <c r="Q818" s="6" t="s">
        <v>8841</v>
      </c>
      <c r="R818" s="6" t="s">
        <v>246</v>
      </c>
      <c r="S818" s="6" t="s">
        <v>147</v>
      </c>
      <c r="T818" s="6" t="s">
        <v>250</v>
      </c>
      <c r="U818" s="6" t="s">
        <v>2254</v>
      </c>
      <c r="V818" s="6" t="s">
        <v>155</v>
      </c>
      <c r="W818" s="6" t="s">
        <v>158</v>
      </c>
      <c r="X818" s="6" t="s">
        <v>257</v>
      </c>
      <c r="Y818" s="6" t="s">
        <v>162</v>
      </c>
      <c r="Z818" s="6" t="s">
        <v>165</v>
      </c>
      <c r="AA818" s="6" t="s">
        <v>262</v>
      </c>
      <c r="AB818" s="6" t="s">
        <v>521</v>
      </c>
      <c r="AC818" s="6" t="s">
        <v>1669</v>
      </c>
      <c r="AD818" s="6" t="s">
        <v>175</v>
      </c>
      <c r="AE818" s="6" t="s">
        <v>271</v>
      </c>
      <c r="AF818" s="6" t="s">
        <v>181</v>
      </c>
      <c r="AG818" s="6" t="s">
        <v>182</v>
      </c>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row>
    <row r="819" ht="22.5" customHeight="1">
      <c r="A819" s="4">
        <v>46229.70117626157</v>
      </c>
      <c r="B819" s="5">
        <v>0.0</v>
      </c>
      <c r="C819" s="6" t="s">
        <v>114</v>
      </c>
      <c r="D819" s="6" t="s">
        <v>1786</v>
      </c>
      <c r="E819" s="6" t="s">
        <v>1787</v>
      </c>
      <c r="F819" s="6">
        <v>6.9070509459E10</v>
      </c>
      <c r="G819" s="6" t="s">
        <v>122</v>
      </c>
      <c r="H819" s="7"/>
      <c r="I819" s="6" t="s">
        <v>8842</v>
      </c>
      <c r="J819" s="6" t="s">
        <v>8843</v>
      </c>
      <c r="K819" s="6" t="s">
        <v>8844</v>
      </c>
      <c r="L819" s="6" t="s">
        <v>8845</v>
      </c>
      <c r="M819" s="6" t="s">
        <v>8846</v>
      </c>
      <c r="N819" s="7"/>
      <c r="O819" s="6" t="s">
        <v>8847</v>
      </c>
      <c r="P819" s="6" t="s">
        <v>8848</v>
      </c>
      <c r="Q819" s="6" t="s">
        <v>8849</v>
      </c>
      <c r="R819" s="6" t="s">
        <v>246</v>
      </c>
      <c r="S819" s="6" t="s">
        <v>147</v>
      </c>
      <c r="T819" s="6" t="s">
        <v>250</v>
      </c>
      <c r="U819" s="6" t="s">
        <v>560</v>
      </c>
      <c r="V819" s="6" t="s">
        <v>246</v>
      </c>
      <c r="W819" s="6" t="s">
        <v>158</v>
      </c>
      <c r="X819" s="6" t="s">
        <v>257</v>
      </c>
      <c r="Y819" s="6" t="s">
        <v>162</v>
      </c>
      <c r="Z819" s="6" t="s">
        <v>165</v>
      </c>
      <c r="AA819" s="6" t="s">
        <v>262</v>
      </c>
      <c r="AB819" s="6" t="s">
        <v>171</v>
      </c>
      <c r="AC819" s="6" t="s">
        <v>1669</v>
      </c>
      <c r="AD819" s="6" t="s">
        <v>635</v>
      </c>
      <c r="AE819" s="6" t="s">
        <v>271</v>
      </c>
      <c r="AF819" s="6" t="s">
        <v>181</v>
      </c>
      <c r="AG819" s="6" t="s">
        <v>182</v>
      </c>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row>
    <row r="820" ht="22.5" customHeight="1">
      <c r="A820" s="4">
        <v>46229.70118221064</v>
      </c>
      <c r="B820" s="5">
        <v>0.0</v>
      </c>
      <c r="C820" s="6" t="s">
        <v>114</v>
      </c>
      <c r="D820" s="6" t="s">
        <v>1788</v>
      </c>
      <c r="E820" s="6" t="s">
        <v>1789</v>
      </c>
      <c r="F820" s="6">
        <v>6.9070502437E10</v>
      </c>
      <c r="G820" s="6" t="s">
        <v>122</v>
      </c>
      <c r="H820" s="6" t="s">
        <v>8850</v>
      </c>
      <c r="I820" s="6" t="s">
        <v>8851</v>
      </c>
      <c r="J820" s="6" t="s">
        <v>8852</v>
      </c>
      <c r="K820" s="6" t="s">
        <v>8853</v>
      </c>
      <c r="L820" s="6" t="s">
        <v>8854</v>
      </c>
      <c r="M820" s="6" t="s">
        <v>8855</v>
      </c>
      <c r="N820" s="6" t="s">
        <v>7401</v>
      </c>
      <c r="O820" s="6" t="s">
        <v>8856</v>
      </c>
      <c r="P820" s="6" t="s">
        <v>8857</v>
      </c>
      <c r="Q820" s="6" t="s">
        <v>8858</v>
      </c>
      <c r="R820" s="6" t="s">
        <v>246</v>
      </c>
      <c r="S820" s="6" t="s">
        <v>147</v>
      </c>
      <c r="T820" s="6" t="s">
        <v>250</v>
      </c>
      <c r="U820" s="6" t="s">
        <v>2254</v>
      </c>
      <c r="V820" s="6" t="s">
        <v>246</v>
      </c>
      <c r="W820" s="6" t="s">
        <v>3463</v>
      </c>
      <c r="X820" s="6" t="s">
        <v>257</v>
      </c>
      <c r="Y820" s="6" t="s">
        <v>162</v>
      </c>
      <c r="Z820" s="6" t="s">
        <v>629</v>
      </c>
      <c r="AA820" s="6" t="s">
        <v>641</v>
      </c>
      <c r="AB820" s="6" t="s">
        <v>171</v>
      </c>
      <c r="AC820" s="6" t="s">
        <v>1669</v>
      </c>
      <c r="AD820" s="6" t="s">
        <v>175</v>
      </c>
      <c r="AE820" s="6" t="s">
        <v>271</v>
      </c>
      <c r="AF820" s="6" t="s">
        <v>181</v>
      </c>
      <c r="AG820" s="6" t="s">
        <v>182</v>
      </c>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row>
    <row r="821" ht="22.5" customHeight="1">
      <c r="A821" s="4">
        <v>46229.70118244213</v>
      </c>
      <c r="B821" s="5">
        <v>0.0</v>
      </c>
      <c r="C821" s="6" t="s">
        <v>114</v>
      </c>
      <c r="D821" s="6" t="s">
        <v>1790</v>
      </c>
      <c r="E821" s="6" t="s">
        <v>1791</v>
      </c>
      <c r="F821" s="6">
        <v>6.9070509402E10</v>
      </c>
      <c r="G821" s="6" t="s">
        <v>122</v>
      </c>
      <c r="H821" s="7"/>
      <c r="I821" s="6" t="s">
        <v>8859</v>
      </c>
      <c r="J821" s="6" t="s">
        <v>8860</v>
      </c>
      <c r="K821" s="6" t="s">
        <v>8861</v>
      </c>
      <c r="L821" s="6" t="s">
        <v>8862</v>
      </c>
      <c r="M821" s="6" t="s">
        <v>8863</v>
      </c>
      <c r="N821" s="7"/>
      <c r="O821" s="6" t="s">
        <v>8864</v>
      </c>
      <c r="P821" s="6" t="s">
        <v>8865</v>
      </c>
      <c r="Q821" s="6" t="s">
        <v>8866</v>
      </c>
      <c r="R821" s="6" t="s">
        <v>246</v>
      </c>
      <c r="S821" s="6" t="s">
        <v>147</v>
      </c>
      <c r="T821" s="6" t="s">
        <v>250</v>
      </c>
      <c r="U821" s="6" t="s">
        <v>252</v>
      </c>
      <c r="V821" s="6" t="s">
        <v>246</v>
      </c>
      <c r="W821" s="6" t="s">
        <v>158</v>
      </c>
      <c r="X821" s="6" t="s">
        <v>257</v>
      </c>
      <c r="Y821" s="6" t="s">
        <v>162</v>
      </c>
      <c r="Z821" s="6" t="s">
        <v>165</v>
      </c>
      <c r="AA821" s="6" t="s">
        <v>262</v>
      </c>
      <c r="AB821" s="6" t="s">
        <v>171</v>
      </c>
      <c r="AC821" s="6" t="s">
        <v>174</v>
      </c>
      <c r="AD821" s="6" t="s">
        <v>175</v>
      </c>
      <c r="AE821" s="6" t="s">
        <v>271</v>
      </c>
      <c r="AF821" s="6" t="s">
        <v>181</v>
      </c>
      <c r="AG821" s="6" t="s">
        <v>182</v>
      </c>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row>
    <row r="822" ht="22.5" customHeight="1">
      <c r="A822" s="4">
        <v>46229.7011825</v>
      </c>
      <c r="B822" s="5">
        <v>0.0</v>
      </c>
      <c r="C822" s="6" t="s">
        <v>114</v>
      </c>
      <c r="D822" s="6" t="s">
        <v>1792</v>
      </c>
      <c r="E822" s="6" t="s">
        <v>1793</v>
      </c>
      <c r="F822" s="6">
        <v>6.9070500278E10</v>
      </c>
      <c r="G822" s="6" t="s">
        <v>599</v>
      </c>
      <c r="H822" s="7"/>
      <c r="I822" s="6" t="s">
        <v>8867</v>
      </c>
      <c r="J822" s="6" t="s">
        <v>3818</v>
      </c>
      <c r="K822" s="6" t="s">
        <v>8868</v>
      </c>
      <c r="L822" s="6" t="s">
        <v>3657</v>
      </c>
      <c r="M822" s="6" t="s">
        <v>8869</v>
      </c>
      <c r="N822" s="6" t="s">
        <v>8870</v>
      </c>
      <c r="O822" s="6" t="s">
        <v>8871</v>
      </c>
      <c r="P822" s="6" t="s">
        <v>8872</v>
      </c>
      <c r="Q822" s="6" t="s">
        <v>8873</v>
      </c>
      <c r="R822" s="6" t="s">
        <v>246</v>
      </c>
      <c r="S822" s="6" t="s">
        <v>147</v>
      </c>
      <c r="T822" s="6" t="s">
        <v>250</v>
      </c>
      <c r="U822" s="6" t="s">
        <v>252</v>
      </c>
      <c r="V822" s="6" t="s">
        <v>246</v>
      </c>
      <c r="W822" s="6" t="s">
        <v>158</v>
      </c>
      <c r="X822" s="6" t="s">
        <v>257</v>
      </c>
      <c r="Y822" s="6" t="s">
        <v>162</v>
      </c>
      <c r="Z822" s="6" t="s">
        <v>165</v>
      </c>
      <c r="AA822" s="6" t="s">
        <v>262</v>
      </c>
      <c r="AB822" s="6" t="s">
        <v>171</v>
      </c>
      <c r="AC822" s="6" t="s">
        <v>174</v>
      </c>
      <c r="AD822" s="6" t="s">
        <v>175</v>
      </c>
      <c r="AE822" s="6" t="s">
        <v>178</v>
      </c>
      <c r="AF822" s="6" t="s">
        <v>181</v>
      </c>
      <c r="AG822" s="6" t="s">
        <v>182</v>
      </c>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row>
    <row r="823" ht="22.5" customHeight="1">
      <c r="A823" s="4">
        <v>46229.70118351852</v>
      </c>
      <c r="B823" s="5">
        <v>0.0</v>
      </c>
      <c r="C823" s="6" t="s">
        <v>114</v>
      </c>
      <c r="D823" s="6" t="s">
        <v>1794</v>
      </c>
      <c r="E823" s="6" t="s">
        <v>1796</v>
      </c>
      <c r="F823" s="6">
        <v>6.9070506407E10</v>
      </c>
      <c r="G823" s="6" t="s">
        <v>599</v>
      </c>
      <c r="H823" s="6" t="s">
        <v>8874</v>
      </c>
      <c r="I823" s="6" t="s">
        <v>8875</v>
      </c>
      <c r="J823" s="6" t="s">
        <v>5094</v>
      </c>
      <c r="K823" s="6" t="s">
        <v>5013</v>
      </c>
      <c r="L823" s="6" t="s">
        <v>8876</v>
      </c>
      <c r="M823" s="6" t="s">
        <v>8877</v>
      </c>
      <c r="N823" s="7"/>
      <c r="O823" s="6" t="s">
        <v>8878</v>
      </c>
      <c r="P823" s="6" t="s">
        <v>8879</v>
      </c>
      <c r="Q823" s="6" t="s">
        <v>8880</v>
      </c>
      <c r="R823" s="6" t="s">
        <v>257</v>
      </c>
      <c r="S823" s="6" t="s">
        <v>147</v>
      </c>
      <c r="T823" s="6" t="s">
        <v>246</v>
      </c>
      <c r="U823" s="6" t="s">
        <v>252</v>
      </c>
      <c r="V823" s="6" t="s">
        <v>246</v>
      </c>
      <c r="W823" s="6" t="s">
        <v>158</v>
      </c>
      <c r="X823" s="6" t="s">
        <v>250</v>
      </c>
      <c r="Y823" s="6" t="s">
        <v>162</v>
      </c>
      <c r="Z823" s="6" t="s">
        <v>165</v>
      </c>
      <c r="AA823" s="6" t="s">
        <v>262</v>
      </c>
      <c r="AB823" s="6" t="s">
        <v>521</v>
      </c>
      <c r="AC823" s="6" t="s">
        <v>174</v>
      </c>
      <c r="AD823" s="6" t="s">
        <v>175</v>
      </c>
      <c r="AE823" s="6" t="s">
        <v>271</v>
      </c>
      <c r="AF823" s="6" t="s">
        <v>181</v>
      </c>
      <c r="AG823" s="6" t="s">
        <v>182</v>
      </c>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row>
    <row r="824" ht="22.5" customHeight="1">
      <c r="A824" s="4">
        <v>46229.70118449074</v>
      </c>
      <c r="B824" s="5">
        <v>0.0</v>
      </c>
      <c r="C824" s="6" t="s">
        <v>114</v>
      </c>
      <c r="D824" s="6" t="s">
        <v>1799</v>
      </c>
      <c r="E824" s="6" t="s">
        <v>1800</v>
      </c>
      <c r="F824" s="6">
        <v>6.9070508237E10</v>
      </c>
      <c r="G824" s="6" t="s">
        <v>730</v>
      </c>
      <c r="H824" s="7"/>
      <c r="I824" s="6" t="s">
        <v>8881</v>
      </c>
      <c r="J824" s="6" t="s">
        <v>8717</v>
      </c>
      <c r="K824" s="6" t="s">
        <v>6867</v>
      </c>
      <c r="L824" s="6" t="s">
        <v>6025</v>
      </c>
      <c r="M824" s="6" t="s">
        <v>6024</v>
      </c>
      <c r="N824" s="7"/>
      <c r="O824" s="6" t="s">
        <v>8882</v>
      </c>
      <c r="P824" s="6" t="s">
        <v>8883</v>
      </c>
      <c r="Q824" s="6" t="s">
        <v>8884</v>
      </c>
      <c r="R824" s="6" t="s">
        <v>246</v>
      </c>
      <c r="S824" s="6" t="s">
        <v>147</v>
      </c>
      <c r="T824" s="6" t="s">
        <v>250</v>
      </c>
      <c r="U824" s="6" t="s">
        <v>252</v>
      </c>
      <c r="V824" s="6" t="s">
        <v>246</v>
      </c>
      <c r="W824" s="6" t="s">
        <v>158</v>
      </c>
      <c r="X824" s="6" t="s">
        <v>257</v>
      </c>
      <c r="Y824" s="6" t="s">
        <v>162</v>
      </c>
      <c r="Z824" s="6" t="s">
        <v>165</v>
      </c>
      <c r="AA824" s="6" t="s">
        <v>262</v>
      </c>
      <c r="AB824" s="6" t="s">
        <v>521</v>
      </c>
      <c r="AC824" s="6" t="s">
        <v>174</v>
      </c>
      <c r="AD824" s="6" t="s">
        <v>175</v>
      </c>
      <c r="AE824" s="6" t="s">
        <v>271</v>
      </c>
      <c r="AF824" s="6" t="s">
        <v>181</v>
      </c>
      <c r="AG824" s="6" t="s">
        <v>182</v>
      </c>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row>
    <row r="825" ht="22.5" customHeight="1">
      <c r="A825" s="4">
        <v>46229.7011847338</v>
      </c>
      <c r="B825" s="5">
        <v>0.0</v>
      </c>
      <c r="C825" s="6" t="s">
        <v>114</v>
      </c>
      <c r="D825" s="6" t="s">
        <v>1803</v>
      </c>
      <c r="E825" s="6" t="s">
        <v>1805</v>
      </c>
      <c r="F825" s="6">
        <v>6.9070509404E10</v>
      </c>
      <c r="G825" s="6" t="s">
        <v>122</v>
      </c>
      <c r="H825" s="7"/>
      <c r="I825" s="6" t="s">
        <v>8885</v>
      </c>
      <c r="J825" s="6" t="s">
        <v>8886</v>
      </c>
      <c r="K825" s="6" t="s">
        <v>7503</v>
      </c>
      <c r="L825" s="6" t="s">
        <v>7504</v>
      </c>
      <c r="M825" s="6" t="s">
        <v>8887</v>
      </c>
      <c r="N825" s="7"/>
      <c r="O825" s="6" t="s">
        <v>8888</v>
      </c>
      <c r="P825" s="6" t="s">
        <v>8889</v>
      </c>
      <c r="Q825" s="6" t="s">
        <v>8890</v>
      </c>
      <c r="R825" s="6" t="s">
        <v>246</v>
      </c>
      <c r="S825" s="6" t="s">
        <v>147</v>
      </c>
      <c r="T825" s="6" t="s">
        <v>250</v>
      </c>
      <c r="U825" s="6" t="s">
        <v>252</v>
      </c>
      <c r="V825" s="6" t="s">
        <v>246</v>
      </c>
      <c r="W825" s="6" t="s">
        <v>158</v>
      </c>
      <c r="X825" s="6" t="s">
        <v>257</v>
      </c>
      <c r="Y825" s="6" t="s">
        <v>162</v>
      </c>
      <c r="Z825" s="6" t="s">
        <v>165</v>
      </c>
      <c r="AA825" s="6" t="s">
        <v>262</v>
      </c>
      <c r="AB825" s="6" t="s">
        <v>171</v>
      </c>
      <c r="AC825" s="6" t="s">
        <v>174</v>
      </c>
      <c r="AD825" s="6" t="s">
        <v>175</v>
      </c>
      <c r="AE825" s="6" t="s">
        <v>271</v>
      </c>
      <c r="AF825" s="6" t="s">
        <v>181</v>
      </c>
      <c r="AG825" s="6" t="s">
        <v>182</v>
      </c>
      <c r="AH825" s="7"/>
      <c r="AI825" s="7"/>
      <c r="AJ825" s="7"/>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row>
    <row r="826" ht="22.5" customHeight="1">
      <c r="A826" s="4">
        <v>46229.701187326384</v>
      </c>
      <c r="B826" s="5">
        <v>0.0</v>
      </c>
      <c r="C826" s="6" t="s">
        <v>3296</v>
      </c>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6" t="s">
        <v>655</v>
      </c>
      <c r="AI826" s="6" t="s">
        <v>2738</v>
      </c>
      <c r="AJ826" s="6">
        <v>6.9070507835E10</v>
      </c>
      <c r="AK826" s="6" t="s">
        <v>5236</v>
      </c>
      <c r="AL826" s="6">
        <v>5.0</v>
      </c>
      <c r="AM826" s="6" t="s">
        <v>8891</v>
      </c>
      <c r="AN826" s="6" t="s">
        <v>8892</v>
      </c>
      <c r="AO826" s="6" t="s">
        <v>8893</v>
      </c>
      <c r="AP826" s="6" t="s">
        <v>8894</v>
      </c>
      <c r="AQ826" s="6" t="s">
        <v>8895</v>
      </c>
      <c r="AR826" s="7"/>
      <c r="AS826" s="6" t="s">
        <v>8896</v>
      </c>
      <c r="AT826" s="6" t="s">
        <v>8897</v>
      </c>
      <c r="AU826" s="6" t="s">
        <v>8898</v>
      </c>
      <c r="AV826" s="6" t="s">
        <v>8899</v>
      </c>
      <c r="AW826" s="6" t="s">
        <v>3307</v>
      </c>
      <c r="AX826" s="6" t="s">
        <v>3887</v>
      </c>
      <c r="AY826" s="6" t="s">
        <v>4067</v>
      </c>
      <c r="AZ826" s="6" t="s">
        <v>3310</v>
      </c>
      <c r="BA826" s="6" t="s">
        <v>3311</v>
      </c>
      <c r="BB826" s="6" t="s">
        <v>3306</v>
      </c>
      <c r="BC826" s="6" t="s">
        <v>8802</v>
      </c>
      <c r="BD826" s="6" t="s">
        <v>152</v>
      </c>
      <c r="BE826" s="6" t="s">
        <v>3314</v>
      </c>
      <c r="BF826" s="6" t="s">
        <v>7476</v>
      </c>
      <c r="BG826" s="6" t="s">
        <v>4068</v>
      </c>
      <c r="BH826" s="6" t="s">
        <v>5246</v>
      </c>
      <c r="BI826" s="6" t="s">
        <v>1211</v>
      </c>
      <c r="BJ826" s="6" t="s">
        <v>5247</v>
      </c>
      <c r="BK826" s="6" t="s">
        <v>3319</v>
      </c>
    </row>
    <row r="827" ht="22.5" customHeight="1">
      <c r="A827" s="4">
        <v>46229.70119075231</v>
      </c>
      <c r="B827" s="5">
        <v>0.0</v>
      </c>
      <c r="C827" s="6" t="s">
        <v>114</v>
      </c>
      <c r="D827" s="6" t="s">
        <v>1807</v>
      </c>
      <c r="E827" s="6" t="s">
        <v>1808</v>
      </c>
      <c r="F827" s="6">
        <v>6.9070502431E10</v>
      </c>
      <c r="G827" s="6" t="s">
        <v>122</v>
      </c>
      <c r="H827" s="7"/>
      <c r="I827" s="6" t="s">
        <v>3101</v>
      </c>
      <c r="J827" s="6" t="s">
        <v>8900</v>
      </c>
      <c r="K827" s="6" t="s">
        <v>7688</v>
      </c>
      <c r="L827" s="6" t="s">
        <v>3492</v>
      </c>
      <c r="M827" s="6" t="s">
        <v>3116</v>
      </c>
      <c r="N827" s="7"/>
      <c r="O827" s="6" t="s">
        <v>8901</v>
      </c>
      <c r="P827" s="6" t="s">
        <v>8902</v>
      </c>
      <c r="Q827" s="6" t="s">
        <v>8903</v>
      </c>
      <c r="R827" s="6" t="s">
        <v>861</v>
      </c>
      <c r="S827" s="6" t="s">
        <v>147</v>
      </c>
      <c r="T827" s="6" t="s">
        <v>250</v>
      </c>
      <c r="U827" s="6" t="s">
        <v>252</v>
      </c>
      <c r="V827" s="6" t="s">
        <v>155</v>
      </c>
      <c r="W827" s="6" t="s">
        <v>158</v>
      </c>
      <c r="X827" s="6" t="s">
        <v>458</v>
      </c>
      <c r="Y827" s="6" t="s">
        <v>162</v>
      </c>
      <c r="Z827" s="6" t="s">
        <v>165</v>
      </c>
      <c r="AA827" s="6" t="s">
        <v>262</v>
      </c>
      <c r="AB827" s="6" t="s">
        <v>171</v>
      </c>
      <c r="AC827" s="6" t="s">
        <v>174</v>
      </c>
      <c r="AD827" s="6" t="s">
        <v>175</v>
      </c>
      <c r="AE827" s="6" t="s">
        <v>178</v>
      </c>
      <c r="AF827" s="6" t="s">
        <v>181</v>
      </c>
      <c r="AG827" s="6" t="s">
        <v>182</v>
      </c>
      <c r="AH827" s="7"/>
      <c r="AI827" s="7"/>
      <c r="AJ827" s="7"/>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row>
    <row r="828" ht="22.5" customHeight="1">
      <c r="A828" s="4">
        <v>46229.70119385417</v>
      </c>
      <c r="B828" s="5">
        <v>0.0</v>
      </c>
      <c r="C828" s="6" t="s">
        <v>114</v>
      </c>
      <c r="D828" s="6" t="s">
        <v>1811</v>
      </c>
      <c r="E828" s="6" t="s">
        <v>1812</v>
      </c>
      <c r="F828" s="6">
        <v>6.9070509446E10</v>
      </c>
      <c r="G828" s="6" t="s">
        <v>122</v>
      </c>
      <c r="H828" s="6" t="s">
        <v>2633</v>
      </c>
      <c r="I828" s="6" t="s">
        <v>8904</v>
      </c>
      <c r="J828" s="6" t="s">
        <v>8905</v>
      </c>
      <c r="K828" s="6" t="s">
        <v>7482</v>
      </c>
      <c r="L828" s="6" t="s">
        <v>6778</v>
      </c>
      <c r="M828" s="6" t="s">
        <v>443</v>
      </c>
      <c r="N828" s="6" t="s">
        <v>2633</v>
      </c>
      <c r="O828" s="6" t="s">
        <v>8906</v>
      </c>
      <c r="P828" s="6" t="s">
        <v>8555</v>
      </c>
      <c r="Q828" s="6" t="s">
        <v>8907</v>
      </c>
      <c r="R828" s="6" t="s">
        <v>246</v>
      </c>
      <c r="S828" s="6" t="s">
        <v>147</v>
      </c>
      <c r="T828" s="6" t="s">
        <v>250</v>
      </c>
      <c r="U828" s="6" t="s">
        <v>2254</v>
      </c>
      <c r="V828" s="6" t="s">
        <v>155</v>
      </c>
      <c r="W828" s="6" t="s">
        <v>158</v>
      </c>
      <c r="X828" s="6" t="s">
        <v>257</v>
      </c>
      <c r="Y828" s="6" t="s">
        <v>162</v>
      </c>
      <c r="Z828" s="6" t="s">
        <v>165</v>
      </c>
      <c r="AA828" s="6" t="s">
        <v>262</v>
      </c>
      <c r="AB828" s="6" t="s">
        <v>521</v>
      </c>
      <c r="AC828" s="6" t="s">
        <v>174</v>
      </c>
      <c r="AD828" s="6" t="s">
        <v>175</v>
      </c>
      <c r="AE828" s="6" t="s">
        <v>271</v>
      </c>
      <c r="AF828" s="6" t="s">
        <v>181</v>
      </c>
      <c r="AG828" s="6" t="s">
        <v>182</v>
      </c>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row>
    <row r="829" ht="22.5" customHeight="1">
      <c r="A829" s="4">
        <v>46229.701207094906</v>
      </c>
      <c r="B829" s="5">
        <v>0.0</v>
      </c>
      <c r="C829" s="6" t="s">
        <v>114</v>
      </c>
      <c r="D829" s="6" t="s">
        <v>249</v>
      </c>
      <c r="E829" s="6" t="s">
        <v>1813</v>
      </c>
      <c r="F829" s="6">
        <v>6.9070502233E10</v>
      </c>
      <c r="G829" s="6" t="s">
        <v>496</v>
      </c>
      <c r="H829" s="6" t="s">
        <v>8908</v>
      </c>
      <c r="I829" s="6" t="s">
        <v>4518</v>
      </c>
      <c r="J829" s="6" t="s">
        <v>3133</v>
      </c>
      <c r="K829" s="6" t="s">
        <v>3131</v>
      </c>
      <c r="L829" s="6" t="s">
        <v>3130</v>
      </c>
      <c r="M829" s="6" t="s">
        <v>3394</v>
      </c>
      <c r="N829" s="6" t="s">
        <v>7509</v>
      </c>
      <c r="O829" s="6" t="s">
        <v>8909</v>
      </c>
      <c r="P829" s="6" t="s">
        <v>8910</v>
      </c>
      <c r="Q829" s="6" t="s">
        <v>8911</v>
      </c>
      <c r="R829" s="6" t="s">
        <v>246</v>
      </c>
      <c r="S829" s="6" t="s">
        <v>147</v>
      </c>
      <c r="T829" s="6" t="s">
        <v>250</v>
      </c>
      <c r="U829" s="6" t="s">
        <v>560</v>
      </c>
      <c r="V829" s="6" t="s">
        <v>246</v>
      </c>
      <c r="W829" s="6" t="s">
        <v>158</v>
      </c>
      <c r="X829" s="6" t="s">
        <v>257</v>
      </c>
      <c r="Y829" s="6" t="s">
        <v>162</v>
      </c>
      <c r="Z829" s="6" t="s">
        <v>165</v>
      </c>
      <c r="AA829" s="6" t="s">
        <v>262</v>
      </c>
      <c r="AB829" s="6" t="s">
        <v>171</v>
      </c>
      <c r="AC829" s="6" t="s">
        <v>174</v>
      </c>
      <c r="AD829" s="6" t="s">
        <v>1723</v>
      </c>
      <c r="AE829" s="6" t="s">
        <v>178</v>
      </c>
      <c r="AF829" s="6" t="s">
        <v>181</v>
      </c>
      <c r="AG829" s="6" t="s">
        <v>182</v>
      </c>
      <c r="AH829" s="7"/>
      <c r="AI829" s="7"/>
      <c r="AJ829" s="7"/>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row>
    <row r="830" ht="22.5" customHeight="1">
      <c r="A830" s="4">
        <v>46229.70121222222</v>
      </c>
      <c r="B830" s="5">
        <v>0.0</v>
      </c>
      <c r="C830" s="6" t="s">
        <v>114</v>
      </c>
      <c r="D830" s="6" t="s">
        <v>1814</v>
      </c>
      <c r="E830" s="6" t="s">
        <v>1815</v>
      </c>
      <c r="F830" s="6">
        <v>6.9070500303E10</v>
      </c>
      <c r="G830" s="6" t="s">
        <v>599</v>
      </c>
      <c r="H830" s="7"/>
      <c r="I830" s="6" t="s">
        <v>8912</v>
      </c>
      <c r="J830" s="6" t="s">
        <v>3161</v>
      </c>
      <c r="K830" s="6" t="s">
        <v>3588</v>
      </c>
      <c r="L830" s="6" t="s">
        <v>8913</v>
      </c>
      <c r="M830" s="6" t="s">
        <v>8914</v>
      </c>
      <c r="N830" s="7"/>
      <c r="O830" s="6" t="s">
        <v>8915</v>
      </c>
      <c r="P830" s="6" t="s">
        <v>8916</v>
      </c>
      <c r="Q830" s="6" t="s">
        <v>8917</v>
      </c>
      <c r="R830" s="6" t="s">
        <v>246</v>
      </c>
      <c r="S830" s="6" t="s">
        <v>147</v>
      </c>
      <c r="T830" s="6" t="s">
        <v>246</v>
      </c>
      <c r="U830" s="6" t="s">
        <v>252</v>
      </c>
      <c r="V830" s="6" t="s">
        <v>246</v>
      </c>
      <c r="W830" s="6" t="s">
        <v>158</v>
      </c>
      <c r="X830" s="6" t="s">
        <v>458</v>
      </c>
      <c r="Y830" s="6" t="s">
        <v>162</v>
      </c>
      <c r="Z830" s="6" t="s">
        <v>165</v>
      </c>
      <c r="AA830" s="6" t="s">
        <v>262</v>
      </c>
      <c r="AB830" s="6" t="s">
        <v>171</v>
      </c>
      <c r="AC830" s="6" t="s">
        <v>174</v>
      </c>
      <c r="AD830" s="6" t="s">
        <v>1723</v>
      </c>
      <c r="AE830" s="6" t="s">
        <v>271</v>
      </c>
      <c r="AF830" s="6" t="s">
        <v>181</v>
      </c>
      <c r="AG830" s="6" t="s">
        <v>641</v>
      </c>
      <c r="AH830" s="7"/>
      <c r="AI830" s="7"/>
      <c r="AJ830" s="7"/>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c r="BJ830" s="7"/>
      <c r="BK830" s="7"/>
    </row>
    <row r="831" ht="22.5" customHeight="1">
      <c r="A831" s="4">
        <v>46229.701219282404</v>
      </c>
      <c r="B831" s="5">
        <v>0.0</v>
      </c>
      <c r="C831" s="6" t="s">
        <v>3296</v>
      </c>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6" t="s">
        <v>2739</v>
      </c>
      <c r="AI831" s="6" t="s">
        <v>2740</v>
      </c>
      <c r="AJ831" s="6">
        <v>6.9070504013E10</v>
      </c>
      <c r="AK831" s="6" t="s">
        <v>4331</v>
      </c>
      <c r="AL831" s="7"/>
      <c r="AM831" s="6" t="s">
        <v>8918</v>
      </c>
      <c r="AN831" s="6" t="s">
        <v>8919</v>
      </c>
      <c r="AO831" s="6" t="s">
        <v>8920</v>
      </c>
      <c r="AP831" s="6" t="s">
        <v>8921</v>
      </c>
      <c r="AQ831" s="6" t="s">
        <v>8922</v>
      </c>
      <c r="AR831" s="7"/>
      <c r="AS831" s="6" t="s">
        <v>8923</v>
      </c>
      <c r="AT831" s="6" t="s">
        <v>8924</v>
      </c>
      <c r="AU831" s="6" t="s">
        <v>8925</v>
      </c>
      <c r="AV831" s="6" t="s">
        <v>3312</v>
      </c>
      <c r="AW831" s="6" t="s">
        <v>3307</v>
      </c>
      <c r="AX831" s="6" t="s">
        <v>3312</v>
      </c>
      <c r="AY831" s="6" t="s">
        <v>804</v>
      </c>
      <c r="AZ831" s="6" t="s">
        <v>3310</v>
      </c>
      <c r="BA831" s="6" t="s">
        <v>3311</v>
      </c>
      <c r="BB831" s="6" t="s">
        <v>3312</v>
      </c>
      <c r="BC831" s="6" t="s">
        <v>3313</v>
      </c>
      <c r="BD831" s="6" t="s">
        <v>165</v>
      </c>
      <c r="BE831" s="6" t="s">
        <v>3888</v>
      </c>
      <c r="BF831" s="6" t="s">
        <v>3315</v>
      </c>
      <c r="BG831" s="6" t="s">
        <v>4068</v>
      </c>
      <c r="BH831" s="6" t="s">
        <v>3317</v>
      </c>
      <c r="BI831" s="6" t="s">
        <v>271</v>
      </c>
      <c r="BJ831" s="6" t="s">
        <v>5247</v>
      </c>
      <c r="BK831" s="6" t="s">
        <v>7178</v>
      </c>
    </row>
    <row r="832" ht="22.5" customHeight="1">
      <c r="A832" s="4">
        <v>46229.701225625</v>
      </c>
      <c r="B832" s="5">
        <v>0.0</v>
      </c>
      <c r="C832" s="6" t="s">
        <v>114</v>
      </c>
      <c r="D832" s="6" t="s">
        <v>1816</v>
      </c>
      <c r="E832" s="6" t="s">
        <v>1817</v>
      </c>
      <c r="F832" s="6">
        <v>6.9070501242E10</v>
      </c>
      <c r="G832" s="6" t="s">
        <v>228</v>
      </c>
      <c r="H832" s="7"/>
      <c r="I832" s="6" t="s">
        <v>8926</v>
      </c>
      <c r="J832" s="6" t="s">
        <v>8927</v>
      </c>
      <c r="K832" s="6" t="s">
        <v>8928</v>
      </c>
      <c r="L832" s="6" t="s">
        <v>8929</v>
      </c>
      <c r="M832" s="6" t="s">
        <v>8930</v>
      </c>
      <c r="N832" s="7"/>
      <c r="O832" s="6" t="s">
        <v>8931</v>
      </c>
      <c r="P832" s="6" t="s">
        <v>8932</v>
      </c>
      <c r="Q832" s="6" t="s">
        <v>8933</v>
      </c>
      <c r="R832" s="6" t="s">
        <v>257</v>
      </c>
      <c r="S832" s="6" t="s">
        <v>147</v>
      </c>
      <c r="T832" s="6" t="s">
        <v>250</v>
      </c>
      <c r="U832" s="6" t="s">
        <v>252</v>
      </c>
      <c r="V832" s="6" t="s">
        <v>246</v>
      </c>
      <c r="W832" s="6" t="s">
        <v>158</v>
      </c>
      <c r="X832" s="6" t="s">
        <v>257</v>
      </c>
      <c r="Y832" s="6" t="s">
        <v>162</v>
      </c>
      <c r="Z832" s="6" t="s">
        <v>165</v>
      </c>
      <c r="AA832" s="6" t="s">
        <v>262</v>
      </c>
      <c r="AB832" s="6" t="s">
        <v>171</v>
      </c>
      <c r="AC832" s="6" t="s">
        <v>174</v>
      </c>
      <c r="AD832" s="6" t="s">
        <v>175</v>
      </c>
      <c r="AE832" s="6" t="s">
        <v>271</v>
      </c>
      <c r="AF832" s="6" t="s">
        <v>181</v>
      </c>
      <c r="AG832" s="6" t="s">
        <v>182</v>
      </c>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row>
    <row r="833" ht="22.5" customHeight="1">
      <c r="A833" s="4">
        <v>46229.70122703703</v>
      </c>
      <c r="B833" s="5">
        <v>0.0</v>
      </c>
      <c r="C833" s="6" t="s">
        <v>114</v>
      </c>
      <c r="D833" s="6" t="s">
        <v>1818</v>
      </c>
      <c r="E833" s="6" t="s">
        <v>1819</v>
      </c>
      <c r="F833" s="6">
        <v>6.9070501251E10</v>
      </c>
      <c r="G833" s="6" t="s">
        <v>228</v>
      </c>
      <c r="H833" s="7"/>
      <c r="I833" s="6" t="s">
        <v>8934</v>
      </c>
      <c r="J833" s="6" t="s">
        <v>8935</v>
      </c>
      <c r="K833" s="6" t="s">
        <v>8936</v>
      </c>
      <c r="L833" s="6" t="s">
        <v>8937</v>
      </c>
      <c r="M833" s="6" t="s">
        <v>8938</v>
      </c>
      <c r="N833" s="7"/>
      <c r="O833" s="6" t="s">
        <v>8939</v>
      </c>
      <c r="P833" s="6" t="s">
        <v>8940</v>
      </c>
      <c r="Q833" s="6" t="s">
        <v>8941</v>
      </c>
      <c r="R833" s="6" t="s">
        <v>257</v>
      </c>
      <c r="S833" s="6" t="s">
        <v>147</v>
      </c>
      <c r="T833" s="6" t="s">
        <v>250</v>
      </c>
      <c r="U833" s="6" t="s">
        <v>252</v>
      </c>
      <c r="V833" s="6" t="s">
        <v>246</v>
      </c>
      <c r="W833" s="6" t="s">
        <v>158</v>
      </c>
      <c r="X833" s="6" t="s">
        <v>257</v>
      </c>
      <c r="Y833" s="6" t="s">
        <v>162</v>
      </c>
      <c r="Z833" s="6" t="s">
        <v>165</v>
      </c>
      <c r="AA833" s="6" t="s">
        <v>262</v>
      </c>
      <c r="AB833" s="6" t="s">
        <v>171</v>
      </c>
      <c r="AC833" s="6" t="s">
        <v>174</v>
      </c>
      <c r="AD833" s="6" t="s">
        <v>175</v>
      </c>
      <c r="AE833" s="6" t="s">
        <v>271</v>
      </c>
      <c r="AF833" s="6" t="s">
        <v>181</v>
      </c>
      <c r="AG833" s="6" t="s">
        <v>182</v>
      </c>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row>
    <row r="834" ht="22.5" customHeight="1">
      <c r="A834" s="4">
        <v>46229.70122938657</v>
      </c>
      <c r="B834" s="5">
        <v>0.0</v>
      </c>
      <c r="C834" s="6" t="s">
        <v>114</v>
      </c>
      <c r="D834" s="6" t="s">
        <v>2040</v>
      </c>
      <c r="E834" s="6" t="s">
        <v>8942</v>
      </c>
      <c r="F834" s="6">
        <v>6.9070500431E10</v>
      </c>
      <c r="G834" s="6" t="s">
        <v>122</v>
      </c>
      <c r="H834" s="6" t="s">
        <v>2442</v>
      </c>
      <c r="I834" s="6" t="s">
        <v>8943</v>
      </c>
      <c r="J834" s="6" t="s">
        <v>8944</v>
      </c>
      <c r="K834" s="6" t="s">
        <v>8945</v>
      </c>
      <c r="L834" s="6" t="s">
        <v>8946</v>
      </c>
      <c r="M834" s="6" t="s">
        <v>3789</v>
      </c>
      <c r="N834" s="6" t="s">
        <v>3792</v>
      </c>
      <c r="O834" s="6" t="s">
        <v>8947</v>
      </c>
      <c r="P834" s="6" t="s">
        <v>8948</v>
      </c>
      <c r="Q834" s="6" t="s">
        <v>8949</v>
      </c>
      <c r="R834" s="6" t="s">
        <v>257</v>
      </c>
      <c r="S834" s="6" t="s">
        <v>147</v>
      </c>
      <c r="T834" s="6" t="s">
        <v>257</v>
      </c>
      <c r="U834" s="6" t="s">
        <v>152</v>
      </c>
      <c r="V834" s="6" t="s">
        <v>458</v>
      </c>
      <c r="W834" s="6" t="s">
        <v>158</v>
      </c>
      <c r="X834" s="6" t="s">
        <v>257</v>
      </c>
      <c r="Y834" s="6" t="s">
        <v>162</v>
      </c>
      <c r="Z834" s="6" t="s">
        <v>165</v>
      </c>
      <c r="AA834" s="6" t="s">
        <v>262</v>
      </c>
      <c r="AB834" s="6" t="s">
        <v>171</v>
      </c>
      <c r="AC834" s="6" t="s">
        <v>174</v>
      </c>
      <c r="AD834" s="6" t="s">
        <v>635</v>
      </c>
      <c r="AE834" s="6" t="s">
        <v>178</v>
      </c>
      <c r="AF834" s="6" t="s">
        <v>638</v>
      </c>
      <c r="AG834" s="6" t="s">
        <v>182</v>
      </c>
      <c r="AH834" s="7"/>
      <c r="AI834" s="7"/>
      <c r="AJ834" s="7"/>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c r="BJ834" s="7"/>
      <c r="BK834" s="7"/>
    </row>
    <row r="835" ht="22.5" customHeight="1">
      <c r="A835" s="4">
        <v>46229.70124079861</v>
      </c>
      <c r="B835" s="5">
        <v>0.0</v>
      </c>
      <c r="C835" s="6" t="s">
        <v>114</v>
      </c>
      <c r="D835" s="6" t="s">
        <v>1820</v>
      </c>
      <c r="E835" s="6" t="s">
        <v>1821</v>
      </c>
      <c r="F835" s="6">
        <v>6.9070502405E10</v>
      </c>
      <c r="G835" s="6" t="s">
        <v>122</v>
      </c>
      <c r="H835" s="7"/>
      <c r="I835" s="6" t="s">
        <v>8950</v>
      </c>
      <c r="J835" s="6" t="s">
        <v>3989</v>
      </c>
      <c r="K835" s="6" t="s">
        <v>8951</v>
      </c>
      <c r="L835" s="6" t="s">
        <v>8952</v>
      </c>
      <c r="M835" s="6" t="s">
        <v>8953</v>
      </c>
      <c r="N835" s="7"/>
      <c r="O835" s="6" t="s">
        <v>8954</v>
      </c>
      <c r="P835" s="6" t="s">
        <v>8955</v>
      </c>
      <c r="Q835" s="6" t="s">
        <v>8956</v>
      </c>
      <c r="R835" s="6" t="s">
        <v>257</v>
      </c>
      <c r="S835" s="6" t="s">
        <v>147</v>
      </c>
      <c r="T835" s="6" t="s">
        <v>250</v>
      </c>
      <c r="U835" s="6" t="s">
        <v>252</v>
      </c>
      <c r="V835" s="6" t="s">
        <v>246</v>
      </c>
      <c r="W835" s="6" t="s">
        <v>158</v>
      </c>
      <c r="X835" s="6" t="s">
        <v>257</v>
      </c>
      <c r="Y835" s="6" t="s">
        <v>162</v>
      </c>
      <c r="Z835" s="6" t="s">
        <v>165</v>
      </c>
      <c r="AA835" s="6" t="s">
        <v>262</v>
      </c>
      <c r="AB835" s="6" t="s">
        <v>521</v>
      </c>
      <c r="AC835" s="6" t="s">
        <v>174</v>
      </c>
      <c r="AD835" s="6" t="s">
        <v>175</v>
      </c>
      <c r="AE835" s="6" t="s">
        <v>271</v>
      </c>
      <c r="AF835" s="6" t="s">
        <v>181</v>
      </c>
      <c r="AG835" s="6" t="s">
        <v>182</v>
      </c>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row>
    <row r="836" ht="22.5" customHeight="1">
      <c r="A836" s="4">
        <v>46229.70126976851</v>
      </c>
      <c r="B836" s="5">
        <v>0.0</v>
      </c>
      <c r="C836" s="6" t="s">
        <v>114</v>
      </c>
      <c r="D836" s="6" t="s">
        <v>1822</v>
      </c>
      <c r="E836" s="6" t="s">
        <v>1823</v>
      </c>
      <c r="F836" s="6">
        <v>6.9070501213E10</v>
      </c>
      <c r="G836" s="6" t="s">
        <v>228</v>
      </c>
      <c r="H836" s="7"/>
      <c r="I836" s="6" t="s">
        <v>8957</v>
      </c>
      <c r="J836" s="6" t="s">
        <v>8958</v>
      </c>
      <c r="K836" s="6" t="s">
        <v>4420</v>
      </c>
      <c r="L836" s="6" t="s">
        <v>6549</v>
      </c>
      <c r="M836" s="6" t="s">
        <v>4417</v>
      </c>
      <c r="N836" s="6" t="s">
        <v>8959</v>
      </c>
      <c r="O836" s="6" t="s">
        <v>8960</v>
      </c>
      <c r="P836" s="6" t="s">
        <v>8961</v>
      </c>
      <c r="Q836" s="6" t="s">
        <v>8962</v>
      </c>
      <c r="R836" s="6" t="s">
        <v>246</v>
      </c>
      <c r="S836" s="6" t="s">
        <v>147</v>
      </c>
      <c r="T836" s="6" t="s">
        <v>250</v>
      </c>
      <c r="U836" s="6" t="s">
        <v>252</v>
      </c>
      <c r="V836" s="6" t="s">
        <v>246</v>
      </c>
      <c r="W836" s="6" t="s">
        <v>158</v>
      </c>
      <c r="X836" s="6" t="s">
        <v>257</v>
      </c>
      <c r="Y836" s="6" t="s">
        <v>162</v>
      </c>
      <c r="Z836" s="6" t="s">
        <v>165</v>
      </c>
      <c r="AA836" s="6" t="s">
        <v>262</v>
      </c>
      <c r="AB836" s="6" t="s">
        <v>521</v>
      </c>
      <c r="AC836" s="6" t="s">
        <v>174</v>
      </c>
      <c r="AD836" s="6" t="s">
        <v>175</v>
      </c>
      <c r="AE836" s="6" t="s">
        <v>271</v>
      </c>
      <c r="AF836" s="6" t="s">
        <v>181</v>
      </c>
      <c r="AG836" s="6" t="s">
        <v>182</v>
      </c>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row>
    <row r="837" ht="22.5" customHeight="1">
      <c r="A837" s="4">
        <v>46229.70127160879</v>
      </c>
      <c r="B837" s="5">
        <v>0.0</v>
      </c>
      <c r="C837" s="6" t="s">
        <v>114</v>
      </c>
      <c r="D837" s="6" t="s">
        <v>1824</v>
      </c>
      <c r="E837" s="6" t="s">
        <v>1825</v>
      </c>
      <c r="F837" s="6">
        <v>6.9070508804E10</v>
      </c>
      <c r="G837" s="6" t="s">
        <v>5399</v>
      </c>
      <c r="H837" s="7"/>
      <c r="I837" s="6" t="s">
        <v>8963</v>
      </c>
      <c r="J837" s="6" t="s">
        <v>8964</v>
      </c>
      <c r="K837" s="6" t="s">
        <v>8965</v>
      </c>
      <c r="L837" s="6" t="s">
        <v>3773</v>
      </c>
      <c r="M837" s="6" t="s">
        <v>3772</v>
      </c>
      <c r="N837" s="6" t="s">
        <v>8966</v>
      </c>
      <c r="O837" s="6" t="s">
        <v>8967</v>
      </c>
      <c r="P837" s="6" t="s">
        <v>8968</v>
      </c>
      <c r="Q837" s="6" t="s">
        <v>8969</v>
      </c>
      <c r="R837" s="6" t="s">
        <v>257</v>
      </c>
      <c r="S837" s="6" t="s">
        <v>147</v>
      </c>
      <c r="T837" s="6" t="s">
        <v>250</v>
      </c>
      <c r="U837" s="6" t="s">
        <v>252</v>
      </c>
      <c r="V837" s="6" t="s">
        <v>246</v>
      </c>
      <c r="W837" s="6" t="s">
        <v>158</v>
      </c>
      <c r="X837" s="6" t="s">
        <v>257</v>
      </c>
      <c r="Y837" s="6" t="s">
        <v>162</v>
      </c>
      <c r="Z837" s="6" t="s">
        <v>165</v>
      </c>
      <c r="AA837" s="6" t="s">
        <v>262</v>
      </c>
      <c r="AB837" s="6" t="s">
        <v>521</v>
      </c>
      <c r="AC837" s="6" t="s">
        <v>174</v>
      </c>
      <c r="AD837" s="6" t="s">
        <v>175</v>
      </c>
      <c r="AE837" s="6" t="s">
        <v>271</v>
      </c>
      <c r="AF837" s="6" t="s">
        <v>181</v>
      </c>
      <c r="AG837" s="6" t="s">
        <v>182</v>
      </c>
      <c r="AH837" s="7"/>
      <c r="AI837" s="7"/>
      <c r="AJ837" s="7"/>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row>
    <row r="838" ht="22.5" customHeight="1">
      <c r="A838" s="4">
        <v>46229.701281863425</v>
      </c>
      <c r="B838" s="5">
        <v>0.0</v>
      </c>
      <c r="C838" s="6" t="s">
        <v>114</v>
      </c>
      <c r="D838" s="6" t="s">
        <v>1046</v>
      </c>
      <c r="E838" s="6" t="s">
        <v>1826</v>
      </c>
      <c r="F838" s="6">
        <v>6.9070500628E10</v>
      </c>
      <c r="G838" s="6" t="s">
        <v>6140</v>
      </c>
      <c r="H838" s="7"/>
      <c r="I838" s="6" t="s">
        <v>4108</v>
      </c>
      <c r="J838" s="6" t="s">
        <v>8970</v>
      </c>
      <c r="K838" s="6" t="s">
        <v>8971</v>
      </c>
      <c r="L838" s="6" t="s">
        <v>8972</v>
      </c>
      <c r="M838" s="6" t="s">
        <v>8973</v>
      </c>
      <c r="N838" s="6" t="s">
        <v>8974</v>
      </c>
      <c r="O838" s="6" t="s">
        <v>8975</v>
      </c>
      <c r="P838" s="6" t="s">
        <v>8976</v>
      </c>
      <c r="Q838" s="6" t="s">
        <v>8977</v>
      </c>
      <c r="R838" s="6" t="s">
        <v>257</v>
      </c>
      <c r="S838" s="6" t="s">
        <v>147</v>
      </c>
      <c r="T838" s="6" t="s">
        <v>257</v>
      </c>
      <c r="U838" s="6" t="s">
        <v>686</v>
      </c>
      <c r="V838" s="6" t="s">
        <v>246</v>
      </c>
      <c r="W838" s="6" t="s">
        <v>158</v>
      </c>
      <c r="X838" s="6" t="s">
        <v>161</v>
      </c>
      <c r="Y838" s="6" t="s">
        <v>162</v>
      </c>
      <c r="Z838" s="6" t="s">
        <v>165</v>
      </c>
      <c r="AA838" s="6" t="s">
        <v>262</v>
      </c>
      <c r="AB838" s="6" t="s">
        <v>521</v>
      </c>
      <c r="AC838" s="6" t="s">
        <v>1669</v>
      </c>
      <c r="AD838" s="6" t="s">
        <v>175</v>
      </c>
      <c r="AE838" s="6" t="s">
        <v>271</v>
      </c>
      <c r="AF838" s="6" t="s">
        <v>181</v>
      </c>
      <c r="AG838" s="6" t="s">
        <v>182</v>
      </c>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row>
    <row r="839" ht="22.5" customHeight="1">
      <c r="A839" s="4">
        <v>46229.7012868287</v>
      </c>
      <c r="B839" s="5">
        <v>0.0</v>
      </c>
      <c r="C839" s="6" t="s">
        <v>114</v>
      </c>
      <c r="D839" s="6" t="s">
        <v>1827</v>
      </c>
      <c r="E839" s="6" t="s">
        <v>1828</v>
      </c>
      <c r="F839" s="6">
        <v>6.9070500825E10</v>
      </c>
      <c r="G839" s="6" t="s">
        <v>496</v>
      </c>
      <c r="H839" s="7"/>
      <c r="I839" s="6" t="s">
        <v>8978</v>
      </c>
      <c r="J839" s="6" t="s">
        <v>8979</v>
      </c>
      <c r="K839" s="6" t="s">
        <v>8980</v>
      </c>
      <c r="L839" s="6" t="s">
        <v>8981</v>
      </c>
      <c r="M839" s="6" t="s">
        <v>8982</v>
      </c>
      <c r="N839" s="6" t="s">
        <v>8983</v>
      </c>
      <c r="O839" s="6" t="s">
        <v>8984</v>
      </c>
      <c r="P839" s="6" t="s">
        <v>8985</v>
      </c>
      <c r="Q839" s="6" t="s">
        <v>8986</v>
      </c>
      <c r="R839" s="6" t="s">
        <v>246</v>
      </c>
      <c r="S839" s="6" t="s">
        <v>147</v>
      </c>
      <c r="T839" s="6" t="s">
        <v>250</v>
      </c>
      <c r="U839" s="6" t="s">
        <v>560</v>
      </c>
      <c r="V839" s="6" t="s">
        <v>246</v>
      </c>
      <c r="W839" s="6" t="s">
        <v>158</v>
      </c>
      <c r="X839" s="6" t="s">
        <v>161</v>
      </c>
      <c r="Y839" s="6" t="s">
        <v>162</v>
      </c>
      <c r="Z839" s="6" t="s">
        <v>165</v>
      </c>
      <c r="AA839" s="6" t="s">
        <v>168</v>
      </c>
      <c r="AB839" s="6" t="s">
        <v>171</v>
      </c>
      <c r="AC839" s="6" t="s">
        <v>1669</v>
      </c>
      <c r="AD839" s="6" t="s">
        <v>175</v>
      </c>
      <c r="AE839" s="6" t="s">
        <v>271</v>
      </c>
      <c r="AF839" s="6" t="s">
        <v>181</v>
      </c>
      <c r="AG839" s="6" t="s">
        <v>182</v>
      </c>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row>
    <row r="840" ht="22.5" customHeight="1">
      <c r="A840" s="4">
        <v>46229.70128957176</v>
      </c>
      <c r="B840" s="5">
        <v>0.0</v>
      </c>
      <c r="C840" s="6" t="s">
        <v>114</v>
      </c>
      <c r="D840" s="6" t="s">
        <v>574</v>
      </c>
      <c r="E840" s="6" t="s">
        <v>1829</v>
      </c>
      <c r="F840" s="6">
        <v>6.9070508235E10</v>
      </c>
      <c r="G840" s="6" t="s">
        <v>730</v>
      </c>
      <c r="H840" s="7"/>
      <c r="I840" s="6" t="s">
        <v>8987</v>
      </c>
      <c r="J840" s="6" t="s">
        <v>8988</v>
      </c>
      <c r="K840" s="6" t="s">
        <v>8989</v>
      </c>
      <c r="L840" s="6" t="s">
        <v>8990</v>
      </c>
      <c r="M840" s="6" t="s">
        <v>8991</v>
      </c>
      <c r="N840" s="7"/>
      <c r="O840" s="6" t="s">
        <v>8992</v>
      </c>
      <c r="P840" s="6" t="s">
        <v>8993</v>
      </c>
      <c r="Q840" s="6" t="s">
        <v>8994</v>
      </c>
      <c r="R840" s="6" t="s">
        <v>246</v>
      </c>
      <c r="S840" s="6" t="s">
        <v>147</v>
      </c>
      <c r="T840" s="6" t="s">
        <v>250</v>
      </c>
      <c r="U840" s="6" t="s">
        <v>560</v>
      </c>
      <c r="V840" s="6" t="s">
        <v>246</v>
      </c>
      <c r="W840" s="6" t="s">
        <v>158</v>
      </c>
      <c r="X840" s="6" t="s">
        <v>458</v>
      </c>
      <c r="Y840" s="6" t="s">
        <v>162</v>
      </c>
      <c r="Z840" s="6" t="s">
        <v>165</v>
      </c>
      <c r="AA840" s="6" t="s">
        <v>168</v>
      </c>
      <c r="AB840" s="6" t="s">
        <v>521</v>
      </c>
      <c r="AC840" s="6" t="s">
        <v>174</v>
      </c>
      <c r="AD840" s="6" t="s">
        <v>175</v>
      </c>
      <c r="AE840" s="6" t="s">
        <v>271</v>
      </c>
      <c r="AF840" s="6" t="s">
        <v>181</v>
      </c>
      <c r="AG840" s="6" t="s">
        <v>182</v>
      </c>
      <c r="AH840" s="7"/>
      <c r="AI840" s="7"/>
      <c r="AJ840" s="7"/>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c r="BJ840" s="7"/>
      <c r="BK840" s="7"/>
    </row>
    <row r="841" ht="22.5" customHeight="1">
      <c r="A841" s="4">
        <v>46229.70129052083</v>
      </c>
      <c r="B841" s="5">
        <v>0.0</v>
      </c>
      <c r="C841" s="6" t="s">
        <v>114</v>
      </c>
      <c r="D841" s="6" t="s">
        <v>1830</v>
      </c>
      <c r="E841" s="6" t="s">
        <v>1831</v>
      </c>
      <c r="F841" s="6">
        <v>6.9070509826E10</v>
      </c>
      <c r="G841" s="6" t="s">
        <v>496</v>
      </c>
      <c r="H841" s="7"/>
      <c r="I841" s="6" t="s">
        <v>8995</v>
      </c>
      <c r="J841" s="6" t="s">
        <v>8996</v>
      </c>
      <c r="K841" s="6" t="s">
        <v>8997</v>
      </c>
      <c r="L841" s="6" t="s">
        <v>8998</v>
      </c>
      <c r="M841" s="6" t="s">
        <v>3959</v>
      </c>
      <c r="N841" s="6" t="s">
        <v>8999</v>
      </c>
      <c r="O841" s="6" t="s">
        <v>9000</v>
      </c>
      <c r="P841" s="6" t="s">
        <v>9001</v>
      </c>
      <c r="Q841" s="6" t="s">
        <v>9002</v>
      </c>
      <c r="R841" s="6" t="s">
        <v>257</v>
      </c>
      <c r="S841" s="6" t="s">
        <v>147</v>
      </c>
      <c r="T841" s="6" t="s">
        <v>250</v>
      </c>
      <c r="U841" s="6" t="s">
        <v>2254</v>
      </c>
      <c r="V841" s="6" t="s">
        <v>246</v>
      </c>
      <c r="W841" s="6" t="s">
        <v>158</v>
      </c>
      <c r="X841" s="6" t="s">
        <v>257</v>
      </c>
      <c r="Y841" s="6" t="s">
        <v>162</v>
      </c>
      <c r="Z841" s="6" t="s">
        <v>165</v>
      </c>
      <c r="AA841" s="6" t="s">
        <v>262</v>
      </c>
      <c r="AB841" s="6" t="s">
        <v>521</v>
      </c>
      <c r="AC841" s="6" t="s">
        <v>174</v>
      </c>
      <c r="AD841" s="6" t="s">
        <v>175</v>
      </c>
      <c r="AE841" s="6" t="s">
        <v>271</v>
      </c>
      <c r="AF841" s="6" t="s">
        <v>181</v>
      </c>
      <c r="AG841" s="6" t="s">
        <v>182</v>
      </c>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row>
    <row r="842" ht="22.5" customHeight="1">
      <c r="A842" s="4">
        <v>46229.701292604164</v>
      </c>
      <c r="B842" s="5">
        <v>0.0</v>
      </c>
      <c r="C842" s="6" t="s">
        <v>114</v>
      </c>
      <c r="D842" s="6" t="s">
        <v>1832</v>
      </c>
      <c r="E842" s="6" t="s">
        <v>1833</v>
      </c>
      <c r="F842" s="6">
        <v>6.9070502454E10</v>
      </c>
      <c r="G842" s="6" t="s">
        <v>122</v>
      </c>
      <c r="H842" s="7"/>
      <c r="I842" s="6" t="s">
        <v>9003</v>
      </c>
      <c r="J842" s="6" t="s">
        <v>9004</v>
      </c>
      <c r="K842" s="6" t="s">
        <v>9005</v>
      </c>
      <c r="L842" s="6" t="s">
        <v>9005</v>
      </c>
      <c r="M842" s="6" t="s">
        <v>9005</v>
      </c>
      <c r="N842" s="7"/>
      <c r="O842" s="6" t="s">
        <v>9006</v>
      </c>
      <c r="P842" s="6" t="s">
        <v>9006</v>
      </c>
      <c r="Q842" s="6" t="s">
        <v>9006</v>
      </c>
      <c r="R842" s="6" t="s">
        <v>246</v>
      </c>
      <c r="S842" s="6" t="s">
        <v>147</v>
      </c>
      <c r="T842" s="6" t="s">
        <v>250</v>
      </c>
      <c r="U842" s="6" t="s">
        <v>686</v>
      </c>
      <c r="V842" s="6" t="s">
        <v>246</v>
      </c>
      <c r="W842" s="6" t="s">
        <v>158</v>
      </c>
      <c r="X842" s="6" t="s">
        <v>257</v>
      </c>
      <c r="Y842" s="6" t="s">
        <v>162</v>
      </c>
      <c r="Z842" s="6" t="s">
        <v>165</v>
      </c>
      <c r="AA842" s="6" t="s">
        <v>262</v>
      </c>
      <c r="AB842" s="6" t="s">
        <v>171</v>
      </c>
      <c r="AC842" s="6" t="s">
        <v>174</v>
      </c>
      <c r="AD842" s="6" t="s">
        <v>175</v>
      </c>
      <c r="AE842" s="6" t="s">
        <v>271</v>
      </c>
      <c r="AF842" s="6" t="s">
        <v>181</v>
      </c>
      <c r="AG842" s="6" t="s">
        <v>182</v>
      </c>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row>
    <row r="843" ht="22.5" customHeight="1">
      <c r="A843" s="4">
        <v>46229.70129390046</v>
      </c>
      <c r="B843" s="5">
        <v>0.0</v>
      </c>
      <c r="C843" s="6" t="s">
        <v>3296</v>
      </c>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6" t="s">
        <v>2741</v>
      </c>
      <c r="AI843" s="6" t="s">
        <v>2742</v>
      </c>
      <c r="AJ843" s="6">
        <v>6.9070507836E10</v>
      </c>
      <c r="AK843" s="6" t="s">
        <v>5236</v>
      </c>
      <c r="AL843" s="6" t="s">
        <v>9007</v>
      </c>
      <c r="AM843" s="6" t="s">
        <v>9008</v>
      </c>
      <c r="AN843" s="6" t="s">
        <v>9009</v>
      </c>
      <c r="AO843" s="6" t="s">
        <v>9010</v>
      </c>
      <c r="AP843" s="6" t="s">
        <v>9011</v>
      </c>
      <c r="AQ843" s="6" t="s">
        <v>9010</v>
      </c>
      <c r="AR843" s="7"/>
      <c r="AS843" s="6" t="s">
        <v>9012</v>
      </c>
      <c r="AT843" s="6" t="s">
        <v>9013</v>
      </c>
      <c r="AU843" s="6" t="s">
        <v>9014</v>
      </c>
      <c r="AV843" s="6" t="s">
        <v>3312</v>
      </c>
      <c r="AW843" s="6" t="s">
        <v>3307</v>
      </c>
      <c r="AX843" s="6" t="s">
        <v>3312</v>
      </c>
      <c r="AY843" s="6" t="s">
        <v>4067</v>
      </c>
      <c r="AZ843" s="6" t="s">
        <v>3887</v>
      </c>
      <c r="BA843" s="6" t="s">
        <v>8593</v>
      </c>
      <c r="BB843" s="6" t="s">
        <v>3887</v>
      </c>
      <c r="BC843" s="6" t="s">
        <v>8802</v>
      </c>
      <c r="BD843" s="6" t="s">
        <v>804</v>
      </c>
      <c r="BE843" s="6" t="s">
        <v>5761</v>
      </c>
      <c r="BF843" s="6" t="s">
        <v>7476</v>
      </c>
      <c r="BG843" s="6" t="s">
        <v>5760</v>
      </c>
      <c r="BH843" s="6" t="s">
        <v>8124</v>
      </c>
      <c r="BI843" s="6" t="s">
        <v>524</v>
      </c>
      <c r="BJ843" s="6" t="s">
        <v>4342</v>
      </c>
      <c r="BK843" s="6" t="s">
        <v>8803</v>
      </c>
    </row>
    <row r="844" ht="22.5" customHeight="1">
      <c r="A844" s="4">
        <v>46229.701297685184</v>
      </c>
      <c r="B844" s="5">
        <v>0.0</v>
      </c>
      <c r="C844" s="6" t="s">
        <v>114</v>
      </c>
      <c r="D844" s="6" t="s">
        <v>1834</v>
      </c>
      <c r="E844" s="6" t="s">
        <v>1835</v>
      </c>
      <c r="F844" s="6">
        <v>6.9070500886E10</v>
      </c>
      <c r="G844" s="6" t="s">
        <v>496</v>
      </c>
      <c r="H844" s="7"/>
      <c r="I844" s="6" t="s">
        <v>9015</v>
      </c>
      <c r="J844" s="6" t="s">
        <v>3117</v>
      </c>
      <c r="K844" s="6" t="s">
        <v>5537</v>
      </c>
      <c r="L844" s="6" t="s">
        <v>1369</v>
      </c>
      <c r="M844" s="6" t="s">
        <v>5477</v>
      </c>
      <c r="N844" s="7"/>
      <c r="O844" s="6" t="s">
        <v>9016</v>
      </c>
      <c r="P844" s="6" t="s">
        <v>9017</v>
      </c>
      <c r="Q844" s="6" t="s">
        <v>9018</v>
      </c>
      <c r="R844" s="6" t="s">
        <v>246</v>
      </c>
      <c r="S844" s="6" t="s">
        <v>147</v>
      </c>
      <c r="T844" s="6" t="s">
        <v>149</v>
      </c>
      <c r="U844" s="6" t="s">
        <v>560</v>
      </c>
      <c r="V844" s="6" t="s">
        <v>246</v>
      </c>
      <c r="W844" s="6" t="s">
        <v>158</v>
      </c>
      <c r="X844" s="6" t="s">
        <v>161</v>
      </c>
      <c r="Y844" s="6" t="s">
        <v>162</v>
      </c>
      <c r="Z844" s="6" t="s">
        <v>165</v>
      </c>
      <c r="AA844" s="6" t="s">
        <v>262</v>
      </c>
      <c r="AB844" s="6" t="s">
        <v>171</v>
      </c>
      <c r="AC844" s="6" t="s">
        <v>174</v>
      </c>
      <c r="AD844" s="6" t="s">
        <v>175</v>
      </c>
      <c r="AE844" s="6" t="s">
        <v>178</v>
      </c>
      <c r="AF844" s="6" t="s">
        <v>181</v>
      </c>
      <c r="AG844" s="6" t="s">
        <v>182</v>
      </c>
      <c r="AH844" s="7"/>
      <c r="AI844" s="7"/>
      <c r="AJ844" s="7"/>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c r="BJ844" s="7"/>
      <c r="BK844" s="7"/>
    </row>
    <row r="845" ht="22.5" customHeight="1">
      <c r="A845" s="4">
        <v>46229.70130587963</v>
      </c>
      <c r="B845" s="5">
        <v>0.0</v>
      </c>
      <c r="C845" s="6" t="s">
        <v>114</v>
      </c>
      <c r="D845" s="6" t="s">
        <v>172</v>
      </c>
      <c r="E845" s="6" t="s">
        <v>1836</v>
      </c>
      <c r="F845" s="6">
        <v>6.9070502222E10</v>
      </c>
      <c r="G845" s="6" t="s">
        <v>496</v>
      </c>
      <c r="H845" s="7"/>
      <c r="I845" s="6" t="s">
        <v>9019</v>
      </c>
      <c r="J845" s="6" t="s">
        <v>9020</v>
      </c>
      <c r="K845" s="6" t="s">
        <v>9021</v>
      </c>
      <c r="L845" s="6" t="s">
        <v>9022</v>
      </c>
      <c r="M845" s="6" t="s">
        <v>9023</v>
      </c>
      <c r="N845" s="7"/>
      <c r="O845" s="6" t="s">
        <v>9024</v>
      </c>
      <c r="P845" s="6" t="s">
        <v>9025</v>
      </c>
      <c r="Q845" s="6" t="s">
        <v>9026</v>
      </c>
      <c r="R845" s="6" t="s">
        <v>246</v>
      </c>
      <c r="S845" s="6" t="s">
        <v>147</v>
      </c>
      <c r="T845" s="6" t="s">
        <v>250</v>
      </c>
      <c r="U845" s="6" t="s">
        <v>252</v>
      </c>
      <c r="V845" s="6" t="s">
        <v>246</v>
      </c>
      <c r="W845" s="6" t="s">
        <v>158</v>
      </c>
      <c r="X845" s="6" t="s">
        <v>257</v>
      </c>
      <c r="Y845" s="6" t="s">
        <v>162</v>
      </c>
      <c r="Z845" s="6" t="s">
        <v>165</v>
      </c>
      <c r="AA845" s="6" t="s">
        <v>262</v>
      </c>
      <c r="AB845" s="6" t="s">
        <v>521</v>
      </c>
      <c r="AC845" s="6" t="s">
        <v>174</v>
      </c>
      <c r="AD845" s="6" t="s">
        <v>175</v>
      </c>
      <c r="AE845" s="6" t="s">
        <v>271</v>
      </c>
      <c r="AF845" s="6" t="s">
        <v>181</v>
      </c>
      <c r="AG845" s="6" t="s">
        <v>182</v>
      </c>
      <c r="AH845" s="7"/>
      <c r="AI845" s="7"/>
      <c r="AJ845" s="7"/>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row>
    <row r="846" ht="22.5" customHeight="1">
      <c r="A846" s="4">
        <v>46229.70130936343</v>
      </c>
      <c r="B846" s="5">
        <v>0.0</v>
      </c>
      <c r="C846" s="6" t="s">
        <v>114</v>
      </c>
      <c r="D846" s="6" t="s">
        <v>1837</v>
      </c>
      <c r="E846" s="6" t="s">
        <v>1838</v>
      </c>
      <c r="F846" s="6">
        <v>6.9070502495E10</v>
      </c>
      <c r="G846" s="6" t="s">
        <v>122</v>
      </c>
      <c r="H846" s="7"/>
      <c r="I846" s="6" t="s">
        <v>9027</v>
      </c>
      <c r="J846" s="6" t="s">
        <v>4482</v>
      </c>
      <c r="K846" s="6" t="s">
        <v>8891</v>
      </c>
      <c r="L846" s="6" t="s">
        <v>9028</v>
      </c>
      <c r="M846" s="6" t="s">
        <v>9029</v>
      </c>
      <c r="N846" s="7"/>
      <c r="O846" s="6" t="s">
        <v>9030</v>
      </c>
      <c r="P846" s="6" t="s">
        <v>9031</v>
      </c>
      <c r="Q846" s="6" t="s">
        <v>9032</v>
      </c>
      <c r="R846" s="6" t="s">
        <v>246</v>
      </c>
      <c r="S846" s="6" t="s">
        <v>147</v>
      </c>
      <c r="T846" s="6" t="s">
        <v>250</v>
      </c>
      <c r="U846" s="6" t="s">
        <v>686</v>
      </c>
      <c r="V846" s="6" t="s">
        <v>246</v>
      </c>
      <c r="W846" s="6" t="s">
        <v>158</v>
      </c>
      <c r="X846" s="6" t="s">
        <v>257</v>
      </c>
      <c r="Y846" s="6" t="s">
        <v>162</v>
      </c>
      <c r="Z846" s="6" t="s">
        <v>165</v>
      </c>
      <c r="AA846" s="6" t="s">
        <v>262</v>
      </c>
      <c r="AB846" s="6" t="s">
        <v>171</v>
      </c>
      <c r="AC846" s="6" t="s">
        <v>174</v>
      </c>
      <c r="AD846" s="6" t="s">
        <v>175</v>
      </c>
      <c r="AE846" s="6" t="s">
        <v>271</v>
      </c>
      <c r="AF846" s="6" t="s">
        <v>181</v>
      </c>
      <c r="AG846" s="6" t="s">
        <v>182</v>
      </c>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row>
    <row r="847" ht="22.5" customHeight="1">
      <c r="A847" s="4">
        <v>46229.70132079862</v>
      </c>
      <c r="B847" s="5">
        <v>0.0</v>
      </c>
      <c r="C847" s="6" t="s">
        <v>114</v>
      </c>
      <c r="D847" s="6" t="s">
        <v>1839</v>
      </c>
      <c r="E847" s="6" t="s">
        <v>1840</v>
      </c>
      <c r="F847" s="6">
        <v>6.9070500678E10</v>
      </c>
      <c r="G847" s="6" t="s">
        <v>6140</v>
      </c>
      <c r="H847" s="7"/>
      <c r="I847" s="6" t="s">
        <v>3497</v>
      </c>
      <c r="J847" s="6" t="s">
        <v>9033</v>
      </c>
      <c r="K847" s="6" t="s">
        <v>9034</v>
      </c>
      <c r="L847" s="6" t="s">
        <v>9035</v>
      </c>
      <c r="M847" s="6" t="s">
        <v>9036</v>
      </c>
      <c r="N847" s="6" t="s">
        <v>7482</v>
      </c>
      <c r="O847" s="6" t="s">
        <v>9037</v>
      </c>
      <c r="P847" s="6" t="s">
        <v>9038</v>
      </c>
      <c r="Q847" s="6" t="s">
        <v>9039</v>
      </c>
      <c r="R847" s="6" t="s">
        <v>246</v>
      </c>
      <c r="S847" s="6" t="s">
        <v>147</v>
      </c>
      <c r="T847" s="6" t="s">
        <v>516</v>
      </c>
      <c r="U847" s="6" t="s">
        <v>152</v>
      </c>
      <c r="V847" s="6" t="s">
        <v>155</v>
      </c>
      <c r="W847" s="6" t="s">
        <v>158</v>
      </c>
      <c r="X847" s="6" t="s">
        <v>250</v>
      </c>
      <c r="Y847" s="6" t="s">
        <v>162</v>
      </c>
      <c r="Z847" s="6" t="s">
        <v>165</v>
      </c>
      <c r="AA847" s="6" t="s">
        <v>262</v>
      </c>
      <c r="AB847" s="6" t="s">
        <v>171</v>
      </c>
      <c r="AC847" s="6" t="s">
        <v>2718</v>
      </c>
      <c r="AD847" s="6" t="s">
        <v>175</v>
      </c>
      <c r="AE847" s="6" t="s">
        <v>271</v>
      </c>
      <c r="AF847" s="6" t="s">
        <v>181</v>
      </c>
      <c r="AG847" s="6" t="s">
        <v>182</v>
      </c>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row>
    <row r="848" ht="22.5" customHeight="1">
      <c r="A848" s="4">
        <v>46229.7013259838</v>
      </c>
      <c r="B848" s="5">
        <v>0.0</v>
      </c>
      <c r="C848" s="6" t="s">
        <v>114</v>
      </c>
      <c r="D848" s="6" t="s">
        <v>1841</v>
      </c>
      <c r="E848" s="6" t="s">
        <v>1842</v>
      </c>
      <c r="F848" s="6">
        <v>6.9070500006E10</v>
      </c>
      <c r="G848" s="6" t="s">
        <v>4580</v>
      </c>
      <c r="H848" s="7"/>
      <c r="I848" s="6" t="s">
        <v>9040</v>
      </c>
      <c r="J848" s="6" t="s">
        <v>9041</v>
      </c>
      <c r="K848" s="6" t="s">
        <v>9042</v>
      </c>
      <c r="L848" s="6" t="s">
        <v>9043</v>
      </c>
      <c r="M848" s="6" t="s">
        <v>9044</v>
      </c>
      <c r="N848" s="6" t="s">
        <v>9045</v>
      </c>
      <c r="O848" s="6" t="s">
        <v>9046</v>
      </c>
      <c r="P848" s="6" t="s">
        <v>9047</v>
      </c>
      <c r="Q848" s="6" t="s">
        <v>5233</v>
      </c>
      <c r="R848" s="6" t="s">
        <v>246</v>
      </c>
      <c r="S848" s="6" t="s">
        <v>147</v>
      </c>
      <c r="T848" s="6" t="s">
        <v>250</v>
      </c>
      <c r="U848" s="6" t="s">
        <v>2254</v>
      </c>
      <c r="V848" s="6" t="s">
        <v>246</v>
      </c>
      <c r="W848" s="6" t="s">
        <v>158</v>
      </c>
      <c r="X848" s="6" t="s">
        <v>257</v>
      </c>
      <c r="Y848" s="6" t="s">
        <v>162</v>
      </c>
      <c r="Z848" s="6" t="s">
        <v>165</v>
      </c>
      <c r="AA848" s="6" t="s">
        <v>641</v>
      </c>
      <c r="AB848" s="6" t="s">
        <v>171</v>
      </c>
      <c r="AC848" s="6" t="s">
        <v>633</v>
      </c>
      <c r="AD848" s="6" t="s">
        <v>175</v>
      </c>
      <c r="AE848" s="6" t="s">
        <v>271</v>
      </c>
      <c r="AF848" s="6" t="s">
        <v>181</v>
      </c>
      <c r="AG848" s="6" t="s">
        <v>182</v>
      </c>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row>
    <row r="849" ht="22.5" customHeight="1">
      <c r="A849" s="4">
        <v>46229.7013278125</v>
      </c>
      <c r="B849" s="5">
        <v>0.0</v>
      </c>
      <c r="C849" s="6" t="s">
        <v>114</v>
      </c>
      <c r="D849" s="6" t="s">
        <v>1845</v>
      </c>
      <c r="E849" s="6" t="s">
        <v>1846</v>
      </c>
      <c r="F849" s="6">
        <v>6.907050045E10</v>
      </c>
      <c r="G849" s="6" t="s">
        <v>310</v>
      </c>
      <c r="H849" s="6" t="s">
        <v>9048</v>
      </c>
      <c r="I849" s="6" t="s">
        <v>9049</v>
      </c>
      <c r="J849" s="6" t="s">
        <v>4253</v>
      </c>
      <c r="K849" s="6" t="s">
        <v>9050</v>
      </c>
      <c r="L849" s="6" t="s">
        <v>9051</v>
      </c>
      <c r="M849" s="6" t="s">
        <v>8690</v>
      </c>
      <c r="N849" s="7"/>
      <c r="O849" s="6" t="s">
        <v>9052</v>
      </c>
      <c r="P849" s="6" t="s">
        <v>9053</v>
      </c>
      <c r="Q849" s="6" t="s">
        <v>9054</v>
      </c>
      <c r="R849" s="6" t="s">
        <v>246</v>
      </c>
      <c r="S849" s="6" t="s">
        <v>147</v>
      </c>
      <c r="T849" s="6" t="s">
        <v>250</v>
      </c>
      <c r="U849" s="6" t="s">
        <v>252</v>
      </c>
      <c r="V849" s="6" t="s">
        <v>246</v>
      </c>
      <c r="W849" s="6" t="s">
        <v>158</v>
      </c>
      <c r="X849" s="6" t="s">
        <v>257</v>
      </c>
      <c r="Y849" s="6" t="s">
        <v>162</v>
      </c>
      <c r="Z849" s="6" t="s">
        <v>165</v>
      </c>
      <c r="AA849" s="6" t="s">
        <v>262</v>
      </c>
      <c r="AB849" s="6" t="s">
        <v>171</v>
      </c>
      <c r="AC849" s="6" t="s">
        <v>2718</v>
      </c>
      <c r="AD849" s="6" t="s">
        <v>175</v>
      </c>
      <c r="AE849" s="6" t="s">
        <v>271</v>
      </c>
      <c r="AF849" s="6" t="s">
        <v>181</v>
      </c>
      <c r="AG849" s="6" t="s">
        <v>182</v>
      </c>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row>
    <row r="850" ht="22.5" customHeight="1">
      <c r="A850" s="4">
        <v>46229.701349525465</v>
      </c>
      <c r="B850" s="5">
        <v>0.0</v>
      </c>
      <c r="C850" s="6" t="s">
        <v>114</v>
      </c>
      <c r="D850" s="6" t="s">
        <v>1849</v>
      </c>
      <c r="E850" s="6" t="s">
        <v>1851</v>
      </c>
      <c r="F850" s="6">
        <v>6.9070500032E10</v>
      </c>
      <c r="G850" s="6" t="s">
        <v>122</v>
      </c>
      <c r="H850" s="7"/>
      <c r="I850" s="6" t="s">
        <v>9055</v>
      </c>
      <c r="J850" s="6" t="s">
        <v>6124</v>
      </c>
      <c r="K850" s="6" t="s">
        <v>9056</v>
      </c>
      <c r="L850" s="6" t="s">
        <v>9057</v>
      </c>
      <c r="M850" s="6" t="s">
        <v>9058</v>
      </c>
      <c r="N850" s="6" t="s">
        <v>9059</v>
      </c>
      <c r="O850" s="6" t="s">
        <v>9060</v>
      </c>
      <c r="P850" s="6" t="s">
        <v>9061</v>
      </c>
      <c r="Q850" s="6" t="s">
        <v>9062</v>
      </c>
      <c r="R850" s="6" t="s">
        <v>246</v>
      </c>
      <c r="S850" s="6" t="s">
        <v>147</v>
      </c>
      <c r="T850" s="6" t="s">
        <v>250</v>
      </c>
      <c r="U850" s="6" t="s">
        <v>560</v>
      </c>
      <c r="V850" s="6" t="s">
        <v>155</v>
      </c>
      <c r="W850" s="6" t="s">
        <v>158</v>
      </c>
      <c r="X850" s="6" t="s">
        <v>161</v>
      </c>
      <c r="Y850" s="6" t="s">
        <v>162</v>
      </c>
      <c r="Z850" s="6" t="s">
        <v>165</v>
      </c>
      <c r="AA850" s="6" t="s">
        <v>262</v>
      </c>
      <c r="AB850" s="6" t="s">
        <v>171</v>
      </c>
      <c r="AC850" s="6" t="s">
        <v>174</v>
      </c>
      <c r="AD850" s="6" t="s">
        <v>1723</v>
      </c>
      <c r="AE850" s="6" t="s">
        <v>271</v>
      </c>
      <c r="AF850" s="6" t="s">
        <v>181</v>
      </c>
      <c r="AG850" s="6" t="s">
        <v>182</v>
      </c>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row>
    <row r="851" ht="22.5" customHeight="1">
      <c r="A851" s="4">
        <v>46229.70135402778</v>
      </c>
      <c r="B851" s="5">
        <v>0.0</v>
      </c>
      <c r="C851" s="6" t="s">
        <v>3296</v>
      </c>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6" t="s">
        <v>2743</v>
      </c>
      <c r="AI851" s="6" t="s">
        <v>2744</v>
      </c>
      <c r="AJ851" s="6">
        <v>6.9070503464E10</v>
      </c>
      <c r="AK851" s="6" t="s">
        <v>3297</v>
      </c>
      <c r="AL851" s="6">
        <v>5.0</v>
      </c>
      <c r="AM851" s="6" t="s">
        <v>9063</v>
      </c>
      <c r="AN851" s="6" t="s">
        <v>9064</v>
      </c>
      <c r="AO851" s="6" t="s">
        <v>9065</v>
      </c>
      <c r="AP851" s="6" t="s">
        <v>9066</v>
      </c>
      <c r="AQ851" s="6" t="s">
        <v>8641</v>
      </c>
      <c r="AR851" s="7"/>
      <c r="AS851" s="6" t="s">
        <v>9067</v>
      </c>
      <c r="AT851" s="6" t="s">
        <v>9068</v>
      </c>
      <c r="AU851" s="6" t="s">
        <v>9069</v>
      </c>
      <c r="AV851" s="6" t="s">
        <v>4861</v>
      </c>
      <c r="AW851" s="6" t="s">
        <v>9070</v>
      </c>
      <c r="AX851" s="6" t="s">
        <v>3312</v>
      </c>
      <c r="AY851" s="6" t="s">
        <v>3309</v>
      </c>
      <c r="AZ851" s="6" t="s">
        <v>3306</v>
      </c>
      <c r="BA851" s="6" t="s">
        <v>3311</v>
      </c>
      <c r="BB851" s="6" t="s">
        <v>4693</v>
      </c>
      <c r="BC851" s="6" t="s">
        <v>9071</v>
      </c>
      <c r="BD851" s="6" t="s">
        <v>629</v>
      </c>
      <c r="BE851" s="6" t="s">
        <v>5761</v>
      </c>
      <c r="BF851" s="6" t="s">
        <v>3315</v>
      </c>
      <c r="BG851" s="6" t="s">
        <v>4694</v>
      </c>
      <c r="BH851" s="6" t="s">
        <v>5761</v>
      </c>
      <c r="BI851" s="6" t="s">
        <v>524</v>
      </c>
      <c r="BJ851" s="6" t="s">
        <v>5247</v>
      </c>
      <c r="BK851" s="6" t="s">
        <v>3319</v>
      </c>
    </row>
    <row r="852" ht="22.5" customHeight="1">
      <c r="A852" s="4">
        <v>46229.70135539352</v>
      </c>
      <c r="B852" s="5">
        <v>0.0</v>
      </c>
      <c r="C852" s="6" t="s">
        <v>114</v>
      </c>
      <c r="D852" s="6" t="s">
        <v>1853</v>
      </c>
      <c r="E852" s="6" t="s">
        <v>1855</v>
      </c>
      <c r="F852" s="6">
        <v>6.9070501008E10</v>
      </c>
      <c r="G852" s="6" t="s">
        <v>1470</v>
      </c>
      <c r="H852" s="7"/>
      <c r="I852" s="6" t="s">
        <v>9072</v>
      </c>
      <c r="J852" s="6" t="s">
        <v>9073</v>
      </c>
      <c r="K852" s="6" t="s">
        <v>9074</v>
      </c>
      <c r="L852" s="6" t="s">
        <v>9075</v>
      </c>
      <c r="M852" s="6" t="s">
        <v>9076</v>
      </c>
      <c r="N852" s="7"/>
      <c r="O852" s="6" t="s">
        <v>9077</v>
      </c>
      <c r="P852" s="6" t="s">
        <v>9078</v>
      </c>
      <c r="Q852" s="6" t="s">
        <v>9079</v>
      </c>
      <c r="R852" s="6" t="s">
        <v>246</v>
      </c>
      <c r="S852" s="6" t="s">
        <v>147</v>
      </c>
      <c r="T852" s="6" t="s">
        <v>250</v>
      </c>
      <c r="U852" s="6" t="s">
        <v>252</v>
      </c>
      <c r="V852" s="6" t="s">
        <v>246</v>
      </c>
      <c r="W852" s="6" t="s">
        <v>158</v>
      </c>
      <c r="X852" s="6" t="s">
        <v>257</v>
      </c>
      <c r="Y852" s="6" t="s">
        <v>162</v>
      </c>
      <c r="Z852" s="6" t="s">
        <v>165</v>
      </c>
      <c r="AA852" s="6" t="s">
        <v>262</v>
      </c>
      <c r="AB852" s="6" t="s">
        <v>521</v>
      </c>
      <c r="AC852" s="6" t="s">
        <v>174</v>
      </c>
      <c r="AD852" s="6" t="s">
        <v>175</v>
      </c>
      <c r="AE852" s="6" t="s">
        <v>271</v>
      </c>
      <c r="AF852" s="6" t="s">
        <v>181</v>
      </c>
      <c r="AG852" s="6" t="s">
        <v>182</v>
      </c>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row>
    <row r="853" ht="22.5" customHeight="1">
      <c r="A853" s="4">
        <v>46229.70135846065</v>
      </c>
      <c r="B853" s="5">
        <v>0.0</v>
      </c>
      <c r="C853" s="6" t="s">
        <v>114</v>
      </c>
      <c r="D853" s="6" t="s">
        <v>1858</v>
      </c>
      <c r="E853" s="6" t="s">
        <v>1859</v>
      </c>
      <c r="F853" s="6">
        <v>6.9070501066E10</v>
      </c>
      <c r="G853" s="6" t="s">
        <v>1470</v>
      </c>
      <c r="H853" s="7"/>
      <c r="I853" s="6" t="s">
        <v>7164</v>
      </c>
      <c r="J853" s="6" t="s">
        <v>8300</v>
      </c>
      <c r="K853" s="6" t="s">
        <v>9080</v>
      </c>
      <c r="L853" s="6" t="s">
        <v>8298</v>
      </c>
      <c r="M853" s="6" t="s">
        <v>9081</v>
      </c>
      <c r="N853" s="6" t="s">
        <v>9082</v>
      </c>
      <c r="O853" s="6" t="s">
        <v>9083</v>
      </c>
      <c r="P853" s="6" t="s">
        <v>9084</v>
      </c>
      <c r="Q853" s="6" t="s">
        <v>9085</v>
      </c>
      <c r="R853" s="6" t="s">
        <v>246</v>
      </c>
      <c r="S853" s="6" t="s">
        <v>147</v>
      </c>
      <c r="T853" s="6" t="s">
        <v>250</v>
      </c>
      <c r="U853" s="6" t="s">
        <v>252</v>
      </c>
      <c r="V853" s="6" t="s">
        <v>246</v>
      </c>
      <c r="W853" s="6" t="s">
        <v>158</v>
      </c>
      <c r="X853" s="6" t="s">
        <v>458</v>
      </c>
      <c r="Y853" s="6" t="s">
        <v>162</v>
      </c>
      <c r="Z853" s="6" t="s">
        <v>165</v>
      </c>
      <c r="AA853" s="6" t="s">
        <v>262</v>
      </c>
      <c r="AB853" s="6" t="s">
        <v>3847</v>
      </c>
      <c r="AC853" s="6" t="s">
        <v>174</v>
      </c>
      <c r="AD853" s="6" t="s">
        <v>175</v>
      </c>
      <c r="AE853" s="6" t="s">
        <v>271</v>
      </c>
      <c r="AF853" s="6" t="s">
        <v>181</v>
      </c>
      <c r="AG853" s="6" t="s">
        <v>182</v>
      </c>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row>
    <row r="854" ht="22.5" customHeight="1">
      <c r="A854" s="4">
        <v>46229.70136503472</v>
      </c>
      <c r="B854" s="5">
        <v>0.0</v>
      </c>
      <c r="C854" s="6" t="s">
        <v>114</v>
      </c>
      <c r="D854" s="6" t="s">
        <v>1860</v>
      </c>
      <c r="E854" s="6" t="s">
        <v>1861</v>
      </c>
      <c r="F854" s="6">
        <v>6.9070509418E10</v>
      </c>
      <c r="G854" s="6" t="s">
        <v>122</v>
      </c>
      <c r="H854" s="7"/>
      <c r="I854" s="6" t="s">
        <v>9086</v>
      </c>
      <c r="J854" s="6" t="s">
        <v>9087</v>
      </c>
      <c r="K854" s="6" t="s">
        <v>9088</v>
      </c>
      <c r="L854" s="6" t="s">
        <v>9089</v>
      </c>
      <c r="M854" s="6" t="s">
        <v>9090</v>
      </c>
      <c r="N854" s="6" t="s">
        <v>9091</v>
      </c>
      <c r="O854" s="6" t="s">
        <v>9092</v>
      </c>
      <c r="P854" s="6" t="s">
        <v>9093</v>
      </c>
      <c r="Q854" s="6" t="s">
        <v>9094</v>
      </c>
      <c r="R854" s="6" t="s">
        <v>246</v>
      </c>
      <c r="S854" s="6" t="s">
        <v>147</v>
      </c>
      <c r="T854" s="6" t="s">
        <v>250</v>
      </c>
      <c r="U854" s="6" t="s">
        <v>252</v>
      </c>
      <c r="V854" s="6" t="s">
        <v>246</v>
      </c>
      <c r="W854" s="6" t="s">
        <v>158</v>
      </c>
      <c r="X854" s="6" t="s">
        <v>257</v>
      </c>
      <c r="Y854" s="6" t="s">
        <v>162</v>
      </c>
      <c r="Z854" s="6" t="s">
        <v>165</v>
      </c>
      <c r="AA854" s="6" t="s">
        <v>262</v>
      </c>
      <c r="AB854" s="6" t="s">
        <v>4010</v>
      </c>
      <c r="AC854" s="6" t="s">
        <v>174</v>
      </c>
      <c r="AD854" s="6" t="s">
        <v>175</v>
      </c>
      <c r="AE854" s="6" t="s">
        <v>271</v>
      </c>
      <c r="AF854" s="6" t="s">
        <v>181</v>
      </c>
      <c r="AG854" s="6" t="s">
        <v>182</v>
      </c>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row>
    <row r="855" ht="22.5" customHeight="1">
      <c r="A855" s="4">
        <v>46229.701371585645</v>
      </c>
      <c r="B855" s="5">
        <v>0.0</v>
      </c>
      <c r="C855" s="6" t="s">
        <v>114</v>
      </c>
      <c r="D855" s="6" t="s">
        <v>1862</v>
      </c>
      <c r="E855" s="6" t="s">
        <v>1863</v>
      </c>
      <c r="F855" s="6">
        <v>6.9070509401E10</v>
      </c>
      <c r="G855" s="6" t="s">
        <v>122</v>
      </c>
      <c r="H855" s="7"/>
      <c r="I855" s="6" t="s">
        <v>9095</v>
      </c>
      <c r="J855" s="6" t="s">
        <v>9096</v>
      </c>
      <c r="K855" s="6" t="s">
        <v>9097</v>
      </c>
      <c r="L855" s="6" t="s">
        <v>9098</v>
      </c>
      <c r="M855" s="6" t="s">
        <v>9099</v>
      </c>
      <c r="N855" s="7"/>
      <c r="O855" s="6" t="s">
        <v>9100</v>
      </c>
      <c r="P855" s="6" t="s">
        <v>9101</v>
      </c>
      <c r="Q855" s="6" t="s">
        <v>9102</v>
      </c>
      <c r="R855" s="6" t="s">
        <v>246</v>
      </c>
      <c r="S855" s="6" t="s">
        <v>147</v>
      </c>
      <c r="T855" s="6" t="s">
        <v>149</v>
      </c>
      <c r="U855" s="6" t="s">
        <v>252</v>
      </c>
      <c r="V855" s="6" t="s">
        <v>155</v>
      </c>
      <c r="W855" s="6" t="s">
        <v>158</v>
      </c>
      <c r="X855" s="6" t="s">
        <v>257</v>
      </c>
      <c r="Y855" s="6" t="s">
        <v>162</v>
      </c>
      <c r="Z855" s="6" t="s">
        <v>165</v>
      </c>
      <c r="AA855" s="6" t="s">
        <v>262</v>
      </c>
      <c r="AB855" s="6" t="s">
        <v>171</v>
      </c>
      <c r="AC855" s="6" t="s">
        <v>174</v>
      </c>
      <c r="AD855" s="6" t="s">
        <v>175</v>
      </c>
      <c r="AE855" s="6" t="s">
        <v>271</v>
      </c>
      <c r="AF855" s="6" t="s">
        <v>181</v>
      </c>
      <c r="AG855" s="6" t="s">
        <v>182</v>
      </c>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row>
    <row r="856" ht="22.5" customHeight="1">
      <c r="A856" s="4">
        <v>46229.70137737269</v>
      </c>
      <c r="B856" s="5">
        <v>0.0</v>
      </c>
      <c r="C856" s="6" t="s">
        <v>114</v>
      </c>
      <c r="D856" s="6" t="s">
        <v>1864</v>
      </c>
      <c r="E856" s="6" t="s">
        <v>1865</v>
      </c>
      <c r="F856" s="6">
        <v>6.9070501041E10</v>
      </c>
      <c r="G856" s="6" t="s">
        <v>1470</v>
      </c>
      <c r="H856" s="7"/>
      <c r="I856" s="6" t="s">
        <v>9103</v>
      </c>
      <c r="J856" s="6" t="s">
        <v>2500</v>
      </c>
      <c r="K856" s="6" t="s">
        <v>9104</v>
      </c>
      <c r="L856" s="6" t="s">
        <v>9105</v>
      </c>
      <c r="M856" s="6" t="s">
        <v>9106</v>
      </c>
      <c r="N856" s="7"/>
      <c r="O856" s="6" t="s">
        <v>9107</v>
      </c>
      <c r="P856" s="6" t="s">
        <v>9108</v>
      </c>
      <c r="Q856" s="6" t="s">
        <v>9109</v>
      </c>
      <c r="R856" s="6" t="s">
        <v>246</v>
      </c>
      <c r="S856" s="6" t="s">
        <v>147</v>
      </c>
      <c r="T856" s="6" t="s">
        <v>250</v>
      </c>
      <c r="U856" s="6" t="s">
        <v>252</v>
      </c>
      <c r="V856" s="6" t="s">
        <v>155</v>
      </c>
      <c r="W856" s="6" t="s">
        <v>158</v>
      </c>
      <c r="X856" s="6" t="s">
        <v>257</v>
      </c>
      <c r="Y856" s="6" t="s">
        <v>162</v>
      </c>
      <c r="Z856" s="6" t="s">
        <v>629</v>
      </c>
      <c r="AA856" s="6" t="s">
        <v>262</v>
      </c>
      <c r="AB856" s="6" t="s">
        <v>171</v>
      </c>
      <c r="AC856" s="6" t="s">
        <v>174</v>
      </c>
      <c r="AD856" s="6" t="s">
        <v>175</v>
      </c>
      <c r="AE856" s="6" t="s">
        <v>524</v>
      </c>
      <c r="AF856" s="6" t="s">
        <v>181</v>
      </c>
      <c r="AG856" s="6" t="s">
        <v>182</v>
      </c>
      <c r="AH856" s="7"/>
      <c r="AI856" s="7"/>
      <c r="AJ856" s="7"/>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row>
    <row r="857" ht="22.5" customHeight="1">
      <c r="A857" s="4">
        <v>46229.7014040162</v>
      </c>
      <c r="B857" s="5">
        <v>0.0</v>
      </c>
      <c r="C857" s="6" t="s">
        <v>114</v>
      </c>
      <c r="D857" s="6" t="s">
        <v>1866</v>
      </c>
      <c r="E857" s="6" t="s">
        <v>1867</v>
      </c>
      <c r="F857" s="6">
        <v>6.9070500016E10</v>
      </c>
      <c r="G857" s="6" t="s">
        <v>4580</v>
      </c>
      <c r="H857" s="6" t="s">
        <v>9110</v>
      </c>
      <c r="I857" s="6" t="s">
        <v>9111</v>
      </c>
      <c r="J857" s="6" t="s">
        <v>9112</v>
      </c>
      <c r="K857" s="6" t="s">
        <v>9113</v>
      </c>
      <c r="L857" s="6" t="s">
        <v>9114</v>
      </c>
      <c r="M857" s="6" t="s">
        <v>9115</v>
      </c>
      <c r="N857" s="7"/>
      <c r="O857" s="6" t="s">
        <v>9116</v>
      </c>
      <c r="P857" s="6" t="s">
        <v>9117</v>
      </c>
      <c r="Q857" s="6" t="s">
        <v>9118</v>
      </c>
      <c r="R857" s="6" t="s">
        <v>246</v>
      </c>
      <c r="S857" s="6" t="s">
        <v>147</v>
      </c>
      <c r="T857" s="6" t="s">
        <v>250</v>
      </c>
      <c r="U857" s="6" t="s">
        <v>252</v>
      </c>
      <c r="V857" s="6" t="s">
        <v>246</v>
      </c>
      <c r="W857" s="6" t="s">
        <v>158</v>
      </c>
      <c r="X857" s="6" t="s">
        <v>257</v>
      </c>
      <c r="Y857" s="6" t="s">
        <v>162</v>
      </c>
      <c r="Z857" s="6" t="s">
        <v>165</v>
      </c>
      <c r="AA857" s="6" t="s">
        <v>262</v>
      </c>
      <c r="AB857" s="6" t="s">
        <v>521</v>
      </c>
      <c r="AC857" s="6" t="s">
        <v>174</v>
      </c>
      <c r="AD857" s="6" t="s">
        <v>175</v>
      </c>
      <c r="AE857" s="6" t="s">
        <v>271</v>
      </c>
      <c r="AF857" s="6" t="s">
        <v>181</v>
      </c>
      <c r="AG857" s="6" t="s">
        <v>182</v>
      </c>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row>
    <row r="858" ht="22.5" customHeight="1">
      <c r="A858" s="4">
        <v>46229.70142899305</v>
      </c>
      <c r="B858" s="5">
        <v>0.0</v>
      </c>
      <c r="C858" s="6" t="s">
        <v>114</v>
      </c>
      <c r="D858" s="6" t="s">
        <v>1868</v>
      </c>
      <c r="E858" s="6" t="s">
        <v>1869</v>
      </c>
      <c r="F858" s="6">
        <v>6.9070505201E10</v>
      </c>
      <c r="G858" s="6" t="s">
        <v>1470</v>
      </c>
      <c r="H858" s="6" t="s">
        <v>9119</v>
      </c>
      <c r="I858" s="6" t="s">
        <v>9120</v>
      </c>
      <c r="J858" s="6" t="s">
        <v>9121</v>
      </c>
      <c r="K858" s="6" t="s">
        <v>9122</v>
      </c>
      <c r="L858" s="6" t="s">
        <v>9123</v>
      </c>
      <c r="M858" s="6" t="s">
        <v>9124</v>
      </c>
      <c r="N858" s="7"/>
      <c r="O858" s="6" t="s">
        <v>9125</v>
      </c>
      <c r="P858" s="6" t="s">
        <v>9126</v>
      </c>
      <c r="Q858" s="6" t="s">
        <v>9127</v>
      </c>
      <c r="R858" s="6" t="s">
        <v>246</v>
      </c>
      <c r="S858" s="6" t="s">
        <v>147</v>
      </c>
      <c r="T858" s="6" t="s">
        <v>250</v>
      </c>
      <c r="U858" s="6" t="s">
        <v>686</v>
      </c>
      <c r="V858" s="6" t="s">
        <v>246</v>
      </c>
      <c r="W858" s="6" t="s">
        <v>158</v>
      </c>
      <c r="X858" s="6" t="s">
        <v>257</v>
      </c>
      <c r="Y858" s="6" t="s">
        <v>162</v>
      </c>
      <c r="Z858" s="6" t="s">
        <v>165</v>
      </c>
      <c r="AA858" s="6" t="s">
        <v>262</v>
      </c>
      <c r="AB858" s="6" t="s">
        <v>171</v>
      </c>
      <c r="AC858" s="6" t="s">
        <v>174</v>
      </c>
      <c r="AD858" s="6" t="s">
        <v>175</v>
      </c>
      <c r="AE858" s="6" t="s">
        <v>271</v>
      </c>
      <c r="AF858" s="6" t="s">
        <v>181</v>
      </c>
      <c r="AG858" s="6" t="s">
        <v>182</v>
      </c>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row>
    <row r="859" ht="22.5" customHeight="1">
      <c r="A859" s="4">
        <v>46229.70143299768</v>
      </c>
      <c r="B859" s="5">
        <v>0.0</v>
      </c>
      <c r="C859" s="6" t="s">
        <v>114</v>
      </c>
      <c r="D859" s="6" t="s">
        <v>1870</v>
      </c>
      <c r="E859" s="6" t="s">
        <v>1871</v>
      </c>
      <c r="F859" s="6">
        <v>6.9070502443E10</v>
      </c>
      <c r="G859" s="6" t="s">
        <v>122</v>
      </c>
      <c r="H859" s="7"/>
      <c r="I859" s="6" t="s">
        <v>9128</v>
      </c>
      <c r="J859" s="6" t="s">
        <v>9129</v>
      </c>
      <c r="K859" s="6" t="s">
        <v>9130</v>
      </c>
      <c r="L859" s="6" t="s">
        <v>9131</v>
      </c>
      <c r="M859" s="6" t="s">
        <v>9132</v>
      </c>
      <c r="N859" s="7"/>
      <c r="O859" s="6" t="s">
        <v>9133</v>
      </c>
      <c r="P859" s="6" t="s">
        <v>9134</v>
      </c>
      <c r="Q859" s="6" t="s">
        <v>9135</v>
      </c>
      <c r="R859" s="6" t="s">
        <v>257</v>
      </c>
      <c r="S859" s="6" t="s">
        <v>147</v>
      </c>
      <c r="T859" s="6" t="s">
        <v>250</v>
      </c>
      <c r="U859" s="6" t="s">
        <v>2254</v>
      </c>
      <c r="V859" s="6" t="s">
        <v>246</v>
      </c>
      <c r="W859" s="6" t="s">
        <v>158</v>
      </c>
      <c r="X859" s="6" t="s">
        <v>161</v>
      </c>
      <c r="Y859" s="6" t="s">
        <v>162</v>
      </c>
      <c r="Z859" s="6" t="s">
        <v>165</v>
      </c>
      <c r="AA859" s="6" t="s">
        <v>641</v>
      </c>
      <c r="AB859" s="6" t="s">
        <v>171</v>
      </c>
      <c r="AC859" s="6" t="s">
        <v>1669</v>
      </c>
      <c r="AD859" s="6" t="s">
        <v>175</v>
      </c>
      <c r="AE859" s="6" t="s">
        <v>271</v>
      </c>
      <c r="AF859" s="6" t="s">
        <v>181</v>
      </c>
      <c r="AG859" s="6" t="s">
        <v>182</v>
      </c>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row>
    <row r="860" ht="22.5" customHeight="1">
      <c r="A860" s="4">
        <v>46229.70144157407</v>
      </c>
      <c r="B860" s="5">
        <v>0.0</v>
      </c>
      <c r="C860" s="6" t="s">
        <v>114</v>
      </c>
      <c r="D860" s="6" t="s">
        <v>1872</v>
      </c>
      <c r="E860" s="6" t="s">
        <v>1873</v>
      </c>
      <c r="F860" s="6">
        <v>6.9070505205E10</v>
      </c>
      <c r="G860" s="6" t="s">
        <v>1470</v>
      </c>
      <c r="H860" s="7"/>
      <c r="I860" s="6" t="s">
        <v>9136</v>
      </c>
      <c r="J860" s="6" t="s">
        <v>9137</v>
      </c>
      <c r="K860" s="6" t="s">
        <v>5024</v>
      </c>
      <c r="L860" s="6" t="s">
        <v>4892</v>
      </c>
      <c r="M860" s="6" t="s">
        <v>9138</v>
      </c>
      <c r="N860" s="6" t="s">
        <v>9139</v>
      </c>
      <c r="O860" s="6" t="s">
        <v>9140</v>
      </c>
      <c r="P860" s="6" t="s">
        <v>9141</v>
      </c>
      <c r="Q860" s="6" t="s">
        <v>9142</v>
      </c>
      <c r="R860" s="6" t="s">
        <v>246</v>
      </c>
      <c r="S860" s="6" t="s">
        <v>147</v>
      </c>
      <c r="T860" s="6" t="s">
        <v>250</v>
      </c>
      <c r="U860" s="6" t="s">
        <v>686</v>
      </c>
      <c r="V860" s="6" t="s">
        <v>246</v>
      </c>
      <c r="W860" s="6" t="s">
        <v>158</v>
      </c>
      <c r="X860" s="6" t="s">
        <v>257</v>
      </c>
      <c r="Y860" s="6" t="s">
        <v>162</v>
      </c>
      <c r="Z860" s="6" t="s">
        <v>165</v>
      </c>
      <c r="AA860" s="6" t="s">
        <v>262</v>
      </c>
      <c r="AB860" s="6" t="s">
        <v>171</v>
      </c>
      <c r="AC860" s="6" t="s">
        <v>174</v>
      </c>
      <c r="AD860" s="6" t="s">
        <v>175</v>
      </c>
      <c r="AE860" s="6" t="s">
        <v>271</v>
      </c>
      <c r="AF860" s="6" t="s">
        <v>181</v>
      </c>
      <c r="AG860" s="6" t="s">
        <v>182</v>
      </c>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row>
    <row r="861" ht="22.5" customHeight="1">
      <c r="A861" s="4">
        <v>46229.701443935184</v>
      </c>
      <c r="B861" s="5">
        <v>0.0</v>
      </c>
      <c r="C861" s="6" t="s">
        <v>114</v>
      </c>
      <c r="D861" s="6" t="s">
        <v>1456</v>
      </c>
      <c r="E861" s="6" t="s">
        <v>1874</v>
      </c>
      <c r="F861" s="6">
        <v>6.9070505233E10</v>
      </c>
      <c r="G861" s="6" t="s">
        <v>1470</v>
      </c>
      <c r="H861" s="7"/>
      <c r="I861" s="6" t="s">
        <v>9143</v>
      </c>
      <c r="J861" s="6" t="s">
        <v>9144</v>
      </c>
      <c r="K861" s="6" t="s">
        <v>4892</v>
      </c>
      <c r="L861" s="6" t="s">
        <v>9137</v>
      </c>
      <c r="M861" s="6" t="s">
        <v>9145</v>
      </c>
      <c r="N861" s="7"/>
      <c r="O861" s="6" t="s">
        <v>9146</v>
      </c>
      <c r="P861" s="6" t="s">
        <v>9147</v>
      </c>
      <c r="Q861" s="6" t="s">
        <v>9148</v>
      </c>
      <c r="R861" s="6" t="s">
        <v>246</v>
      </c>
      <c r="S861" s="6" t="s">
        <v>147</v>
      </c>
      <c r="T861" s="6" t="s">
        <v>250</v>
      </c>
      <c r="U861" s="6" t="s">
        <v>686</v>
      </c>
      <c r="V861" s="6" t="s">
        <v>246</v>
      </c>
      <c r="W861" s="6" t="s">
        <v>158</v>
      </c>
      <c r="X861" s="6" t="s">
        <v>257</v>
      </c>
      <c r="Y861" s="6" t="s">
        <v>162</v>
      </c>
      <c r="Z861" s="6" t="s">
        <v>165</v>
      </c>
      <c r="AA861" s="6" t="s">
        <v>262</v>
      </c>
      <c r="AB861" s="6" t="s">
        <v>171</v>
      </c>
      <c r="AC861" s="6" t="s">
        <v>174</v>
      </c>
      <c r="AD861" s="6" t="s">
        <v>175</v>
      </c>
      <c r="AE861" s="6" t="s">
        <v>271</v>
      </c>
      <c r="AF861" s="6" t="s">
        <v>181</v>
      </c>
      <c r="AG861" s="6" t="s">
        <v>182</v>
      </c>
      <c r="AH861" s="7"/>
      <c r="AI861" s="7"/>
      <c r="AJ861" s="7"/>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c r="BJ861" s="7"/>
      <c r="BK861" s="7"/>
    </row>
    <row r="862" ht="22.5" customHeight="1">
      <c r="A862" s="4">
        <v>46229.70146152777</v>
      </c>
      <c r="B862" s="5">
        <v>0.0</v>
      </c>
      <c r="C862" s="6" t="s">
        <v>114</v>
      </c>
      <c r="D862" s="6" t="s">
        <v>1875</v>
      </c>
      <c r="E862" s="6" t="s">
        <v>1876</v>
      </c>
      <c r="F862" s="6">
        <v>6.9070501247E10</v>
      </c>
      <c r="G862" s="6" t="s">
        <v>228</v>
      </c>
      <c r="H862" s="7"/>
      <c r="I862" s="6" t="s">
        <v>3241</v>
      </c>
      <c r="J862" s="6" t="s">
        <v>9149</v>
      </c>
      <c r="K862" s="6" t="s">
        <v>9150</v>
      </c>
      <c r="L862" s="6" t="s">
        <v>9151</v>
      </c>
      <c r="M862" s="6" t="s">
        <v>9152</v>
      </c>
      <c r="N862" s="6" t="s">
        <v>9152</v>
      </c>
      <c r="O862" s="6" t="s">
        <v>9153</v>
      </c>
      <c r="P862" s="6" t="s">
        <v>9154</v>
      </c>
      <c r="Q862" s="6" t="s">
        <v>9155</v>
      </c>
      <c r="R862" s="6" t="s">
        <v>246</v>
      </c>
      <c r="S862" s="6" t="s">
        <v>147</v>
      </c>
      <c r="T862" s="6" t="s">
        <v>246</v>
      </c>
      <c r="U862" s="6" t="s">
        <v>252</v>
      </c>
      <c r="V862" s="6" t="s">
        <v>246</v>
      </c>
      <c r="W862" s="6" t="s">
        <v>158</v>
      </c>
      <c r="X862" s="6" t="s">
        <v>257</v>
      </c>
      <c r="Y862" s="6" t="s">
        <v>162</v>
      </c>
      <c r="Z862" s="6" t="s">
        <v>165</v>
      </c>
      <c r="AA862" s="6" t="s">
        <v>262</v>
      </c>
      <c r="AB862" s="6" t="s">
        <v>171</v>
      </c>
      <c r="AC862" s="6" t="s">
        <v>174</v>
      </c>
      <c r="AD862" s="6" t="s">
        <v>175</v>
      </c>
      <c r="AE862" s="6" t="s">
        <v>271</v>
      </c>
      <c r="AF862" s="6" t="s">
        <v>181</v>
      </c>
      <c r="AG862" s="6" t="s">
        <v>182</v>
      </c>
      <c r="AH862" s="7"/>
      <c r="AI862" s="7"/>
      <c r="AJ862" s="7"/>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c r="BJ862" s="7"/>
      <c r="BK862" s="7"/>
    </row>
    <row r="863" ht="22.5" customHeight="1">
      <c r="A863" s="4">
        <v>46229.70146292824</v>
      </c>
      <c r="B863" s="5">
        <v>0.0</v>
      </c>
      <c r="C863" s="6" t="s">
        <v>3296</v>
      </c>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6" t="s">
        <v>2745</v>
      </c>
      <c r="AI863" s="6" t="s">
        <v>2746</v>
      </c>
      <c r="AJ863" s="6">
        <v>6.907050921E10</v>
      </c>
      <c r="AK863" s="6" t="s">
        <v>4331</v>
      </c>
      <c r="AL863" s="6" t="s">
        <v>2633</v>
      </c>
      <c r="AM863" s="6" t="s">
        <v>6724</v>
      </c>
      <c r="AN863" s="6" t="s">
        <v>9156</v>
      </c>
      <c r="AO863" s="6" t="s">
        <v>8495</v>
      </c>
      <c r="AP863" s="6" t="s">
        <v>9157</v>
      </c>
      <c r="AQ863" s="6" t="s">
        <v>6992</v>
      </c>
      <c r="AR863" s="7"/>
      <c r="AS863" s="6" t="s">
        <v>9158</v>
      </c>
      <c r="AT863" s="6" t="s">
        <v>9159</v>
      </c>
      <c r="AU863" s="6" t="s">
        <v>9160</v>
      </c>
      <c r="AV863" s="6" t="s">
        <v>3306</v>
      </c>
      <c r="AW863" s="6" t="s">
        <v>3307</v>
      </c>
      <c r="AX863" s="6" t="s">
        <v>3887</v>
      </c>
      <c r="AY863" s="6" t="s">
        <v>3309</v>
      </c>
      <c r="AZ863" s="6" t="s">
        <v>3306</v>
      </c>
      <c r="BA863" s="6" t="s">
        <v>3311</v>
      </c>
      <c r="BB863" s="6" t="s">
        <v>3312</v>
      </c>
      <c r="BC863" s="6" t="s">
        <v>3313</v>
      </c>
      <c r="BD863" s="6" t="s">
        <v>165</v>
      </c>
      <c r="BE863" s="6" t="s">
        <v>4341</v>
      </c>
      <c r="BF863" s="6" t="s">
        <v>5052</v>
      </c>
      <c r="BG863" s="6" t="s">
        <v>3316</v>
      </c>
      <c r="BH863" s="6" t="s">
        <v>5246</v>
      </c>
      <c r="BI863" s="6" t="s">
        <v>271</v>
      </c>
      <c r="BJ863" s="6" t="s">
        <v>3318</v>
      </c>
      <c r="BK863" s="6" t="s">
        <v>3319</v>
      </c>
    </row>
    <row r="864" ht="22.5" customHeight="1">
      <c r="A864" s="4">
        <v>46229.70147006944</v>
      </c>
      <c r="B864" s="5">
        <v>0.0</v>
      </c>
      <c r="C864" s="6" t="s">
        <v>3296</v>
      </c>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6" t="s">
        <v>2747</v>
      </c>
      <c r="AI864" s="6" t="s">
        <v>2748</v>
      </c>
      <c r="AJ864" s="6">
        <v>6.9070504025E10</v>
      </c>
      <c r="AK864" s="6" t="s">
        <v>4331</v>
      </c>
      <c r="AL864" s="6" t="s">
        <v>9161</v>
      </c>
      <c r="AM864" s="6" t="s">
        <v>9162</v>
      </c>
      <c r="AN864" s="6" t="s">
        <v>9163</v>
      </c>
      <c r="AO864" s="6" t="s">
        <v>9164</v>
      </c>
      <c r="AP864" s="6" t="s">
        <v>9165</v>
      </c>
      <c r="AQ864" s="6" t="s">
        <v>9166</v>
      </c>
      <c r="AR864" s="7"/>
      <c r="AS864" s="6" t="s">
        <v>9163</v>
      </c>
      <c r="AT864" s="6" t="s">
        <v>9163</v>
      </c>
      <c r="AU864" s="6" t="s">
        <v>9163</v>
      </c>
      <c r="AV864" s="6" t="s">
        <v>3306</v>
      </c>
      <c r="AW864" s="6" t="s">
        <v>3307</v>
      </c>
      <c r="AX864" s="6" t="s">
        <v>3887</v>
      </c>
      <c r="AY864" s="6" t="s">
        <v>3309</v>
      </c>
      <c r="AZ864" s="6" t="s">
        <v>3306</v>
      </c>
      <c r="BA864" s="6" t="s">
        <v>3311</v>
      </c>
      <c r="BB864" s="6" t="s">
        <v>3312</v>
      </c>
      <c r="BC864" s="6" t="s">
        <v>3313</v>
      </c>
      <c r="BD864" s="6" t="s">
        <v>165</v>
      </c>
      <c r="BE864" s="6" t="s">
        <v>3888</v>
      </c>
      <c r="BF864" s="6" t="s">
        <v>3315</v>
      </c>
      <c r="BG864" s="6" t="s">
        <v>4694</v>
      </c>
      <c r="BH864" s="6" t="s">
        <v>3317</v>
      </c>
      <c r="BI864" s="6" t="s">
        <v>271</v>
      </c>
      <c r="BJ864" s="6" t="s">
        <v>3318</v>
      </c>
      <c r="BK864" s="6" t="s">
        <v>3319</v>
      </c>
    </row>
    <row r="865" ht="22.5" customHeight="1">
      <c r="A865" s="4">
        <v>46229.70147729167</v>
      </c>
      <c r="B865" s="5">
        <v>0.0</v>
      </c>
      <c r="C865" s="6" t="s">
        <v>114</v>
      </c>
      <c r="D865" s="6" t="s">
        <v>1877</v>
      </c>
      <c r="E865" s="6" t="s">
        <v>1878</v>
      </c>
      <c r="F865" s="6">
        <v>6.9070500868E10</v>
      </c>
      <c r="G865" s="6" t="s">
        <v>496</v>
      </c>
      <c r="H865" s="6" t="s">
        <v>9167</v>
      </c>
      <c r="I865" s="6" t="s">
        <v>9168</v>
      </c>
      <c r="J865" s="6" t="s">
        <v>7660</v>
      </c>
      <c r="K865" s="6" t="s">
        <v>9169</v>
      </c>
      <c r="L865" s="6" t="s">
        <v>9170</v>
      </c>
      <c r="M865" s="6" t="s">
        <v>5140</v>
      </c>
      <c r="N865" s="7"/>
      <c r="O865" s="6" t="s">
        <v>9171</v>
      </c>
      <c r="P865" s="6" t="s">
        <v>9172</v>
      </c>
      <c r="Q865" s="6" t="s">
        <v>9173</v>
      </c>
      <c r="R865" s="6" t="s">
        <v>246</v>
      </c>
      <c r="S865" s="6" t="s">
        <v>147</v>
      </c>
      <c r="T865" s="6" t="s">
        <v>250</v>
      </c>
      <c r="U865" s="6" t="s">
        <v>560</v>
      </c>
      <c r="V865" s="6" t="s">
        <v>246</v>
      </c>
      <c r="W865" s="6" t="s">
        <v>158</v>
      </c>
      <c r="X865" s="6" t="s">
        <v>161</v>
      </c>
      <c r="Y865" s="6" t="s">
        <v>162</v>
      </c>
      <c r="Z865" s="6" t="s">
        <v>165</v>
      </c>
      <c r="AA865" s="6" t="s">
        <v>262</v>
      </c>
      <c r="AB865" s="6" t="s">
        <v>171</v>
      </c>
      <c r="AC865" s="6" t="s">
        <v>174</v>
      </c>
      <c r="AD865" s="6" t="s">
        <v>175</v>
      </c>
      <c r="AE865" s="6" t="s">
        <v>271</v>
      </c>
      <c r="AF865" s="6" t="s">
        <v>181</v>
      </c>
      <c r="AG865" s="6" t="s">
        <v>182</v>
      </c>
      <c r="AH865" s="7"/>
      <c r="AI865" s="7"/>
      <c r="AJ865" s="7"/>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row>
    <row r="866" ht="22.5" customHeight="1">
      <c r="A866" s="4">
        <v>46229.70148025463</v>
      </c>
      <c r="B866" s="5">
        <v>0.0</v>
      </c>
      <c r="C866" s="6" t="s">
        <v>114</v>
      </c>
      <c r="D866" s="6" t="s">
        <v>1879</v>
      </c>
      <c r="E866" s="6" t="s">
        <v>1880</v>
      </c>
      <c r="F866" s="6">
        <v>6.9070500609E10</v>
      </c>
      <c r="G866" s="6" t="s">
        <v>6140</v>
      </c>
      <c r="H866" s="7"/>
      <c r="I866" s="6" t="s">
        <v>9174</v>
      </c>
      <c r="J866" s="6" t="s">
        <v>9175</v>
      </c>
      <c r="K866" s="6" t="s">
        <v>9176</v>
      </c>
      <c r="L866" s="6" t="s">
        <v>9177</v>
      </c>
      <c r="M866" s="6" t="s">
        <v>9178</v>
      </c>
      <c r="N866" s="6" t="s">
        <v>9179</v>
      </c>
      <c r="O866" s="6" t="s">
        <v>9180</v>
      </c>
      <c r="P866" s="6" t="s">
        <v>9181</v>
      </c>
      <c r="Q866" s="6" t="s">
        <v>9182</v>
      </c>
      <c r="R866" s="6" t="s">
        <v>246</v>
      </c>
      <c r="S866" s="6" t="s">
        <v>147</v>
      </c>
      <c r="T866" s="6" t="s">
        <v>250</v>
      </c>
      <c r="U866" s="6" t="s">
        <v>686</v>
      </c>
      <c r="V866" s="6" t="s">
        <v>246</v>
      </c>
      <c r="W866" s="6" t="s">
        <v>158</v>
      </c>
      <c r="X866" s="6" t="s">
        <v>458</v>
      </c>
      <c r="Y866" s="6" t="s">
        <v>162</v>
      </c>
      <c r="Z866" s="6" t="s">
        <v>165</v>
      </c>
      <c r="AA866" s="6" t="s">
        <v>262</v>
      </c>
      <c r="AB866" s="6" t="s">
        <v>171</v>
      </c>
      <c r="AC866" s="6" t="s">
        <v>2718</v>
      </c>
      <c r="AD866" s="6" t="s">
        <v>1723</v>
      </c>
      <c r="AE866" s="6" t="s">
        <v>271</v>
      </c>
      <c r="AF866" s="6" t="s">
        <v>181</v>
      </c>
      <c r="AG866" s="6" t="s">
        <v>182</v>
      </c>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row>
    <row r="867" ht="22.5" customHeight="1">
      <c r="A867" s="4">
        <v>46229.70148328703</v>
      </c>
      <c r="B867" s="5">
        <v>0.0</v>
      </c>
      <c r="C867" s="6" t="s">
        <v>114</v>
      </c>
      <c r="D867" s="6" t="s">
        <v>1881</v>
      </c>
      <c r="E867" s="6" t="s">
        <v>1882</v>
      </c>
      <c r="F867" s="6">
        <v>6.9070500253E10</v>
      </c>
      <c r="G867" s="6" t="s">
        <v>599</v>
      </c>
      <c r="H867" s="7"/>
      <c r="I867" s="6" t="s">
        <v>9183</v>
      </c>
      <c r="J867" s="6" t="s">
        <v>4002</v>
      </c>
      <c r="K867" s="6" t="s">
        <v>4607</v>
      </c>
      <c r="L867" s="6" t="s">
        <v>9184</v>
      </c>
      <c r="M867" s="6" t="s">
        <v>9185</v>
      </c>
      <c r="N867" s="7"/>
      <c r="O867" s="6" t="s">
        <v>9186</v>
      </c>
      <c r="P867" s="6" t="s">
        <v>9187</v>
      </c>
      <c r="Q867" s="6" t="s">
        <v>9188</v>
      </c>
      <c r="R867" s="6" t="s">
        <v>246</v>
      </c>
      <c r="S867" s="6" t="s">
        <v>147</v>
      </c>
      <c r="T867" s="6" t="s">
        <v>250</v>
      </c>
      <c r="U867" s="6" t="s">
        <v>686</v>
      </c>
      <c r="V867" s="6" t="s">
        <v>246</v>
      </c>
      <c r="W867" s="6" t="s">
        <v>158</v>
      </c>
      <c r="X867" s="6" t="s">
        <v>257</v>
      </c>
      <c r="Y867" s="6" t="s">
        <v>162</v>
      </c>
      <c r="Z867" s="6" t="s">
        <v>165</v>
      </c>
      <c r="AA867" s="6" t="s">
        <v>262</v>
      </c>
      <c r="AB867" s="6" t="s">
        <v>1266</v>
      </c>
      <c r="AC867" s="6" t="s">
        <v>174</v>
      </c>
      <c r="AD867" s="6" t="s">
        <v>175</v>
      </c>
      <c r="AE867" s="6" t="s">
        <v>178</v>
      </c>
      <c r="AF867" s="6" t="s">
        <v>181</v>
      </c>
      <c r="AG867" s="6" t="s">
        <v>182</v>
      </c>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row>
    <row r="868" ht="22.5" customHeight="1">
      <c r="A868" s="4">
        <v>46229.701492719905</v>
      </c>
      <c r="B868" s="5">
        <v>0.0</v>
      </c>
      <c r="C868" s="6" t="s">
        <v>114</v>
      </c>
      <c r="D868" s="6" t="s">
        <v>1883</v>
      </c>
      <c r="E868" s="6" t="s">
        <v>1884</v>
      </c>
      <c r="F868" s="6">
        <v>6.9070501074E10</v>
      </c>
      <c r="G868" s="6" t="s">
        <v>1470</v>
      </c>
      <c r="H868" s="7"/>
      <c r="I868" s="6" t="s">
        <v>9103</v>
      </c>
      <c r="J868" s="6" t="s">
        <v>9189</v>
      </c>
      <c r="K868" s="6" t="s">
        <v>9190</v>
      </c>
      <c r="L868" s="6" t="s">
        <v>9104</v>
      </c>
      <c r="M868" s="6" t="s">
        <v>9105</v>
      </c>
      <c r="N868" s="6" t="s">
        <v>2502</v>
      </c>
      <c r="O868" s="6" t="s">
        <v>9191</v>
      </c>
      <c r="P868" s="6" t="s">
        <v>9192</v>
      </c>
      <c r="Q868" s="6" t="s">
        <v>9193</v>
      </c>
      <c r="R868" s="6" t="s">
        <v>246</v>
      </c>
      <c r="S868" s="6" t="s">
        <v>147</v>
      </c>
      <c r="T868" s="6" t="s">
        <v>250</v>
      </c>
      <c r="U868" s="6" t="s">
        <v>252</v>
      </c>
      <c r="V868" s="6" t="s">
        <v>246</v>
      </c>
      <c r="W868" s="6" t="s">
        <v>158</v>
      </c>
      <c r="X868" s="6" t="s">
        <v>257</v>
      </c>
      <c r="Y868" s="6" t="s">
        <v>162</v>
      </c>
      <c r="Z868" s="6" t="s">
        <v>629</v>
      </c>
      <c r="AA868" s="6" t="s">
        <v>262</v>
      </c>
      <c r="AB868" s="6" t="s">
        <v>171</v>
      </c>
      <c r="AC868" s="6" t="s">
        <v>174</v>
      </c>
      <c r="AD868" s="6" t="s">
        <v>175</v>
      </c>
      <c r="AE868" s="6" t="s">
        <v>524</v>
      </c>
      <c r="AF868" s="6" t="s">
        <v>181</v>
      </c>
      <c r="AG868" s="6" t="s">
        <v>182</v>
      </c>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row>
    <row r="869" ht="22.5" customHeight="1">
      <c r="A869" s="4">
        <v>46229.70151280092</v>
      </c>
      <c r="B869" s="5">
        <v>0.0</v>
      </c>
      <c r="C869" s="6" t="s">
        <v>114</v>
      </c>
      <c r="D869" s="6" t="s">
        <v>1885</v>
      </c>
      <c r="E869" s="6" t="s">
        <v>1886</v>
      </c>
      <c r="F869" s="6">
        <v>6.907050024E10</v>
      </c>
      <c r="G869" s="6" t="s">
        <v>599</v>
      </c>
      <c r="H869" s="7"/>
      <c r="I869" s="6" t="s">
        <v>9194</v>
      </c>
      <c r="J869" s="6" t="s">
        <v>6085</v>
      </c>
      <c r="K869" s="6" t="s">
        <v>6084</v>
      </c>
      <c r="L869" s="6" t="s">
        <v>9195</v>
      </c>
      <c r="M869" s="6" t="s">
        <v>3162</v>
      </c>
      <c r="N869" s="7"/>
      <c r="O869" s="6" t="s">
        <v>9196</v>
      </c>
      <c r="P869" s="6" t="s">
        <v>9197</v>
      </c>
      <c r="Q869" s="6" t="s">
        <v>9198</v>
      </c>
      <c r="R869" s="6" t="s">
        <v>246</v>
      </c>
      <c r="S869" s="6" t="s">
        <v>147</v>
      </c>
      <c r="T869" s="6" t="s">
        <v>250</v>
      </c>
      <c r="U869" s="6" t="s">
        <v>560</v>
      </c>
      <c r="V869" s="6" t="s">
        <v>246</v>
      </c>
      <c r="W869" s="6" t="s">
        <v>158</v>
      </c>
      <c r="X869" s="6" t="s">
        <v>257</v>
      </c>
      <c r="Y869" s="6" t="s">
        <v>162</v>
      </c>
      <c r="Z869" s="6" t="s">
        <v>165</v>
      </c>
      <c r="AA869" s="6" t="s">
        <v>262</v>
      </c>
      <c r="AB869" s="6" t="s">
        <v>171</v>
      </c>
      <c r="AC869" s="6" t="s">
        <v>174</v>
      </c>
      <c r="AD869" s="6" t="s">
        <v>175</v>
      </c>
      <c r="AE869" s="6" t="s">
        <v>271</v>
      </c>
      <c r="AF869" s="6" t="s">
        <v>181</v>
      </c>
      <c r="AG869" s="6" t="s">
        <v>182</v>
      </c>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row>
    <row r="870" ht="22.5" customHeight="1">
      <c r="A870" s="4">
        <v>46229.70152138889</v>
      </c>
      <c r="B870" s="5">
        <v>0.0</v>
      </c>
      <c r="C870" s="6" t="s">
        <v>114</v>
      </c>
      <c r="D870" s="6" t="s">
        <v>1887</v>
      </c>
      <c r="E870" s="6" t="s">
        <v>1888</v>
      </c>
      <c r="F870" s="6">
        <v>6.9070500875E10</v>
      </c>
      <c r="G870" s="6" t="s">
        <v>496</v>
      </c>
      <c r="H870" s="6" t="s">
        <v>9199</v>
      </c>
      <c r="I870" s="6" t="s">
        <v>9200</v>
      </c>
      <c r="J870" s="6" t="s">
        <v>9201</v>
      </c>
      <c r="K870" s="6" t="s">
        <v>9202</v>
      </c>
      <c r="L870" s="6" t="s">
        <v>9203</v>
      </c>
      <c r="M870" s="6" t="s">
        <v>9204</v>
      </c>
      <c r="N870" s="6" t="s">
        <v>3042</v>
      </c>
      <c r="O870" s="6" t="s">
        <v>9205</v>
      </c>
      <c r="P870" s="6" t="s">
        <v>9206</v>
      </c>
      <c r="Q870" s="6" t="s">
        <v>9207</v>
      </c>
      <c r="R870" s="6" t="s">
        <v>246</v>
      </c>
      <c r="S870" s="6" t="s">
        <v>147</v>
      </c>
      <c r="T870" s="6" t="s">
        <v>246</v>
      </c>
      <c r="U870" s="6" t="s">
        <v>252</v>
      </c>
      <c r="V870" s="6" t="s">
        <v>155</v>
      </c>
      <c r="W870" s="6" t="s">
        <v>158</v>
      </c>
      <c r="X870" s="6" t="s">
        <v>161</v>
      </c>
      <c r="Y870" s="6" t="s">
        <v>162</v>
      </c>
      <c r="Z870" s="6" t="s">
        <v>165</v>
      </c>
      <c r="AA870" s="6" t="s">
        <v>262</v>
      </c>
      <c r="AB870" s="6" t="s">
        <v>521</v>
      </c>
      <c r="AC870" s="6" t="s">
        <v>2718</v>
      </c>
      <c r="AD870" s="6" t="s">
        <v>175</v>
      </c>
      <c r="AE870" s="6" t="s">
        <v>271</v>
      </c>
      <c r="AF870" s="6" t="s">
        <v>181</v>
      </c>
      <c r="AG870" s="6" t="s">
        <v>182</v>
      </c>
      <c r="AH870" s="7"/>
      <c r="AI870" s="7"/>
      <c r="AJ870" s="7"/>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c r="BJ870" s="7"/>
      <c r="BK870" s="7"/>
    </row>
    <row r="871" ht="22.5" customHeight="1">
      <c r="A871" s="4">
        <v>46229.70152271991</v>
      </c>
      <c r="B871" s="5">
        <v>0.0</v>
      </c>
      <c r="C871" s="6" t="s">
        <v>114</v>
      </c>
      <c r="D871" s="6" t="s">
        <v>1889</v>
      </c>
      <c r="E871" s="6" t="s">
        <v>1890</v>
      </c>
      <c r="F871" s="6">
        <v>6.9070500038E10</v>
      </c>
      <c r="G871" s="6" t="s">
        <v>4580</v>
      </c>
      <c r="H871" s="7"/>
      <c r="I871" s="6" t="s">
        <v>9208</v>
      </c>
      <c r="J871" s="6" t="s">
        <v>8885</v>
      </c>
      <c r="K871" s="6" t="s">
        <v>9209</v>
      </c>
      <c r="L871" s="6" t="s">
        <v>9210</v>
      </c>
      <c r="M871" s="6" t="s">
        <v>8788</v>
      </c>
      <c r="N871" s="6" t="s">
        <v>9211</v>
      </c>
      <c r="O871" s="6" t="s">
        <v>9212</v>
      </c>
      <c r="P871" s="6" t="s">
        <v>9213</v>
      </c>
      <c r="Q871" s="6" t="s">
        <v>9214</v>
      </c>
      <c r="R871" s="6" t="s">
        <v>246</v>
      </c>
      <c r="S871" s="6" t="s">
        <v>147</v>
      </c>
      <c r="T871" s="6" t="s">
        <v>250</v>
      </c>
      <c r="U871" s="6" t="s">
        <v>252</v>
      </c>
      <c r="V871" s="6" t="s">
        <v>246</v>
      </c>
      <c r="W871" s="6" t="s">
        <v>158</v>
      </c>
      <c r="X871" s="6" t="s">
        <v>458</v>
      </c>
      <c r="Y871" s="6" t="s">
        <v>162</v>
      </c>
      <c r="Z871" s="6" t="s">
        <v>165</v>
      </c>
      <c r="AA871" s="6" t="s">
        <v>262</v>
      </c>
      <c r="AB871" s="6" t="s">
        <v>521</v>
      </c>
      <c r="AC871" s="6" t="s">
        <v>174</v>
      </c>
      <c r="AD871" s="6" t="s">
        <v>175</v>
      </c>
      <c r="AE871" s="6" t="s">
        <v>271</v>
      </c>
      <c r="AF871" s="6" t="s">
        <v>181</v>
      </c>
      <c r="AG871" s="6" t="s">
        <v>182</v>
      </c>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row>
    <row r="872" ht="22.5" customHeight="1">
      <c r="A872" s="4">
        <v>46229.701524212964</v>
      </c>
      <c r="B872" s="5">
        <v>0.0</v>
      </c>
      <c r="C872" s="6" t="s">
        <v>114</v>
      </c>
      <c r="D872" s="6" t="s">
        <v>1891</v>
      </c>
      <c r="E872" s="6" t="s">
        <v>1892</v>
      </c>
      <c r="F872" s="6">
        <v>6.9070502497E10</v>
      </c>
      <c r="G872" s="6" t="s">
        <v>122</v>
      </c>
      <c r="H872" s="7"/>
      <c r="I872" s="6" t="s">
        <v>9215</v>
      </c>
      <c r="J872" s="6" t="s">
        <v>9216</v>
      </c>
      <c r="K872" s="6" t="s">
        <v>9217</v>
      </c>
      <c r="L872" s="6" t="s">
        <v>9218</v>
      </c>
      <c r="M872" s="6" t="s">
        <v>9219</v>
      </c>
      <c r="N872" s="7"/>
      <c r="O872" s="6" t="s">
        <v>9220</v>
      </c>
      <c r="P872" s="6" t="s">
        <v>9221</v>
      </c>
      <c r="Q872" s="6" t="s">
        <v>9222</v>
      </c>
      <c r="R872" s="6" t="s">
        <v>246</v>
      </c>
      <c r="S872" s="6" t="s">
        <v>147</v>
      </c>
      <c r="T872" s="6" t="s">
        <v>250</v>
      </c>
      <c r="U872" s="6" t="s">
        <v>686</v>
      </c>
      <c r="V872" s="6" t="s">
        <v>246</v>
      </c>
      <c r="W872" s="6" t="s">
        <v>158</v>
      </c>
      <c r="X872" s="6" t="s">
        <v>257</v>
      </c>
      <c r="Y872" s="6" t="s">
        <v>162</v>
      </c>
      <c r="Z872" s="6" t="s">
        <v>165</v>
      </c>
      <c r="AA872" s="6" t="s">
        <v>262</v>
      </c>
      <c r="AB872" s="6" t="s">
        <v>521</v>
      </c>
      <c r="AC872" s="6" t="s">
        <v>174</v>
      </c>
      <c r="AD872" s="6" t="s">
        <v>1723</v>
      </c>
      <c r="AE872" s="6" t="s">
        <v>271</v>
      </c>
      <c r="AF872" s="6" t="s">
        <v>181</v>
      </c>
      <c r="AG872" s="6" t="s">
        <v>182</v>
      </c>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row>
    <row r="873" ht="22.5" customHeight="1">
      <c r="A873" s="4">
        <v>46229.70153121528</v>
      </c>
      <c r="B873" s="5">
        <v>0.0</v>
      </c>
      <c r="C873" s="6" t="s">
        <v>3296</v>
      </c>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6" t="s">
        <v>2749</v>
      </c>
      <c r="AI873" s="6" t="s">
        <v>2750</v>
      </c>
      <c r="AJ873" s="6">
        <v>6.9070503415E10</v>
      </c>
      <c r="AK873" s="6" t="s">
        <v>3297</v>
      </c>
      <c r="AL873" s="7"/>
      <c r="AM873" s="6" t="s">
        <v>9223</v>
      </c>
      <c r="AN873" s="6" t="s">
        <v>9224</v>
      </c>
      <c r="AO873" s="6" t="s">
        <v>9225</v>
      </c>
      <c r="AP873" s="6" t="s">
        <v>9226</v>
      </c>
      <c r="AQ873" s="6" t="s">
        <v>9227</v>
      </c>
      <c r="AR873" s="7"/>
      <c r="AS873" s="6" t="s">
        <v>9228</v>
      </c>
      <c r="AT873" s="6" t="s">
        <v>9229</v>
      </c>
      <c r="AU873" s="6" t="s">
        <v>9230</v>
      </c>
      <c r="AV873" s="6" t="s">
        <v>3306</v>
      </c>
      <c r="AW873" s="6" t="s">
        <v>3307</v>
      </c>
      <c r="AX873" s="6" t="s">
        <v>3887</v>
      </c>
      <c r="AY873" s="6" t="s">
        <v>4067</v>
      </c>
      <c r="AZ873" s="6" t="s">
        <v>3306</v>
      </c>
      <c r="BA873" s="6" t="s">
        <v>3311</v>
      </c>
      <c r="BB873" s="6" t="s">
        <v>3312</v>
      </c>
      <c r="BC873" s="6" t="s">
        <v>3313</v>
      </c>
      <c r="BD873" s="6" t="s">
        <v>165</v>
      </c>
      <c r="BE873" s="6" t="s">
        <v>3888</v>
      </c>
      <c r="BF873" s="6" t="s">
        <v>3315</v>
      </c>
      <c r="BG873" s="6" t="s">
        <v>4068</v>
      </c>
      <c r="BH873" s="6" t="s">
        <v>7150</v>
      </c>
      <c r="BI873" s="6" t="s">
        <v>524</v>
      </c>
      <c r="BJ873" s="6" t="s">
        <v>3318</v>
      </c>
      <c r="BK873" s="6" t="s">
        <v>3319</v>
      </c>
    </row>
    <row r="874" ht="22.5" customHeight="1">
      <c r="A874" s="4">
        <v>46229.70155707176</v>
      </c>
      <c r="B874" s="5">
        <v>0.0</v>
      </c>
      <c r="C874" s="6" t="s">
        <v>114</v>
      </c>
      <c r="D874" s="6" t="s">
        <v>1893</v>
      </c>
      <c r="E874" s="6" t="s">
        <v>1894</v>
      </c>
      <c r="F874" s="6">
        <v>6.907050941E10</v>
      </c>
      <c r="G874" s="6" t="s">
        <v>122</v>
      </c>
      <c r="H874" s="6" t="s">
        <v>9231</v>
      </c>
      <c r="I874" s="6" t="s">
        <v>9232</v>
      </c>
      <c r="J874" s="6" t="s">
        <v>5393</v>
      </c>
      <c r="K874" s="6" t="s">
        <v>9233</v>
      </c>
      <c r="L874" s="6" t="s">
        <v>9234</v>
      </c>
      <c r="M874" s="6" t="s">
        <v>9235</v>
      </c>
      <c r="N874" s="6" t="s">
        <v>2633</v>
      </c>
      <c r="O874" s="6" t="s">
        <v>9236</v>
      </c>
      <c r="P874" s="6" t="s">
        <v>9237</v>
      </c>
      <c r="Q874" s="6" t="s">
        <v>9238</v>
      </c>
      <c r="R874" s="6" t="s">
        <v>246</v>
      </c>
      <c r="S874" s="6" t="s">
        <v>147</v>
      </c>
      <c r="T874" s="6" t="s">
        <v>250</v>
      </c>
      <c r="U874" s="6" t="s">
        <v>686</v>
      </c>
      <c r="V874" s="6" t="s">
        <v>246</v>
      </c>
      <c r="W874" s="6" t="s">
        <v>158</v>
      </c>
      <c r="X874" s="6" t="s">
        <v>257</v>
      </c>
      <c r="Y874" s="6" t="s">
        <v>162</v>
      </c>
      <c r="Z874" s="6" t="s">
        <v>165</v>
      </c>
      <c r="AA874" s="6" t="s">
        <v>262</v>
      </c>
      <c r="AB874" s="6" t="s">
        <v>171</v>
      </c>
      <c r="AC874" s="6" t="s">
        <v>174</v>
      </c>
      <c r="AD874" s="6" t="s">
        <v>175</v>
      </c>
      <c r="AE874" s="6" t="s">
        <v>271</v>
      </c>
      <c r="AF874" s="6" t="s">
        <v>181</v>
      </c>
      <c r="AG874" s="6" t="s">
        <v>182</v>
      </c>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row>
    <row r="875" ht="22.5" customHeight="1">
      <c r="A875" s="4">
        <v>46229.701566250005</v>
      </c>
      <c r="B875" s="5">
        <v>0.0</v>
      </c>
      <c r="C875" s="6" t="s">
        <v>114</v>
      </c>
      <c r="D875" s="6" t="s">
        <v>107</v>
      </c>
      <c r="E875" s="6" t="s">
        <v>1895</v>
      </c>
      <c r="F875" s="6">
        <v>6.9070500318E10</v>
      </c>
      <c r="G875" s="6" t="s">
        <v>599</v>
      </c>
      <c r="H875" s="7"/>
      <c r="I875" s="6" t="s">
        <v>9239</v>
      </c>
      <c r="J875" s="6" t="s">
        <v>9240</v>
      </c>
      <c r="K875" s="6" t="s">
        <v>9241</v>
      </c>
      <c r="L875" s="6" t="s">
        <v>9242</v>
      </c>
      <c r="M875" s="6" t="s">
        <v>9243</v>
      </c>
      <c r="N875" s="7"/>
      <c r="O875" s="6" t="s">
        <v>9244</v>
      </c>
      <c r="P875" s="6" t="s">
        <v>9245</v>
      </c>
      <c r="Q875" s="6" t="s">
        <v>9246</v>
      </c>
      <c r="R875" s="6" t="s">
        <v>246</v>
      </c>
      <c r="S875" s="6" t="s">
        <v>147</v>
      </c>
      <c r="T875" s="6" t="s">
        <v>250</v>
      </c>
      <c r="U875" s="6" t="s">
        <v>252</v>
      </c>
      <c r="V875" s="6" t="s">
        <v>246</v>
      </c>
      <c r="W875" s="6" t="s">
        <v>158</v>
      </c>
      <c r="X875" s="6" t="s">
        <v>257</v>
      </c>
      <c r="Y875" s="6" t="s">
        <v>162</v>
      </c>
      <c r="Z875" s="6" t="s">
        <v>165</v>
      </c>
      <c r="AA875" s="6" t="s">
        <v>262</v>
      </c>
      <c r="AB875" s="6" t="s">
        <v>171</v>
      </c>
      <c r="AC875" s="6" t="s">
        <v>174</v>
      </c>
      <c r="AD875" s="6" t="s">
        <v>175</v>
      </c>
      <c r="AE875" s="6" t="s">
        <v>271</v>
      </c>
      <c r="AF875" s="6" t="s">
        <v>181</v>
      </c>
      <c r="AG875" s="6" t="s">
        <v>182</v>
      </c>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row>
    <row r="876" ht="22.5" customHeight="1">
      <c r="A876" s="4">
        <v>46229.7015677662</v>
      </c>
      <c r="B876" s="5">
        <v>0.0</v>
      </c>
      <c r="C876" s="6" t="s">
        <v>3296</v>
      </c>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6" t="s">
        <v>2751</v>
      </c>
      <c r="AI876" s="6" t="s">
        <v>2752</v>
      </c>
      <c r="AJ876" s="6">
        <v>6.9070503489E10</v>
      </c>
      <c r="AK876" s="6" t="s">
        <v>3297</v>
      </c>
      <c r="AL876" s="7"/>
      <c r="AM876" s="6" t="s">
        <v>9247</v>
      </c>
      <c r="AN876" s="6" t="s">
        <v>9248</v>
      </c>
      <c r="AO876" s="6" t="s">
        <v>8229</v>
      </c>
      <c r="AP876" s="6" t="s">
        <v>9249</v>
      </c>
      <c r="AQ876" s="6" t="s">
        <v>9250</v>
      </c>
      <c r="AR876" s="6" t="s">
        <v>9251</v>
      </c>
      <c r="AS876" s="6" t="s">
        <v>9252</v>
      </c>
      <c r="AT876" s="6" t="s">
        <v>9253</v>
      </c>
      <c r="AU876" s="6" t="s">
        <v>9254</v>
      </c>
      <c r="AV876" s="6" t="s">
        <v>4861</v>
      </c>
      <c r="AW876" s="6" t="s">
        <v>9070</v>
      </c>
      <c r="AX876" s="6" t="s">
        <v>3312</v>
      </c>
      <c r="AY876" s="6" t="s">
        <v>152</v>
      </c>
      <c r="AZ876" s="6" t="s">
        <v>6098</v>
      </c>
      <c r="BA876" s="6" t="s">
        <v>3311</v>
      </c>
      <c r="BB876" s="6" t="s">
        <v>4693</v>
      </c>
      <c r="BC876" s="6" t="s">
        <v>3313</v>
      </c>
      <c r="BD876" s="6" t="s">
        <v>165</v>
      </c>
      <c r="BE876" s="6" t="s">
        <v>3888</v>
      </c>
      <c r="BF876" s="6" t="s">
        <v>3315</v>
      </c>
      <c r="BG876" s="6" t="s">
        <v>4068</v>
      </c>
      <c r="BH876" s="6" t="s">
        <v>3317</v>
      </c>
      <c r="BI876" s="6" t="s">
        <v>271</v>
      </c>
      <c r="BJ876" s="6" t="s">
        <v>3318</v>
      </c>
      <c r="BK876" s="6" t="s">
        <v>4695</v>
      </c>
    </row>
    <row r="877" ht="22.5" customHeight="1">
      <c r="A877" s="4">
        <v>46229.70157075231</v>
      </c>
      <c r="B877" s="5">
        <v>0.0</v>
      </c>
      <c r="C877" s="6" t="s">
        <v>114</v>
      </c>
      <c r="D877" s="6" t="s">
        <v>1896</v>
      </c>
      <c r="E877" s="6" t="s">
        <v>1897</v>
      </c>
      <c r="F877" s="6">
        <v>6.9070502214E10</v>
      </c>
      <c r="G877" s="6" t="s">
        <v>496</v>
      </c>
      <c r="H877" s="6" t="s">
        <v>9255</v>
      </c>
      <c r="I877" s="6" t="s">
        <v>9256</v>
      </c>
      <c r="J877" s="6" t="s">
        <v>9257</v>
      </c>
      <c r="K877" s="6" t="s">
        <v>9258</v>
      </c>
      <c r="L877" s="6" t="s">
        <v>9259</v>
      </c>
      <c r="M877" s="6" t="s">
        <v>9260</v>
      </c>
      <c r="N877" s="6" t="s">
        <v>9261</v>
      </c>
      <c r="O877" s="6" t="s">
        <v>9262</v>
      </c>
      <c r="P877" s="6" t="s">
        <v>9263</v>
      </c>
      <c r="Q877" s="6" t="s">
        <v>9264</v>
      </c>
      <c r="R877" s="6" t="s">
        <v>246</v>
      </c>
      <c r="S877" s="6" t="s">
        <v>147</v>
      </c>
      <c r="T877" s="6" t="s">
        <v>250</v>
      </c>
      <c r="U877" s="6" t="s">
        <v>560</v>
      </c>
      <c r="V877" s="6" t="s">
        <v>246</v>
      </c>
      <c r="W877" s="6" t="s">
        <v>158</v>
      </c>
      <c r="X877" s="6" t="s">
        <v>257</v>
      </c>
      <c r="Y877" s="6" t="s">
        <v>162</v>
      </c>
      <c r="Z877" s="6" t="s">
        <v>165</v>
      </c>
      <c r="AA877" s="6" t="s">
        <v>262</v>
      </c>
      <c r="AB877" s="6" t="s">
        <v>521</v>
      </c>
      <c r="AC877" s="6" t="s">
        <v>174</v>
      </c>
      <c r="AD877" s="6" t="s">
        <v>175</v>
      </c>
      <c r="AE877" s="6" t="s">
        <v>271</v>
      </c>
      <c r="AF877" s="6" t="s">
        <v>181</v>
      </c>
      <c r="AG877" s="6" t="s">
        <v>182</v>
      </c>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row>
    <row r="878" ht="22.5" customHeight="1">
      <c r="A878" s="4">
        <v>46229.70158569445</v>
      </c>
      <c r="B878" s="5">
        <v>0.0</v>
      </c>
      <c r="C878" s="6" t="s">
        <v>114</v>
      </c>
      <c r="D878" s="6" t="s">
        <v>1898</v>
      </c>
      <c r="E878" s="6" t="s">
        <v>1899</v>
      </c>
      <c r="F878" s="6">
        <v>6.9070506442E10</v>
      </c>
      <c r="G878" s="6" t="s">
        <v>599</v>
      </c>
      <c r="H878" s="7"/>
      <c r="I878" s="6" t="s">
        <v>9265</v>
      </c>
      <c r="J878" s="6" t="s">
        <v>9266</v>
      </c>
      <c r="K878" s="6" t="s">
        <v>9267</v>
      </c>
      <c r="L878" s="6" t="s">
        <v>6956</v>
      </c>
      <c r="M878" s="6" t="s">
        <v>9268</v>
      </c>
      <c r="N878" s="7"/>
      <c r="O878" s="6" t="s">
        <v>9269</v>
      </c>
      <c r="P878" s="6" t="s">
        <v>9270</v>
      </c>
      <c r="Q878" s="6" t="s">
        <v>9271</v>
      </c>
      <c r="R878" s="6" t="s">
        <v>246</v>
      </c>
      <c r="S878" s="6" t="s">
        <v>147</v>
      </c>
      <c r="T878" s="6" t="s">
        <v>250</v>
      </c>
      <c r="U878" s="6" t="s">
        <v>560</v>
      </c>
      <c r="V878" s="6" t="s">
        <v>246</v>
      </c>
      <c r="W878" s="6" t="s">
        <v>158</v>
      </c>
      <c r="X878" s="6" t="s">
        <v>257</v>
      </c>
      <c r="Y878" s="6" t="s">
        <v>162</v>
      </c>
      <c r="Z878" s="6" t="s">
        <v>165</v>
      </c>
      <c r="AA878" s="6" t="s">
        <v>262</v>
      </c>
      <c r="AB878" s="6" t="s">
        <v>521</v>
      </c>
      <c r="AC878" s="6" t="s">
        <v>1669</v>
      </c>
      <c r="AD878" s="6" t="s">
        <v>175</v>
      </c>
      <c r="AE878" s="6" t="s">
        <v>271</v>
      </c>
      <c r="AF878" s="6" t="s">
        <v>181</v>
      </c>
      <c r="AG878" s="6" t="s">
        <v>182</v>
      </c>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row>
    <row r="879" ht="22.5" customHeight="1">
      <c r="A879" s="4">
        <v>46229.701609606476</v>
      </c>
      <c r="B879" s="5">
        <v>0.0</v>
      </c>
      <c r="C879" s="6" t="s">
        <v>3296</v>
      </c>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6" t="s">
        <v>2753</v>
      </c>
      <c r="AI879" s="6" t="s">
        <v>2754</v>
      </c>
      <c r="AJ879" s="6">
        <v>6.9070509211E10</v>
      </c>
      <c r="AK879" s="6" t="s">
        <v>4331</v>
      </c>
      <c r="AL879" s="6" t="s">
        <v>9272</v>
      </c>
      <c r="AM879" s="6" t="s">
        <v>9273</v>
      </c>
      <c r="AN879" s="6" t="s">
        <v>6725</v>
      </c>
      <c r="AO879" s="6" t="s">
        <v>9274</v>
      </c>
      <c r="AP879" s="6" t="s">
        <v>7052</v>
      </c>
      <c r="AQ879" s="6" t="s">
        <v>9275</v>
      </c>
      <c r="AR879" s="7"/>
      <c r="AS879" s="6" t="s">
        <v>9276</v>
      </c>
      <c r="AT879" s="6" t="s">
        <v>9277</v>
      </c>
      <c r="AU879" s="6" t="s">
        <v>9278</v>
      </c>
      <c r="AV879" s="6" t="s">
        <v>3306</v>
      </c>
      <c r="AW879" s="6" t="s">
        <v>3307</v>
      </c>
      <c r="AX879" s="6" t="s">
        <v>3887</v>
      </c>
      <c r="AY879" s="6" t="s">
        <v>3309</v>
      </c>
      <c r="AZ879" s="6" t="s">
        <v>3306</v>
      </c>
      <c r="BA879" s="6" t="s">
        <v>3311</v>
      </c>
      <c r="BB879" s="6" t="s">
        <v>4693</v>
      </c>
      <c r="BC879" s="6" t="s">
        <v>3313</v>
      </c>
      <c r="BD879" s="6" t="s">
        <v>165</v>
      </c>
      <c r="BE879" s="6" t="s">
        <v>3314</v>
      </c>
      <c r="BF879" s="6" t="s">
        <v>3889</v>
      </c>
      <c r="BG879" s="6" t="s">
        <v>5760</v>
      </c>
      <c r="BH879" s="6" t="s">
        <v>5761</v>
      </c>
      <c r="BI879" s="6" t="s">
        <v>1211</v>
      </c>
      <c r="BJ879" s="6" t="s">
        <v>4068</v>
      </c>
      <c r="BK879" s="6" t="s">
        <v>4695</v>
      </c>
    </row>
    <row r="880" ht="22.5" customHeight="1">
      <c r="A880" s="4">
        <v>46229.70163299769</v>
      </c>
      <c r="B880" s="5">
        <v>0.0</v>
      </c>
      <c r="C880" s="6" t="s">
        <v>114</v>
      </c>
      <c r="D880" s="6" t="s">
        <v>1900</v>
      </c>
      <c r="E880" s="6" t="s">
        <v>1902</v>
      </c>
      <c r="F880" s="6">
        <v>6.9070501285E10</v>
      </c>
      <c r="G880" s="6" t="s">
        <v>228</v>
      </c>
      <c r="H880" s="7"/>
      <c r="I880" s="6" t="s">
        <v>9279</v>
      </c>
      <c r="J880" s="6" t="s">
        <v>9280</v>
      </c>
      <c r="K880" s="6" t="s">
        <v>9281</v>
      </c>
      <c r="L880" s="6" t="s">
        <v>9282</v>
      </c>
      <c r="M880" s="6" t="s">
        <v>9283</v>
      </c>
      <c r="N880" s="7"/>
      <c r="O880" s="6" t="s">
        <v>9284</v>
      </c>
      <c r="P880" s="6" t="s">
        <v>9285</v>
      </c>
      <c r="Q880" s="6" t="s">
        <v>9286</v>
      </c>
      <c r="R880" s="6" t="s">
        <v>257</v>
      </c>
      <c r="S880" s="6" t="s">
        <v>147</v>
      </c>
      <c r="T880" s="6" t="s">
        <v>250</v>
      </c>
      <c r="U880" s="6" t="s">
        <v>152</v>
      </c>
      <c r="V880" s="6" t="s">
        <v>155</v>
      </c>
      <c r="W880" s="6" t="s">
        <v>158</v>
      </c>
      <c r="X880" s="6" t="s">
        <v>458</v>
      </c>
      <c r="Y880" s="6" t="s">
        <v>162</v>
      </c>
      <c r="Z880" s="6" t="s">
        <v>165</v>
      </c>
      <c r="AA880" s="6" t="s">
        <v>262</v>
      </c>
      <c r="AB880" s="6" t="s">
        <v>171</v>
      </c>
      <c r="AC880" s="6" t="s">
        <v>174</v>
      </c>
      <c r="AD880" s="6" t="s">
        <v>175</v>
      </c>
      <c r="AE880" s="6" t="s">
        <v>271</v>
      </c>
      <c r="AF880" s="6" t="s">
        <v>181</v>
      </c>
      <c r="AG880" s="6" t="s">
        <v>182</v>
      </c>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row>
    <row r="881" ht="22.5" customHeight="1">
      <c r="A881" s="4">
        <v>46229.70164421297</v>
      </c>
      <c r="B881" s="5">
        <v>0.0</v>
      </c>
      <c r="C881" s="6" t="s">
        <v>114</v>
      </c>
      <c r="D881" s="6" t="s">
        <v>1905</v>
      </c>
      <c r="E881" s="6" t="s">
        <v>1906</v>
      </c>
      <c r="F881" s="6">
        <v>6.9070500812E10</v>
      </c>
      <c r="G881" s="6" t="s">
        <v>496</v>
      </c>
      <c r="H881" s="6" t="s">
        <v>2633</v>
      </c>
      <c r="I881" s="6" t="s">
        <v>4950</v>
      </c>
      <c r="J881" s="6" t="s">
        <v>7660</v>
      </c>
      <c r="K881" s="6" t="s">
        <v>4549</v>
      </c>
      <c r="L881" s="6" t="s">
        <v>1368</v>
      </c>
      <c r="M881" s="6" t="s">
        <v>4921</v>
      </c>
      <c r="N881" s="6" t="s">
        <v>9287</v>
      </c>
      <c r="O881" s="6" t="s">
        <v>9288</v>
      </c>
      <c r="P881" s="6" t="s">
        <v>9289</v>
      </c>
      <c r="Q881" s="6" t="s">
        <v>9290</v>
      </c>
      <c r="R881" s="6" t="s">
        <v>246</v>
      </c>
      <c r="S881" s="6" t="s">
        <v>147</v>
      </c>
      <c r="T881" s="6" t="s">
        <v>149</v>
      </c>
      <c r="U881" s="6" t="s">
        <v>252</v>
      </c>
      <c r="V881" s="6" t="s">
        <v>155</v>
      </c>
      <c r="W881" s="6" t="s">
        <v>158</v>
      </c>
      <c r="X881" s="6" t="s">
        <v>458</v>
      </c>
      <c r="Y881" s="6" t="s">
        <v>162</v>
      </c>
      <c r="Z881" s="6" t="s">
        <v>165</v>
      </c>
      <c r="AA881" s="6" t="s">
        <v>262</v>
      </c>
      <c r="AB881" s="6" t="s">
        <v>171</v>
      </c>
      <c r="AC881" s="6" t="s">
        <v>174</v>
      </c>
      <c r="AD881" s="6" t="s">
        <v>175</v>
      </c>
      <c r="AE881" s="6" t="s">
        <v>178</v>
      </c>
      <c r="AF881" s="6" t="s">
        <v>181</v>
      </c>
      <c r="AG881" s="6" t="s">
        <v>182</v>
      </c>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row>
    <row r="882" ht="22.5" customHeight="1">
      <c r="A882" s="4">
        <v>46229.70165751157</v>
      </c>
      <c r="B882" s="5">
        <v>0.0</v>
      </c>
      <c r="C882" s="6" t="s">
        <v>114</v>
      </c>
      <c r="D882" s="6" t="s">
        <v>1909</v>
      </c>
      <c r="E882" s="6" t="s">
        <v>1911</v>
      </c>
      <c r="F882" s="6">
        <v>6.9070500815E10</v>
      </c>
      <c r="G882" s="6" t="s">
        <v>496</v>
      </c>
      <c r="H882" s="7"/>
      <c r="I882" s="6" t="s">
        <v>7757</v>
      </c>
      <c r="J882" s="6" t="s">
        <v>9291</v>
      </c>
      <c r="K882" s="6" t="s">
        <v>9292</v>
      </c>
      <c r="L882" s="6" t="s">
        <v>5726</v>
      </c>
      <c r="M882" s="6" t="s">
        <v>3891</v>
      </c>
      <c r="N882" s="7"/>
      <c r="O882" s="6" t="s">
        <v>9293</v>
      </c>
      <c r="P882" s="6" t="s">
        <v>9294</v>
      </c>
      <c r="Q882" s="6" t="s">
        <v>9295</v>
      </c>
      <c r="R882" s="6" t="s">
        <v>246</v>
      </c>
      <c r="S882" s="6" t="s">
        <v>147</v>
      </c>
      <c r="T882" s="6" t="s">
        <v>516</v>
      </c>
      <c r="U882" s="6" t="s">
        <v>252</v>
      </c>
      <c r="V882" s="6" t="s">
        <v>246</v>
      </c>
      <c r="W882" s="6" t="s">
        <v>158</v>
      </c>
      <c r="X882" s="6" t="s">
        <v>257</v>
      </c>
      <c r="Y882" s="6" t="s">
        <v>162</v>
      </c>
      <c r="Z882" s="6" t="s">
        <v>165</v>
      </c>
      <c r="AA882" s="6" t="s">
        <v>262</v>
      </c>
      <c r="AB882" s="6" t="s">
        <v>171</v>
      </c>
      <c r="AC882" s="6" t="s">
        <v>174</v>
      </c>
      <c r="AD882" s="6" t="s">
        <v>175</v>
      </c>
      <c r="AE882" s="6" t="s">
        <v>271</v>
      </c>
      <c r="AF882" s="6" t="s">
        <v>181</v>
      </c>
      <c r="AG882" s="6" t="s">
        <v>182</v>
      </c>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row>
    <row r="883" ht="22.5" customHeight="1">
      <c r="A883" s="4">
        <v>46229.70166348379</v>
      </c>
      <c r="B883" s="5">
        <v>0.0</v>
      </c>
      <c r="C883" s="6" t="s">
        <v>114</v>
      </c>
      <c r="D883" s="6" t="s">
        <v>1914</v>
      </c>
      <c r="E883" s="6" t="s">
        <v>1915</v>
      </c>
      <c r="F883" s="6">
        <v>6.9070500801E10</v>
      </c>
      <c r="G883" s="6" t="s">
        <v>496</v>
      </c>
      <c r="H883" s="7"/>
      <c r="I883" s="6" t="s">
        <v>8523</v>
      </c>
      <c r="J883" s="6" t="s">
        <v>3891</v>
      </c>
      <c r="K883" s="6" t="s">
        <v>9296</v>
      </c>
      <c r="L883" s="6" t="s">
        <v>9297</v>
      </c>
      <c r="M883" s="6" t="s">
        <v>9298</v>
      </c>
      <c r="N883" s="6" t="s">
        <v>4822</v>
      </c>
      <c r="O883" s="6" t="s">
        <v>9299</v>
      </c>
      <c r="P883" s="6" t="s">
        <v>9300</v>
      </c>
      <c r="Q883" s="6" t="s">
        <v>9301</v>
      </c>
      <c r="R883" s="6" t="s">
        <v>246</v>
      </c>
      <c r="S883" s="6" t="s">
        <v>147</v>
      </c>
      <c r="T883" s="6" t="s">
        <v>516</v>
      </c>
      <c r="U883" s="6" t="s">
        <v>252</v>
      </c>
      <c r="V883" s="6" t="s">
        <v>246</v>
      </c>
      <c r="W883" s="6" t="s">
        <v>158</v>
      </c>
      <c r="X883" s="6" t="s">
        <v>257</v>
      </c>
      <c r="Y883" s="6" t="s">
        <v>162</v>
      </c>
      <c r="Z883" s="6" t="s">
        <v>165</v>
      </c>
      <c r="AA883" s="6" t="s">
        <v>262</v>
      </c>
      <c r="AB883" s="6" t="s">
        <v>171</v>
      </c>
      <c r="AC883" s="6" t="s">
        <v>174</v>
      </c>
      <c r="AD883" s="6" t="s">
        <v>175</v>
      </c>
      <c r="AE883" s="6" t="s">
        <v>271</v>
      </c>
      <c r="AF883" s="6" t="s">
        <v>181</v>
      </c>
      <c r="AG883" s="6" t="s">
        <v>182</v>
      </c>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row>
    <row r="884" ht="22.5" customHeight="1">
      <c r="A884" s="4">
        <v>46229.701676770834</v>
      </c>
      <c r="B884" s="5">
        <v>0.0</v>
      </c>
      <c r="C884" s="6" t="s">
        <v>114</v>
      </c>
      <c r="D884" s="6" t="s">
        <v>1917</v>
      </c>
      <c r="E884" s="6" t="s">
        <v>1918</v>
      </c>
      <c r="F884" s="6">
        <v>6.9070500241E10</v>
      </c>
      <c r="G884" s="6" t="s">
        <v>599</v>
      </c>
      <c r="H884" s="7"/>
      <c r="I884" s="6" t="s">
        <v>9302</v>
      </c>
      <c r="J884" s="6" t="s">
        <v>4005</v>
      </c>
      <c r="K884" s="6" t="s">
        <v>9303</v>
      </c>
      <c r="L884" s="6" t="s">
        <v>9304</v>
      </c>
      <c r="M884" s="6" t="s">
        <v>3523</v>
      </c>
      <c r="N884" s="7"/>
      <c r="O884" s="6" t="s">
        <v>9305</v>
      </c>
      <c r="P884" s="6" t="s">
        <v>9306</v>
      </c>
      <c r="Q884" s="6" t="s">
        <v>9307</v>
      </c>
      <c r="R884" s="6" t="s">
        <v>257</v>
      </c>
      <c r="S884" s="6" t="s">
        <v>147</v>
      </c>
      <c r="T884" s="6" t="s">
        <v>246</v>
      </c>
      <c r="U884" s="6" t="s">
        <v>252</v>
      </c>
      <c r="V884" s="6" t="s">
        <v>246</v>
      </c>
      <c r="W884" s="6" t="s">
        <v>158</v>
      </c>
      <c r="X884" s="6" t="s">
        <v>161</v>
      </c>
      <c r="Y884" s="6" t="s">
        <v>162</v>
      </c>
      <c r="Z884" s="6" t="s">
        <v>165</v>
      </c>
      <c r="AA884" s="6" t="s">
        <v>168</v>
      </c>
      <c r="AB884" s="6" t="s">
        <v>171</v>
      </c>
      <c r="AC884" s="6" t="s">
        <v>174</v>
      </c>
      <c r="AD884" s="6" t="s">
        <v>175</v>
      </c>
      <c r="AE884" s="6" t="s">
        <v>178</v>
      </c>
      <c r="AF884" s="6" t="s">
        <v>181</v>
      </c>
      <c r="AG884" s="6" t="s">
        <v>641</v>
      </c>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row>
    <row r="885" ht="22.5" customHeight="1">
      <c r="A885" s="4">
        <v>46229.70169138889</v>
      </c>
      <c r="B885" s="5">
        <v>0.0</v>
      </c>
      <c r="C885" s="6" t="s">
        <v>3296</v>
      </c>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6" t="s">
        <v>2755</v>
      </c>
      <c r="AI885" s="6" t="s">
        <v>2756</v>
      </c>
      <c r="AJ885" s="6">
        <v>6.9070503459E10</v>
      </c>
      <c r="AK885" s="6" t="s">
        <v>3297</v>
      </c>
      <c r="AL885" s="6" t="s">
        <v>9308</v>
      </c>
      <c r="AM885" s="6" t="s">
        <v>9309</v>
      </c>
      <c r="AN885" s="6" t="s">
        <v>9310</v>
      </c>
      <c r="AO885" s="6" t="s">
        <v>9311</v>
      </c>
      <c r="AP885" s="6" t="s">
        <v>9312</v>
      </c>
      <c r="AQ885" s="6" t="s">
        <v>9313</v>
      </c>
      <c r="AR885" s="7"/>
      <c r="AS885" s="6" t="s">
        <v>9314</v>
      </c>
      <c r="AT885" s="6" t="s">
        <v>9315</v>
      </c>
      <c r="AU885" s="6" t="s">
        <v>9316</v>
      </c>
      <c r="AV885" s="6" t="s">
        <v>3312</v>
      </c>
      <c r="AW885" s="6" t="s">
        <v>3307</v>
      </c>
      <c r="AX885" s="6" t="s">
        <v>3887</v>
      </c>
      <c r="AY885" s="6" t="s">
        <v>3309</v>
      </c>
      <c r="AZ885" s="6" t="s">
        <v>3887</v>
      </c>
      <c r="BA885" s="6" t="s">
        <v>3311</v>
      </c>
      <c r="BB885" s="6" t="s">
        <v>4693</v>
      </c>
      <c r="BC885" s="6" t="s">
        <v>3313</v>
      </c>
      <c r="BD885" s="6" t="s">
        <v>165</v>
      </c>
      <c r="BE885" s="6" t="s">
        <v>3888</v>
      </c>
      <c r="BF885" s="6" t="s">
        <v>3315</v>
      </c>
      <c r="BG885" s="6" t="s">
        <v>4068</v>
      </c>
      <c r="BH885" s="6" t="s">
        <v>5246</v>
      </c>
      <c r="BI885" s="6" t="s">
        <v>271</v>
      </c>
      <c r="BJ885" s="6" t="s">
        <v>3318</v>
      </c>
      <c r="BK885" s="6" t="s">
        <v>3319</v>
      </c>
    </row>
    <row r="886" ht="22.5" customHeight="1">
      <c r="A886" s="4">
        <v>46229.701696759264</v>
      </c>
      <c r="B886" s="5">
        <v>0.0</v>
      </c>
      <c r="C886" s="6" t="s">
        <v>114</v>
      </c>
      <c r="D886" s="6" t="s">
        <v>1919</v>
      </c>
      <c r="E886" s="6" t="s">
        <v>1920</v>
      </c>
      <c r="F886" s="6">
        <v>6.9070505209E10</v>
      </c>
      <c r="G886" s="6" t="s">
        <v>1470</v>
      </c>
      <c r="H886" s="7"/>
      <c r="I886" s="6" t="s">
        <v>8348</v>
      </c>
      <c r="J886" s="6" t="s">
        <v>9317</v>
      </c>
      <c r="K886" s="6" t="s">
        <v>6610</v>
      </c>
      <c r="L886" s="6" t="s">
        <v>9318</v>
      </c>
      <c r="M886" s="6" t="s">
        <v>9319</v>
      </c>
      <c r="N886" s="7"/>
      <c r="O886" s="6" t="s">
        <v>9320</v>
      </c>
      <c r="P886" s="6" t="s">
        <v>9321</v>
      </c>
      <c r="Q886" s="6" t="s">
        <v>9322</v>
      </c>
      <c r="R886" s="6" t="s">
        <v>246</v>
      </c>
      <c r="S886" s="6" t="s">
        <v>147</v>
      </c>
      <c r="T886" s="6" t="s">
        <v>246</v>
      </c>
      <c r="U886" s="6" t="s">
        <v>252</v>
      </c>
      <c r="V886" s="6" t="s">
        <v>246</v>
      </c>
      <c r="W886" s="6" t="s">
        <v>158</v>
      </c>
      <c r="X886" s="6" t="s">
        <v>250</v>
      </c>
      <c r="Y886" s="6" t="s">
        <v>162</v>
      </c>
      <c r="Z886" s="6" t="s">
        <v>165</v>
      </c>
      <c r="AA886" s="6" t="s">
        <v>262</v>
      </c>
      <c r="AB886" s="6" t="s">
        <v>171</v>
      </c>
      <c r="AC886" s="6" t="s">
        <v>174</v>
      </c>
      <c r="AD886" s="6" t="s">
        <v>175</v>
      </c>
      <c r="AE886" s="6" t="s">
        <v>271</v>
      </c>
      <c r="AF886" s="6" t="s">
        <v>181</v>
      </c>
      <c r="AG886" s="6" t="s">
        <v>182</v>
      </c>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row>
    <row r="887" ht="22.5" customHeight="1">
      <c r="A887" s="4">
        <v>46229.70171115741</v>
      </c>
      <c r="B887" s="5">
        <v>0.0</v>
      </c>
      <c r="C887" s="6" t="s">
        <v>3296</v>
      </c>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6" t="s">
        <v>2757</v>
      </c>
      <c r="AI887" s="6" t="s">
        <v>2758</v>
      </c>
      <c r="AJ887" s="6">
        <v>6.9070503219E10</v>
      </c>
      <c r="AK887" s="6" t="s">
        <v>9323</v>
      </c>
      <c r="AL887" s="7"/>
      <c r="AM887" s="6" t="s">
        <v>9324</v>
      </c>
      <c r="AN887" s="6" t="s">
        <v>9325</v>
      </c>
      <c r="AO887" s="6" t="s">
        <v>9326</v>
      </c>
      <c r="AP887" s="6" t="s">
        <v>9327</v>
      </c>
      <c r="AQ887" s="6" t="s">
        <v>9328</v>
      </c>
      <c r="AR887" s="7"/>
      <c r="AS887" s="6" t="s">
        <v>9329</v>
      </c>
      <c r="AT887" s="6" t="s">
        <v>9330</v>
      </c>
      <c r="AU887" s="6" t="s">
        <v>9331</v>
      </c>
      <c r="AV887" s="6" t="s">
        <v>8899</v>
      </c>
      <c r="AW887" s="6" t="s">
        <v>3307</v>
      </c>
      <c r="AX887" s="6" t="s">
        <v>3887</v>
      </c>
      <c r="AY887" s="6" t="s">
        <v>4067</v>
      </c>
      <c r="AZ887" s="6" t="s">
        <v>3887</v>
      </c>
      <c r="BA887" s="6" t="s">
        <v>4692</v>
      </c>
      <c r="BB887" s="6" t="s">
        <v>3312</v>
      </c>
      <c r="BC887" s="6" t="s">
        <v>8802</v>
      </c>
      <c r="BD887" s="6" t="s">
        <v>629</v>
      </c>
      <c r="BE887" s="6" t="s">
        <v>3314</v>
      </c>
      <c r="BF887" s="6" t="s">
        <v>5052</v>
      </c>
      <c r="BG887" s="6" t="s">
        <v>3316</v>
      </c>
      <c r="BH887" s="6" t="s">
        <v>7150</v>
      </c>
      <c r="BI887" s="6" t="s">
        <v>178</v>
      </c>
      <c r="BJ887" s="6" t="s">
        <v>4342</v>
      </c>
      <c r="BK887" s="6" t="s">
        <v>3319</v>
      </c>
    </row>
    <row r="888" ht="22.5" customHeight="1">
      <c r="A888" s="4">
        <v>46229.70171180555</v>
      </c>
      <c r="B888" s="5">
        <v>0.0</v>
      </c>
      <c r="C888" s="6" t="s">
        <v>114</v>
      </c>
      <c r="D888" s="6" t="s">
        <v>1921</v>
      </c>
      <c r="E888" s="6" t="s">
        <v>1922</v>
      </c>
      <c r="F888" s="6">
        <v>6.9070506468E10</v>
      </c>
      <c r="G888" s="6" t="s">
        <v>599</v>
      </c>
      <c r="H888" s="7"/>
      <c r="I888" s="6" t="s">
        <v>9332</v>
      </c>
      <c r="J888" s="6" t="s">
        <v>9333</v>
      </c>
      <c r="K888" s="6" t="s">
        <v>8655</v>
      </c>
      <c r="L888" s="6" t="s">
        <v>9334</v>
      </c>
      <c r="M888" s="6" t="s">
        <v>9335</v>
      </c>
      <c r="N888" s="7"/>
      <c r="O888" s="6" t="s">
        <v>9336</v>
      </c>
      <c r="P888" s="6" t="s">
        <v>9337</v>
      </c>
      <c r="Q888" s="6" t="s">
        <v>9338</v>
      </c>
      <c r="R888" s="6" t="s">
        <v>257</v>
      </c>
      <c r="S888" s="6" t="s">
        <v>147</v>
      </c>
      <c r="T888" s="6" t="s">
        <v>149</v>
      </c>
      <c r="U888" s="6" t="s">
        <v>2254</v>
      </c>
      <c r="V888" s="6" t="s">
        <v>155</v>
      </c>
      <c r="W888" s="6" t="s">
        <v>158</v>
      </c>
      <c r="X888" s="6" t="s">
        <v>257</v>
      </c>
      <c r="Y888" s="6" t="s">
        <v>162</v>
      </c>
      <c r="Z888" s="6" t="s">
        <v>165</v>
      </c>
      <c r="AA888" s="6" t="s">
        <v>262</v>
      </c>
      <c r="AB888" s="6" t="s">
        <v>171</v>
      </c>
      <c r="AC888" s="6" t="s">
        <v>174</v>
      </c>
      <c r="AD888" s="6" t="s">
        <v>175</v>
      </c>
      <c r="AE888" s="6" t="s">
        <v>178</v>
      </c>
      <c r="AF888" s="6" t="s">
        <v>181</v>
      </c>
      <c r="AG888" s="6" t="s">
        <v>182</v>
      </c>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row>
    <row r="889" ht="22.5" customHeight="1">
      <c r="A889" s="4">
        <v>46229.70171273148</v>
      </c>
      <c r="B889" s="5">
        <v>0.0</v>
      </c>
      <c r="C889" s="6" t="s">
        <v>114</v>
      </c>
      <c r="D889" s="6" t="s">
        <v>1392</v>
      </c>
      <c r="E889" s="6" t="s">
        <v>1923</v>
      </c>
      <c r="F889" s="6">
        <v>6.9070502464E10</v>
      </c>
      <c r="G889" s="6" t="s">
        <v>122</v>
      </c>
      <c r="H889" s="7"/>
      <c r="I889" s="6" t="s">
        <v>9339</v>
      </c>
      <c r="J889" s="6" t="s">
        <v>7246</v>
      </c>
      <c r="K889" s="6" t="s">
        <v>7232</v>
      </c>
      <c r="L889" s="6" t="s">
        <v>9340</v>
      </c>
      <c r="M889" s="6" t="s">
        <v>9341</v>
      </c>
      <c r="N889" s="7"/>
      <c r="O889" s="6" t="s">
        <v>9342</v>
      </c>
      <c r="P889" s="6" t="s">
        <v>9343</v>
      </c>
      <c r="Q889" s="6" t="s">
        <v>9344</v>
      </c>
      <c r="R889" s="6" t="s">
        <v>246</v>
      </c>
      <c r="S889" s="6" t="s">
        <v>147</v>
      </c>
      <c r="T889" s="6" t="s">
        <v>250</v>
      </c>
      <c r="U889" s="6" t="s">
        <v>560</v>
      </c>
      <c r="V889" s="6" t="s">
        <v>246</v>
      </c>
      <c r="W889" s="6" t="s">
        <v>158</v>
      </c>
      <c r="X889" s="6" t="s">
        <v>257</v>
      </c>
      <c r="Y889" s="6" t="s">
        <v>162</v>
      </c>
      <c r="Z889" s="6" t="s">
        <v>165</v>
      </c>
      <c r="AA889" s="6" t="s">
        <v>262</v>
      </c>
      <c r="AB889" s="6" t="s">
        <v>171</v>
      </c>
      <c r="AC889" s="6" t="s">
        <v>174</v>
      </c>
      <c r="AD889" s="6" t="s">
        <v>175</v>
      </c>
      <c r="AE889" s="6" t="s">
        <v>271</v>
      </c>
      <c r="AF889" s="6" t="s">
        <v>181</v>
      </c>
      <c r="AG889" s="6" t="s">
        <v>182</v>
      </c>
      <c r="AH889" s="7"/>
      <c r="AI889" s="7"/>
      <c r="AJ889" s="7"/>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row>
    <row r="890" ht="22.5" customHeight="1">
      <c r="A890" s="4">
        <v>46229.7017152662</v>
      </c>
      <c r="B890" s="5">
        <v>0.0</v>
      </c>
      <c r="C890" s="6" t="s">
        <v>114</v>
      </c>
      <c r="D890" s="6" t="s">
        <v>1924</v>
      </c>
      <c r="E890" s="6" t="s">
        <v>1925</v>
      </c>
      <c r="F890" s="6">
        <v>6.9070502515E10</v>
      </c>
      <c r="G890" s="6" t="s">
        <v>122</v>
      </c>
      <c r="H890" s="6" t="s">
        <v>9345</v>
      </c>
      <c r="I890" s="6" t="s">
        <v>9346</v>
      </c>
      <c r="J890" s="6" t="s">
        <v>9347</v>
      </c>
      <c r="K890" s="6" t="s">
        <v>9348</v>
      </c>
      <c r="L890" s="6" t="s">
        <v>9349</v>
      </c>
      <c r="M890" s="6" t="s">
        <v>9350</v>
      </c>
      <c r="N890" s="6" t="s">
        <v>9351</v>
      </c>
      <c r="O890" s="6" t="s">
        <v>9352</v>
      </c>
      <c r="P890" s="6" t="s">
        <v>9353</v>
      </c>
      <c r="Q890" s="6" t="s">
        <v>9352</v>
      </c>
      <c r="R890" s="6" t="s">
        <v>246</v>
      </c>
      <c r="S890" s="6" t="s">
        <v>147</v>
      </c>
      <c r="T890" s="6" t="s">
        <v>250</v>
      </c>
      <c r="U890" s="6" t="s">
        <v>2254</v>
      </c>
      <c r="V890" s="6" t="s">
        <v>246</v>
      </c>
      <c r="W890" s="6" t="s">
        <v>158</v>
      </c>
      <c r="X890" s="6" t="s">
        <v>257</v>
      </c>
      <c r="Y890" s="6" t="s">
        <v>162</v>
      </c>
      <c r="Z890" s="6" t="s">
        <v>165</v>
      </c>
      <c r="AA890" s="6" t="s">
        <v>262</v>
      </c>
      <c r="AB890" s="6" t="s">
        <v>171</v>
      </c>
      <c r="AC890" s="6" t="s">
        <v>174</v>
      </c>
      <c r="AD890" s="6" t="s">
        <v>175</v>
      </c>
      <c r="AE890" s="6" t="s">
        <v>3105</v>
      </c>
      <c r="AF890" s="6" t="s">
        <v>181</v>
      </c>
      <c r="AG890" s="6" t="s">
        <v>182</v>
      </c>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row>
    <row r="891" ht="22.5" customHeight="1">
      <c r="A891" s="4">
        <v>46229.701715393516</v>
      </c>
      <c r="B891" s="5">
        <v>0.0</v>
      </c>
      <c r="C891" s="6" t="s">
        <v>114</v>
      </c>
      <c r="D891" s="6" t="s">
        <v>1926</v>
      </c>
      <c r="E891" s="6" t="s">
        <v>1927</v>
      </c>
      <c r="F891" s="6">
        <v>6.9070501004E10</v>
      </c>
      <c r="G891" s="6" t="s">
        <v>1470</v>
      </c>
      <c r="H891" s="7"/>
      <c r="I891" s="6" t="s">
        <v>9354</v>
      </c>
      <c r="J891" s="6" t="s">
        <v>9355</v>
      </c>
      <c r="K891" s="6" t="s">
        <v>9356</v>
      </c>
      <c r="L891" s="6" t="s">
        <v>9357</v>
      </c>
      <c r="M891" s="6" t="s">
        <v>9358</v>
      </c>
      <c r="N891" s="7"/>
      <c r="O891" s="6" t="s">
        <v>9359</v>
      </c>
      <c r="P891" s="6" t="s">
        <v>9360</v>
      </c>
      <c r="Q891" s="6" t="s">
        <v>9361</v>
      </c>
      <c r="R891" s="6" t="s">
        <v>246</v>
      </c>
      <c r="S891" s="6" t="s">
        <v>147</v>
      </c>
      <c r="T891" s="6" t="s">
        <v>250</v>
      </c>
      <c r="U891" s="6" t="s">
        <v>560</v>
      </c>
      <c r="V891" s="6" t="s">
        <v>246</v>
      </c>
      <c r="W891" s="6" t="s">
        <v>158</v>
      </c>
      <c r="X891" s="6" t="s">
        <v>257</v>
      </c>
      <c r="Y891" s="6" t="s">
        <v>162</v>
      </c>
      <c r="Z891" s="6" t="s">
        <v>165</v>
      </c>
      <c r="AA891" s="6" t="s">
        <v>262</v>
      </c>
      <c r="AB891" s="6" t="s">
        <v>171</v>
      </c>
      <c r="AC891" s="6" t="s">
        <v>174</v>
      </c>
      <c r="AD891" s="6" t="s">
        <v>175</v>
      </c>
      <c r="AE891" s="6" t="s">
        <v>271</v>
      </c>
      <c r="AF891" s="6" t="s">
        <v>181</v>
      </c>
      <c r="AG891" s="6" t="s">
        <v>182</v>
      </c>
      <c r="AH891" s="7"/>
      <c r="AI891" s="7"/>
      <c r="AJ891" s="7"/>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row>
    <row r="892" ht="22.5" customHeight="1">
      <c r="A892" s="4">
        <v>46229.70172943287</v>
      </c>
      <c r="B892" s="5">
        <v>0.0</v>
      </c>
      <c r="C892" s="6" t="s">
        <v>114</v>
      </c>
      <c r="D892" s="6" t="s">
        <v>1928</v>
      </c>
      <c r="E892" s="6" t="s">
        <v>1929</v>
      </c>
      <c r="F892" s="6">
        <v>6.9070501214E10</v>
      </c>
      <c r="G892" s="6" t="s">
        <v>228</v>
      </c>
      <c r="H892" s="7"/>
      <c r="I892" s="6" t="s">
        <v>7677</v>
      </c>
      <c r="J892" s="6" t="s">
        <v>9362</v>
      </c>
      <c r="K892" s="6" t="s">
        <v>9363</v>
      </c>
      <c r="L892" s="6" t="s">
        <v>9364</v>
      </c>
      <c r="M892" s="6" t="s">
        <v>9365</v>
      </c>
      <c r="N892" s="6" t="s">
        <v>2633</v>
      </c>
      <c r="O892" s="6" t="s">
        <v>9366</v>
      </c>
      <c r="P892" s="6" t="s">
        <v>9367</v>
      </c>
      <c r="Q892" s="6" t="s">
        <v>9368</v>
      </c>
      <c r="R892" s="6" t="s">
        <v>246</v>
      </c>
      <c r="S892" s="6" t="s">
        <v>147</v>
      </c>
      <c r="T892" s="6" t="s">
        <v>250</v>
      </c>
      <c r="U892" s="6" t="s">
        <v>686</v>
      </c>
      <c r="V892" s="6" t="s">
        <v>246</v>
      </c>
      <c r="W892" s="6" t="s">
        <v>158</v>
      </c>
      <c r="X892" s="6" t="s">
        <v>458</v>
      </c>
      <c r="Y892" s="6" t="s">
        <v>162</v>
      </c>
      <c r="Z892" s="6" t="s">
        <v>165</v>
      </c>
      <c r="AA892" s="6" t="s">
        <v>262</v>
      </c>
      <c r="AB892" s="6" t="s">
        <v>171</v>
      </c>
      <c r="AC892" s="6" t="s">
        <v>174</v>
      </c>
      <c r="AD892" s="6" t="s">
        <v>175</v>
      </c>
      <c r="AE892" s="6" t="s">
        <v>271</v>
      </c>
      <c r="AF892" s="6" t="s">
        <v>181</v>
      </c>
      <c r="AG892" s="6" t="s">
        <v>182</v>
      </c>
      <c r="AH892" s="7"/>
      <c r="AI892" s="7"/>
      <c r="AJ892" s="7"/>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c r="BJ892" s="7"/>
      <c r="BK892" s="7"/>
    </row>
    <row r="893" ht="22.5" customHeight="1">
      <c r="A893" s="4">
        <v>46229.70173019676</v>
      </c>
      <c r="B893" s="5">
        <v>0.0</v>
      </c>
      <c r="C893" s="6" t="s">
        <v>3296</v>
      </c>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6" t="s">
        <v>2759</v>
      </c>
      <c r="AI893" s="6" t="s">
        <v>2760</v>
      </c>
      <c r="AJ893" s="6">
        <v>6.9070503441E10</v>
      </c>
      <c r="AK893" s="6" t="s">
        <v>3297</v>
      </c>
      <c r="AL893" s="7"/>
      <c r="AM893" s="6" t="s">
        <v>3301</v>
      </c>
      <c r="AN893" s="6" t="s">
        <v>9369</v>
      </c>
      <c r="AO893" s="6" t="s">
        <v>9370</v>
      </c>
      <c r="AP893" s="6" t="s">
        <v>9371</v>
      </c>
      <c r="AQ893" s="6" t="s">
        <v>9372</v>
      </c>
      <c r="AR893" s="7"/>
      <c r="AS893" s="6" t="s">
        <v>9373</v>
      </c>
      <c r="AT893" s="6" t="s">
        <v>9374</v>
      </c>
      <c r="AU893" s="6" t="s">
        <v>9375</v>
      </c>
      <c r="AV893" s="6" t="s">
        <v>3306</v>
      </c>
      <c r="AW893" s="6" t="s">
        <v>3307</v>
      </c>
      <c r="AX893" s="6" t="s">
        <v>3887</v>
      </c>
      <c r="AY893" s="6" t="s">
        <v>3309</v>
      </c>
      <c r="AZ893" s="6" t="s">
        <v>3306</v>
      </c>
      <c r="BA893" s="6" t="s">
        <v>3311</v>
      </c>
      <c r="BB893" s="6" t="s">
        <v>3312</v>
      </c>
      <c r="BC893" s="6" t="s">
        <v>3313</v>
      </c>
      <c r="BD893" s="6" t="s">
        <v>629</v>
      </c>
      <c r="BE893" s="6" t="s">
        <v>3888</v>
      </c>
      <c r="BF893" s="6" t="s">
        <v>3889</v>
      </c>
      <c r="BG893" s="6" t="s">
        <v>4068</v>
      </c>
      <c r="BH893" s="6" t="s">
        <v>3317</v>
      </c>
      <c r="BI893" s="6" t="s">
        <v>524</v>
      </c>
      <c r="BJ893" s="6" t="s">
        <v>3318</v>
      </c>
      <c r="BK893" s="6" t="s">
        <v>3319</v>
      </c>
    </row>
    <row r="894" ht="22.5" customHeight="1">
      <c r="A894" s="4">
        <v>46229.70173267361</v>
      </c>
      <c r="B894" s="5">
        <v>0.0</v>
      </c>
      <c r="C894" s="6" t="s">
        <v>114</v>
      </c>
      <c r="D894" s="6" t="s">
        <v>1930</v>
      </c>
      <c r="E894" s="6" t="s">
        <v>1931</v>
      </c>
      <c r="F894" s="6">
        <v>6.9070509426E10</v>
      </c>
      <c r="G894" s="6" t="s">
        <v>122</v>
      </c>
      <c r="H894" s="6" t="s">
        <v>9376</v>
      </c>
      <c r="I894" s="6" t="s">
        <v>9377</v>
      </c>
      <c r="J894" s="6" t="s">
        <v>5249</v>
      </c>
      <c r="K894" s="6" t="s">
        <v>9378</v>
      </c>
      <c r="L894" s="6" t="s">
        <v>9379</v>
      </c>
      <c r="M894" s="6" t="s">
        <v>8174</v>
      </c>
      <c r="N894" s="7"/>
      <c r="O894" s="6" t="s">
        <v>9380</v>
      </c>
      <c r="P894" s="6" t="s">
        <v>9381</v>
      </c>
      <c r="Q894" s="6" t="s">
        <v>9382</v>
      </c>
      <c r="R894" s="6" t="s">
        <v>246</v>
      </c>
      <c r="S894" s="6" t="s">
        <v>147</v>
      </c>
      <c r="T894" s="6" t="s">
        <v>250</v>
      </c>
      <c r="U894" s="6" t="s">
        <v>2254</v>
      </c>
      <c r="V894" s="6" t="s">
        <v>155</v>
      </c>
      <c r="W894" s="6" t="s">
        <v>158</v>
      </c>
      <c r="X894" s="6" t="s">
        <v>161</v>
      </c>
      <c r="Y894" s="6" t="s">
        <v>162</v>
      </c>
      <c r="Z894" s="6" t="s">
        <v>165</v>
      </c>
      <c r="AA894" s="6" t="s">
        <v>262</v>
      </c>
      <c r="AB894" s="6" t="s">
        <v>171</v>
      </c>
      <c r="AC894" s="6" t="s">
        <v>174</v>
      </c>
      <c r="AD894" s="6" t="s">
        <v>175</v>
      </c>
      <c r="AE894" s="6" t="s">
        <v>271</v>
      </c>
      <c r="AF894" s="6" t="s">
        <v>181</v>
      </c>
      <c r="AG894" s="6" t="s">
        <v>182</v>
      </c>
      <c r="AH894" s="7"/>
      <c r="AI894" s="7"/>
      <c r="AJ894" s="7"/>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c r="BJ894" s="7"/>
      <c r="BK894" s="7"/>
    </row>
    <row r="895" ht="22.5" customHeight="1">
      <c r="A895" s="4">
        <v>46229.70173508102</v>
      </c>
      <c r="B895" s="5">
        <v>0.0</v>
      </c>
      <c r="C895" s="6" t="s">
        <v>114</v>
      </c>
      <c r="D895" s="6" t="s">
        <v>1932</v>
      </c>
      <c r="E895" s="6" t="s">
        <v>1933</v>
      </c>
      <c r="F895" s="6">
        <v>6.9070500301E10</v>
      </c>
      <c r="G895" s="6" t="s">
        <v>599</v>
      </c>
      <c r="H895" s="6" t="s">
        <v>9383</v>
      </c>
      <c r="I895" s="6" t="s">
        <v>6564</v>
      </c>
      <c r="J895" s="6" t="s">
        <v>9384</v>
      </c>
      <c r="K895" s="6" t="s">
        <v>7044</v>
      </c>
      <c r="L895" s="6" t="s">
        <v>9385</v>
      </c>
      <c r="M895" s="6" t="s">
        <v>3637</v>
      </c>
      <c r="N895" s="7"/>
      <c r="O895" s="6" t="s">
        <v>9386</v>
      </c>
      <c r="P895" s="6" t="s">
        <v>9387</v>
      </c>
      <c r="Q895" s="6" t="s">
        <v>9388</v>
      </c>
      <c r="R895" s="6" t="s">
        <v>246</v>
      </c>
      <c r="S895" s="6" t="s">
        <v>147</v>
      </c>
      <c r="T895" s="6" t="s">
        <v>250</v>
      </c>
      <c r="U895" s="6" t="s">
        <v>560</v>
      </c>
      <c r="V895" s="6" t="s">
        <v>246</v>
      </c>
      <c r="W895" s="6" t="s">
        <v>158</v>
      </c>
      <c r="X895" s="6" t="s">
        <v>257</v>
      </c>
      <c r="Y895" s="6" t="s">
        <v>162</v>
      </c>
      <c r="Z895" s="6" t="s">
        <v>165</v>
      </c>
      <c r="AA895" s="6" t="s">
        <v>262</v>
      </c>
      <c r="AB895" s="6" t="s">
        <v>171</v>
      </c>
      <c r="AC895" s="6" t="s">
        <v>174</v>
      </c>
      <c r="AD895" s="6" t="s">
        <v>175</v>
      </c>
      <c r="AE895" s="6" t="s">
        <v>271</v>
      </c>
      <c r="AF895" s="6" t="s">
        <v>181</v>
      </c>
      <c r="AG895" s="6" t="s">
        <v>641</v>
      </c>
      <c r="AH895" s="7"/>
      <c r="AI895" s="7"/>
      <c r="AJ895" s="7"/>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row>
    <row r="896" ht="22.5" customHeight="1">
      <c r="A896" s="4">
        <v>46229.70175692129</v>
      </c>
      <c r="B896" s="5">
        <v>0.0</v>
      </c>
      <c r="C896" s="6" t="s">
        <v>114</v>
      </c>
      <c r="D896" s="6" t="s">
        <v>693</v>
      </c>
      <c r="E896" s="6" t="s">
        <v>1934</v>
      </c>
      <c r="F896" s="6">
        <v>6.9070502228E10</v>
      </c>
      <c r="G896" s="6" t="s">
        <v>496</v>
      </c>
      <c r="H896" s="7"/>
      <c r="I896" s="6" t="s">
        <v>9389</v>
      </c>
      <c r="J896" s="6" t="s">
        <v>3892</v>
      </c>
      <c r="K896" s="6" t="s">
        <v>7226</v>
      </c>
      <c r="L896" s="6" t="s">
        <v>9390</v>
      </c>
      <c r="M896" s="6" t="s">
        <v>8999</v>
      </c>
      <c r="N896" s="6" t="s">
        <v>9391</v>
      </c>
      <c r="O896" s="6" t="s">
        <v>9392</v>
      </c>
      <c r="P896" s="6" t="s">
        <v>9393</v>
      </c>
      <c r="Q896" s="6" t="s">
        <v>9394</v>
      </c>
      <c r="R896" s="6" t="s">
        <v>246</v>
      </c>
      <c r="S896" s="6" t="s">
        <v>147</v>
      </c>
      <c r="T896" s="6" t="s">
        <v>250</v>
      </c>
      <c r="U896" s="6" t="s">
        <v>560</v>
      </c>
      <c r="V896" s="6" t="s">
        <v>246</v>
      </c>
      <c r="W896" s="6" t="s">
        <v>158</v>
      </c>
      <c r="X896" s="6" t="s">
        <v>257</v>
      </c>
      <c r="Y896" s="6" t="s">
        <v>162</v>
      </c>
      <c r="Z896" s="6" t="s">
        <v>165</v>
      </c>
      <c r="AA896" s="6" t="s">
        <v>262</v>
      </c>
      <c r="AB896" s="6" t="s">
        <v>521</v>
      </c>
      <c r="AC896" s="6" t="s">
        <v>174</v>
      </c>
      <c r="AD896" s="6" t="s">
        <v>175</v>
      </c>
      <c r="AE896" s="6" t="s">
        <v>178</v>
      </c>
      <c r="AF896" s="6" t="s">
        <v>181</v>
      </c>
      <c r="AG896" s="6" t="s">
        <v>182</v>
      </c>
      <c r="AH896" s="7"/>
      <c r="AI896" s="7"/>
      <c r="AJ896" s="7"/>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c r="BJ896" s="7"/>
      <c r="BK896" s="7"/>
    </row>
    <row r="897" ht="22.5" customHeight="1">
      <c r="A897" s="4">
        <v>46229.70176804398</v>
      </c>
      <c r="B897" s="5">
        <v>0.0</v>
      </c>
      <c r="C897" s="6" t="s">
        <v>114</v>
      </c>
      <c r="D897" s="6" t="s">
        <v>1935</v>
      </c>
      <c r="E897" s="6" t="s">
        <v>1936</v>
      </c>
      <c r="F897" s="6">
        <v>6.9070500013E10</v>
      </c>
      <c r="G897" s="6" t="s">
        <v>4580</v>
      </c>
      <c r="H897" s="7"/>
      <c r="I897" s="6" t="s">
        <v>9395</v>
      </c>
      <c r="J897" s="6" t="s">
        <v>9396</v>
      </c>
      <c r="K897" s="6" t="s">
        <v>9397</v>
      </c>
      <c r="L897" s="6" t="s">
        <v>9398</v>
      </c>
      <c r="M897" s="6" t="s">
        <v>9399</v>
      </c>
      <c r="N897" s="7"/>
      <c r="O897" s="6" t="s">
        <v>9400</v>
      </c>
      <c r="P897" s="6" t="s">
        <v>9401</v>
      </c>
      <c r="Q897" s="6" t="s">
        <v>9402</v>
      </c>
      <c r="R897" s="6" t="s">
        <v>246</v>
      </c>
      <c r="S897" s="6" t="s">
        <v>147</v>
      </c>
      <c r="T897" s="6" t="s">
        <v>246</v>
      </c>
      <c r="U897" s="6" t="s">
        <v>252</v>
      </c>
      <c r="V897" s="6" t="s">
        <v>246</v>
      </c>
      <c r="W897" s="6" t="s">
        <v>158</v>
      </c>
      <c r="X897" s="6" t="s">
        <v>458</v>
      </c>
      <c r="Y897" s="6" t="s">
        <v>162</v>
      </c>
      <c r="Z897" s="6" t="s">
        <v>165</v>
      </c>
      <c r="AA897" s="6" t="s">
        <v>262</v>
      </c>
      <c r="AB897" s="6" t="s">
        <v>171</v>
      </c>
      <c r="AC897" s="6" t="s">
        <v>174</v>
      </c>
      <c r="AD897" s="6" t="s">
        <v>175</v>
      </c>
      <c r="AE897" s="6" t="s">
        <v>271</v>
      </c>
      <c r="AF897" s="6" t="s">
        <v>181</v>
      </c>
      <c r="AG897" s="6" t="s">
        <v>182</v>
      </c>
      <c r="AH897" s="7"/>
      <c r="AI897" s="7"/>
      <c r="AJ897" s="7"/>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row>
    <row r="898" ht="22.5" customHeight="1">
      <c r="A898" s="4">
        <v>46229.70177159722</v>
      </c>
      <c r="B898" s="5">
        <v>0.0</v>
      </c>
      <c r="C898" s="6" t="s">
        <v>114</v>
      </c>
      <c r="D898" s="6" t="s">
        <v>249</v>
      </c>
      <c r="E898" s="6" t="s">
        <v>1937</v>
      </c>
      <c r="F898" s="6">
        <v>6.907050127E10</v>
      </c>
      <c r="G898" s="6" t="s">
        <v>228</v>
      </c>
      <c r="H898" s="7"/>
      <c r="I898" s="6" t="s">
        <v>9403</v>
      </c>
      <c r="J898" s="6" t="s">
        <v>9404</v>
      </c>
      <c r="K898" s="6" t="s">
        <v>9405</v>
      </c>
      <c r="L898" s="6" t="s">
        <v>9406</v>
      </c>
      <c r="M898" s="6" t="s">
        <v>9407</v>
      </c>
      <c r="N898" s="7"/>
      <c r="O898" s="6" t="s">
        <v>9408</v>
      </c>
      <c r="P898" s="6" t="s">
        <v>9409</v>
      </c>
      <c r="Q898" s="6" t="s">
        <v>9410</v>
      </c>
      <c r="R898" s="6" t="s">
        <v>246</v>
      </c>
      <c r="S898" s="6" t="s">
        <v>147</v>
      </c>
      <c r="T898" s="6" t="s">
        <v>250</v>
      </c>
      <c r="U898" s="6" t="s">
        <v>686</v>
      </c>
      <c r="V898" s="6" t="s">
        <v>246</v>
      </c>
      <c r="W898" s="6" t="s">
        <v>158</v>
      </c>
      <c r="X898" s="6" t="s">
        <v>161</v>
      </c>
      <c r="Y898" s="6" t="s">
        <v>162</v>
      </c>
      <c r="Z898" s="6" t="s">
        <v>629</v>
      </c>
      <c r="AA898" s="6" t="s">
        <v>168</v>
      </c>
      <c r="AB898" s="6" t="s">
        <v>521</v>
      </c>
      <c r="AC898" s="6" t="s">
        <v>174</v>
      </c>
      <c r="AD898" s="6" t="s">
        <v>175</v>
      </c>
      <c r="AE898" s="6" t="s">
        <v>178</v>
      </c>
      <c r="AF898" s="6" t="s">
        <v>638</v>
      </c>
      <c r="AG898" s="6" t="s">
        <v>182</v>
      </c>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row>
    <row r="899" ht="22.5" customHeight="1">
      <c r="A899" s="4">
        <v>46229.70177971065</v>
      </c>
      <c r="B899" s="5">
        <v>0.0</v>
      </c>
      <c r="C899" s="6" t="s">
        <v>114</v>
      </c>
      <c r="D899" s="6" t="s">
        <v>1938</v>
      </c>
      <c r="E899" s="6" t="s">
        <v>1939</v>
      </c>
      <c r="F899" s="6">
        <v>6.9070505325E10</v>
      </c>
      <c r="G899" s="6" t="s">
        <v>1470</v>
      </c>
      <c r="H899" s="6" t="s">
        <v>9411</v>
      </c>
      <c r="I899" s="6" t="s">
        <v>9144</v>
      </c>
      <c r="J899" s="6" t="s">
        <v>9412</v>
      </c>
      <c r="K899" s="6" t="s">
        <v>9413</v>
      </c>
      <c r="L899" s="6" t="s">
        <v>9414</v>
      </c>
      <c r="M899" s="6" t="s">
        <v>9145</v>
      </c>
      <c r="N899" s="6" t="s">
        <v>9415</v>
      </c>
      <c r="O899" s="6" t="s">
        <v>9416</v>
      </c>
      <c r="P899" s="6" t="s">
        <v>9417</v>
      </c>
      <c r="Q899" s="6" t="s">
        <v>9418</v>
      </c>
      <c r="R899" s="6" t="s">
        <v>246</v>
      </c>
      <c r="S899" s="6" t="s">
        <v>147</v>
      </c>
      <c r="T899" s="6" t="s">
        <v>250</v>
      </c>
      <c r="U899" s="6" t="s">
        <v>2254</v>
      </c>
      <c r="V899" s="6" t="s">
        <v>246</v>
      </c>
      <c r="W899" s="6" t="s">
        <v>158</v>
      </c>
      <c r="X899" s="6" t="s">
        <v>257</v>
      </c>
      <c r="Y899" s="6" t="s">
        <v>162</v>
      </c>
      <c r="Z899" s="6" t="s">
        <v>165</v>
      </c>
      <c r="AA899" s="6" t="s">
        <v>262</v>
      </c>
      <c r="AB899" s="6" t="s">
        <v>171</v>
      </c>
      <c r="AC899" s="6" t="s">
        <v>174</v>
      </c>
      <c r="AD899" s="6" t="s">
        <v>175</v>
      </c>
      <c r="AE899" s="6" t="s">
        <v>271</v>
      </c>
      <c r="AF899" s="6" t="s">
        <v>181</v>
      </c>
      <c r="AG899" s="6" t="s">
        <v>182</v>
      </c>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row>
    <row r="900" ht="22.5" customHeight="1">
      <c r="A900" s="4">
        <v>46229.70178364583</v>
      </c>
      <c r="B900" s="5">
        <v>0.0</v>
      </c>
      <c r="C900" s="6" t="s">
        <v>114</v>
      </c>
      <c r="D900" s="6" t="s">
        <v>1940</v>
      </c>
      <c r="E900" s="6" t="s">
        <v>1941</v>
      </c>
      <c r="F900" s="6">
        <v>6.9070500054E10</v>
      </c>
      <c r="G900" s="6" t="s">
        <v>4580</v>
      </c>
      <c r="H900" s="7"/>
      <c r="I900" s="6" t="s">
        <v>9419</v>
      </c>
      <c r="J900" s="6" t="s">
        <v>9420</v>
      </c>
      <c r="K900" s="6" t="s">
        <v>9421</v>
      </c>
      <c r="L900" s="6" t="s">
        <v>9422</v>
      </c>
      <c r="M900" s="6" t="s">
        <v>9423</v>
      </c>
      <c r="N900" s="7"/>
      <c r="O900" s="6" t="s">
        <v>9424</v>
      </c>
      <c r="P900" s="6" t="s">
        <v>9425</v>
      </c>
      <c r="Q900" s="6" t="s">
        <v>9426</v>
      </c>
      <c r="R900" s="6" t="s">
        <v>246</v>
      </c>
      <c r="S900" s="6" t="s">
        <v>147</v>
      </c>
      <c r="T900" s="6" t="s">
        <v>250</v>
      </c>
      <c r="U900" s="6" t="s">
        <v>152</v>
      </c>
      <c r="V900" s="6" t="s">
        <v>155</v>
      </c>
      <c r="W900" s="6" t="s">
        <v>158</v>
      </c>
      <c r="X900" s="6" t="s">
        <v>257</v>
      </c>
      <c r="Y900" s="6" t="s">
        <v>9427</v>
      </c>
      <c r="Z900" s="6" t="s">
        <v>165</v>
      </c>
      <c r="AA900" s="6" t="s">
        <v>262</v>
      </c>
      <c r="AB900" s="6" t="s">
        <v>3847</v>
      </c>
      <c r="AC900" s="6" t="s">
        <v>174</v>
      </c>
      <c r="AD900" s="6" t="s">
        <v>175</v>
      </c>
      <c r="AE900" s="6" t="s">
        <v>271</v>
      </c>
      <c r="AF900" s="6" t="s">
        <v>181</v>
      </c>
      <c r="AG900" s="6" t="s">
        <v>182</v>
      </c>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row>
    <row r="901" ht="22.5" customHeight="1">
      <c r="A901" s="4">
        <v>46229.7017844213</v>
      </c>
      <c r="B901" s="5">
        <v>0.0</v>
      </c>
      <c r="C901" s="6" t="s">
        <v>114</v>
      </c>
      <c r="D901" s="6" t="s">
        <v>1942</v>
      </c>
      <c r="E901" s="6" t="s">
        <v>1943</v>
      </c>
      <c r="F901" s="6">
        <v>6.9070501006E10</v>
      </c>
      <c r="G901" s="6" t="s">
        <v>1470</v>
      </c>
      <c r="H901" s="6" t="s">
        <v>9428</v>
      </c>
      <c r="I901" s="6" t="s">
        <v>2502</v>
      </c>
      <c r="J901" s="6" t="s">
        <v>9429</v>
      </c>
      <c r="K901" s="6" t="s">
        <v>3399</v>
      </c>
      <c r="L901" s="6" t="s">
        <v>4684</v>
      </c>
      <c r="M901" s="6" t="s">
        <v>9430</v>
      </c>
      <c r="N901" s="7"/>
      <c r="O901" s="6" t="s">
        <v>9431</v>
      </c>
      <c r="P901" s="6" t="s">
        <v>9432</v>
      </c>
      <c r="Q901" s="6" t="s">
        <v>9433</v>
      </c>
      <c r="R901" s="6" t="s">
        <v>246</v>
      </c>
      <c r="S901" s="6" t="s">
        <v>147</v>
      </c>
      <c r="T901" s="6" t="s">
        <v>250</v>
      </c>
      <c r="U901" s="6" t="s">
        <v>252</v>
      </c>
      <c r="V901" s="6" t="s">
        <v>246</v>
      </c>
      <c r="W901" s="6" t="s">
        <v>158</v>
      </c>
      <c r="X901" s="6" t="s">
        <v>257</v>
      </c>
      <c r="Y901" s="6" t="s">
        <v>162</v>
      </c>
      <c r="Z901" s="6" t="s">
        <v>165</v>
      </c>
      <c r="AA901" s="6" t="s">
        <v>1322</v>
      </c>
      <c r="AB901" s="6" t="s">
        <v>171</v>
      </c>
      <c r="AC901" s="6" t="s">
        <v>174</v>
      </c>
      <c r="AD901" s="6" t="s">
        <v>175</v>
      </c>
      <c r="AE901" s="6" t="s">
        <v>271</v>
      </c>
      <c r="AF901" s="6" t="s">
        <v>181</v>
      </c>
      <c r="AG901" s="6" t="s">
        <v>182</v>
      </c>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row>
    <row r="902" ht="22.5" customHeight="1">
      <c r="A902" s="4">
        <v>46229.70181116898</v>
      </c>
      <c r="B902" s="5">
        <v>0.0</v>
      </c>
      <c r="C902" s="6" t="s">
        <v>114</v>
      </c>
      <c r="D902" s="6" t="s">
        <v>1944</v>
      </c>
      <c r="E902" s="6" t="s">
        <v>1945</v>
      </c>
      <c r="F902" s="6">
        <v>6.9070509627E10</v>
      </c>
      <c r="G902" s="6" t="s">
        <v>730</v>
      </c>
      <c r="H902" s="6" t="s">
        <v>2633</v>
      </c>
      <c r="I902" s="6" t="s">
        <v>9434</v>
      </c>
      <c r="J902" s="6" t="s">
        <v>9435</v>
      </c>
      <c r="K902" s="6" t="s">
        <v>9436</v>
      </c>
      <c r="L902" s="6" t="s">
        <v>9437</v>
      </c>
      <c r="M902" s="6" t="s">
        <v>9438</v>
      </c>
      <c r="N902" s="7"/>
      <c r="O902" s="6" t="s">
        <v>9439</v>
      </c>
      <c r="P902" s="6" t="s">
        <v>9440</v>
      </c>
      <c r="Q902" s="6" t="s">
        <v>9441</v>
      </c>
      <c r="R902" s="6" t="s">
        <v>246</v>
      </c>
      <c r="S902" s="6" t="s">
        <v>147</v>
      </c>
      <c r="T902" s="6" t="s">
        <v>257</v>
      </c>
      <c r="U902" s="6" t="s">
        <v>686</v>
      </c>
      <c r="V902" s="6" t="s">
        <v>246</v>
      </c>
      <c r="W902" s="6" t="s">
        <v>158</v>
      </c>
      <c r="X902" s="6" t="s">
        <v>250</v>
      </c>
      <c r="Y902" s="6" t="s">
        <v>162</v>
      </c>
      <c r="Z902" s="6" t="s">
        <v>165</v>
      </c>
      <c r="AA902" s="6" t="s">
        <v>1322</v>
      </c>
      <c r="AB902" s="6" t="s">
        <v>3847</v>
      </c>
      <c r="AC902" s="6" t="s">
        <v>2718</v>
      </c>
      <c r="AD902" s="6" t="s">
        <v>635</v>
      </c>
      <c r="AE902" s="6" t="s">
        <v>1211</v>
      </c>
      <c r="AF902" s="6" t="s">
        <v>633</v>
      </c>
      <c r="AG902" s="6" t="s">
        <v>1326</v>
      </c>
      <c r="AH902" s="7"/>
      <c r="AI902" s="7"/>
      <c r="AJ902" s="7"/>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c r="BJ902" s="7"/>
      <c r="BK902" s="7"/>
    </row>
    <row r="903" ht="22.5" customHeight="1">
      <c r="A903" s="4">
        <v>46229.70181429398</v>
      </c>
      <c r="B903" s="5">
        <v>0.0</v>
      </c>
      <c r="C903" s="6" t="s">
        <v>114</v>
      </c>
      <c r="D903" s="6" t="s">
        <v>1946</v>
      </c>
      <c r="E903" s="6" t="s">
        <v>1947</v>
      </c>
      <c r="F903" s="6">
        <v>6.9070501807E10</v>
      </c>
      <c r="G903" s="6" t="s">
        <v>730</v>
      </c>
      <c r="H903" s="7"/>
      <c r="I903" s="6" t="s">
        <v>9442</v>
      </c>
      <c r="J903" s="6" t="s">
        <v>9443</v>
      </c>
      <c r="K903" s="6" t="s">
        <v>9444</v>
      </c>
      <c r="L903" s="6" t="s">
        <v>9445</v>
      </c>
      <c r="M903" s="6" t="s">
        <v>9446</v>
      </c>
      <c r="N903" s="7"/>
      <c r="O903" s="6" t="s">
        <v>9447</v>
      </c>
      <c r="P903" s="6" t="s">
        <v>9448</v>
      </c>
      <c r="Q903" s="6" t="s">
        <v>9449</v>
      </c>
      <c r="R903" s="6" t="s">
        <v>246</v>
      </c>
      <c r="S903" s="6" t="s">
        <v>147</v>
      </c>
      <c r="T903" s="6" t="s">
        <v>246</v>
      </c>
      <c r="U903" s="6" t="s">
        <v>252</v>
      </c>
      <c r="V903" s="6" t="s">
        <v>246</v>
      </c>
      <c r="W903" s="6" t="s">
        <v>158</v>
      </c>
      <c r="X903" s="6" t="s">
        <v>250</v>
      </c>
      <c r="Y903" s="6" t="s">
        <v>1205</v>
      </c>
      <c r="Z903" s="6" t="s">
        <v>165</v>
      </c>
      <c r="AA903" s="6" t="s">
        <v>262</v>
      </c>
      <c r="AB903" s="6" t="s">
        <v>521</v>
      </c>
      <c r="AC903" s="6" t="s">
        <v>2718</v>
      </c>
      <c r="AD903" s="6" t="s">
        <v>175</v>
      </c>
      <c r="AE903" s="6" t="s">
        <v>271</v>
      </c>
      <c r="AF903" s="6" t="s">
        <v>811</v>
      </c>
      <c r="AG903" s="6" t="s">
        <v>812</v>
      </c>
      <c r="AH903" s="7"/>
      <c r="AI903" s="7"/>
      <c r="AJ903" s="7"/>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row>
    <row r="904" ht="22.5" customHeight="1">
      <c r="A904" s="4">
        <v>46229.70181625</v>
      </c>
      <c r="B904" s="5">
        <v>0.0</v>
      </c>
      <c r="C904" s="6" t="s">
        <v>114</v>
      </c>
      <c r="D904" s="6" t="s">
        <v>1948</v>
      </c>
      <c r="E904" s="6" t="s">
        <v>1949</v>
      </c>
      <c r="F904" s="6">
        <v>6.9070509416E10</v>
      </c>
      <c r="G904" s="6" t="s">
        <v>122</v>
      </c>
      <c r="H904" s="7"/>
      <c r="I904" s="6" t="s">
        <v>9450</v>
      </c>
      <c r="J904" s="6" t="s">
        <v>9451</v>
      </c>
      <c r="K904" s="6" t="s">
        <v>9452</v>
      </c>
      <c r="L904" s="6" t="s">
        <v>9453</v>
      </c>
      <c r="M904" s="6" t="s">
        <v>9454</v>
      </c>
      <c r="N904" s="7"/>
      <c r="O904" s="6" t="s">
        <v>9455</v>
      </c>
      <c r="P904" s="6" t="s">
        <v>9456</v>
      </c>
      <c r="Q904" s="6" t="s">
        <v>9457</v>
      </c>
      <c r="R904" s="6" t="s">
        <v>257</v>
      </c>
      <c r="S904" s="6" t="s">
        <v>147</v>
      </c>
      <c r="T904" s="6" t="s">
        <v>250</v>
      </c>
      <c r="U904" s="6" t="s">
        <v>560</v>
      </c>
      <c r="V904" s="6" t="s">
        <v>246</v>
      </c>
      <c r="W904" s="6" t="s">
        <v>158</v>
      </c>
      <c r="X904" s="6" t="s">
        <v>257</v>
      </c>
      <c r="Y904" s="6" t="s">
        <v>162</v>
      </c>
      <c r="Z904" s="6" t="s">
        <v>165</v>
      </c>
      <c r="AA904" s="6" t="s">
        <v>262</v>
      </c>
      <c r="AB904" s="6" t="s">
        <v>1266</v>
      </c>
      <c r="AC904" s="6" t="s">
        <v>174</v>
      </c>
      <c r="AD904" s="6" t="s">
        <v>175</v>
      </c>
      <c r="AE904" s="6" t="s">
        <v>271</v>
      </c>
      <c r="AF904" s="6" t="s">
        <v>181</v>
      </c>
      <c r="AG904" s="6" t="s">
        <v>182</v>
      </c>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row>
    <row r="905" ht="22.5" customHeight="1">
      <c r="A905" s="4">
        <v>46229.70182480324</v>
      </c>
      <c r="B905" s="5">
        <v>0.0</v>
      </c>
      <c r="C905" s="6" t="s">
        <v>3296</v>
      </c>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6" t="s">
        <v>2761</v>
      </c>
      <c r="AI905" s="6" t="s">
        <v>2762</v>
      </c>
      <c r="AJ905" s="6">
        <v>6.9070509206E10</v>
      </c>
      <c r="AK905" s="6" t="s">
        <v>4331</v>
      </c>
      <c r="AL905" s="6" t="s">
        <v>9458</v>
      </c>
      <c r="AM905" s="6" t="s">
        <v>5771</v>
      </c>
      <c r="AN905" s="6" t="s">
        <v>9459</v>
      </c>
      <c r="AO905" s="6" t="s">
        <v>9460</v>
      </c>
      <c r="AP905" s="6" t="s">
        <v>9461</v>
      </c>
      <c r="AQ905" s="6" t="s">
        <v>9459</v>
      </c>
      <c r="AR905" s="7"/>
      <c r="AS905" s="6" t="s">
        <v>9462</v>
      </c>
      <c r="AT905" s="6" t="s">
        <v>9463</v>
      </c>
      <c r="AU905" s="6" t="s">
        <v>9464</v>
      </c>
      <c r="AV905" s="6" t="s">
        <v>3306</v>
      </c>
      <c r="AW905" s="6" t="s">
        <v>3307</v>
      </c>
      <c r="AX905" s="6" t="s">
        <v>3887</v>
      </c>
      <c r="AY905" s="6" t="s">
        <v>3309</v>
      </c>
      <c r="AZ905" s="6" t="s">
        <v>3306</v>
      </c>
      <c r="BA905" s="6" t="s">
        <v>3311</v>
      </c>
      <c r="BB905" s="6" t="s">
        <v>4693</v>
      </c>
      <c r="BC905" s="6" t="s">
        <v>3313</v>
      </c>
      <c r="BD905" s="6" t="s">
        <v>165</v>
      </c>
      <c r="BE905" s="6" t="s">
        <v>3314</v>
      </c>
      <c r="BF905" s="6" t="s">
        <v>3315</v>
      </c>
      <c r="BG905" s="6" t="s">
        <v>3316</v>
      </c>
      <c r="BH905" s="6" t="s">
        <v>5246</v>
      </c>
      <c r="BI905" s="6" t="s">
        <v>178</v>
      </c>
      <c r="BJ905" s="6" t="s">
        <v>3318</v>
      </c>
      <c r="BK905" s="6" t="s">
        <v>4695</v>
      </c>
    </row>
    <row r="906" ht="22.5" customHeight="1">
      <c r="A906" s="4">
        <v>46229.7018249074</v>
      </c>
      <c r="B906" s="5">
        <v>0.0</v>
      </c>
      <c r="C906" s="6" t="s">
        <v>114</v>
      </c>
      <c r="D906" s="6" t="s">
        <v>1027</v>
      </c>
      <c r="E906" s="6" t="s">
        <v>1950</v>
      </c>
      <c r="F906" s="6">
        <v>6.9070502439E10</v>
      </c>
      <c r="G906" s="6" t="s">
        <v>122</v>
      </c>
      <c r="H906" s="7"/>
      <c r="I906" s="6" t="s">
        <v>9465</v>
      </c>
      <c r="J906" s="6" t="s">
        <v>9466</v>
      </c>
      <c r="K906" s="6" t="s">
        <v>5488</v>
      </c>
      <c r="L906" s="6" t="s">
        <v>9467</v>
      </c>
      <c r="M906" s="6" t="s">
        <v>9468</v>
      </c>
      <c r="N906" s="6" t="s">
        <v>9469</v>
      </c>
      <c r="O906" s="6" t="s">
        <v>9470</v>
      </c>
      <c r="P906" s="6" t="s">
        <v>9471</v>
      </c>
      <c r="Q906" s="6" t="s">
        <v>9472</v>
      </c>
      <c r="R906" s="6" t="s">
        <v>246</v>
      </c>
      <c r="S906" s="6" t="s">
        <v>147</v>
      </c>
      <c r="T906" s="6" t="s">
        <v>250</v>
      </c>
      <c r="U906" s="6" t="s">
        <v>560</v>
      </c>
      <c r="V906" s="6" t="s">
        <v>246</v>
      </c>
      <c r="W906" s="6" t="s">
        <v>158</v>
      </c>
      <c r="X906" s="6" t="s">
        <v>246</v>
      </c>
      <c r="Y906" s="6" t="s">
        <v>162</v>
      </c>
      <c r="Z906" s="6" t="s">
        <v>165</v>
      </c>
      <c r="AA906" s="6" t="s">
        <v>262</v>
      </c>
      <c r="AB906" s="6" t="s">
        <v>171</v>
      </c>
      <c r="AC906" s="6" t="s">
        <v>174</v>
      </c>
      <c r="AD906" s="6" t="s">
        <v>175</v>
      </c>
      <c r="AE906" s="6" t="s">
        <v>271</v>
      </c>
      <c r="AF906" s="6" t="s">
        <v>181</v>
      </c>
      <c r="AG906" s="6" t="s">
        <v>182</v>
      </c>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row>
    <row r="907" ht="22.5" customHeight="1">
      <c r="A907" s="4">
        <v>46229.701842395836</v>
      </c>
      <c r="B907" s="5">
        <v>0.0</v>
      </c>
      <c r="C907" s="6" t="s">
        <v>114</v>
      </c>
      <c r="D907" s="6" t="s">
        <v>1953</v>
      </c>
      <c r="E907" s="6" t="s">
        <v>1955</v>
      </c>
      <c r="F907" s="6">
        <v>6.9070500454E10</v>
      </c>
      <c r="G907" s="6" t="s">
        <v>310</v>
      </c>
      <c r="H907" s="7"/>
      <c r="I907" s="6" t="s">
        <v>9473</v>
      </c>
      <c r="J907" s="6" t="s">
        <v>9474</v>
      </c>
      <c r="K907" s="6" t="s">
        <v>9475</v>
      </c>
      <c r="L907" s="6" t="s">
        <v>9476</v>
      </c>
      <c r="M907" s="6" t="s">
        <v>9477</v>
      </c>
      <c r="N907" s="7"/>
      <c r="O907" s="6" t="s">
        <v>9478</v>
      </c>
      <c r="P907" s="6" t="s">
        <v>9479</v>
      </c>
      <c r="Q907" s="6" t="s">
        <v>9480</v>
      </c>
      <c r="R907" s="6" t="s">
        <v>246</v>
      </c>
      <c r="S907" s="6" t="s">
        <v>147</v>
      </c>
      <c r="T907" s="6" t="s">
        <v>250</v>
      </c>
      <c r="U907" s="6" t="s">
        <v>252</v>
      </c>
      <c r="V907" s="6" t="s">
        <v>246</v>
      </c>
      <c r="W907" s="6" t="s">
        <v>158</v>
      </c>
      <c r="X907" s="6" t="s">
        <v>161</v>
      </c>
      <c r="Y907" s="6" t="s">
        <v>162</v>
      </c>
      <c r="Z907" s="6" t="s">
        <v>165</v>
      </c>
      <c r="AA907" s="6" t="s">
        <v>262</v>
      </c>
      <c r="AB907" s="6" t="s">
        <v>171</v>
      </c>
      <c r="AC907" s="6" t="s">
        <v>1210</v>
      </c>
      <c r="AD907" s="6" t="s">
        <v>1723</v>
      </c>
      <c r="AE907" s="6" t="s">
        <v>524</v>
      </c>
      <c r="AF907" s="6" t="s">
        <v>181</v>
      </c>
      <c r="AG907" s="6" t="s">
        <v>182</v>
      </c>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row>
    <row r="908" ht="22.5" customHeight="1">
      <c r="A908" s="4">
        <v>46229.70184563658</v>
      </c>
      <c r="B908" s="5">
        <v>0.0</v>
      </c>
      <c r="C908" s="6" t="s">
        <v>114</v>
      </c>
      <c r="D908" s="6" t="s">
        <v>1958</v>
      </c>
      <c r="E908" s="6" t="s">
        <v>1959</v>
      </c>
      <c r="F908" s="6">
        <v>6.907050126E10</v>
      </c>
      <c r="G908" s="6" t="s">
        <v>228</v>
      </c>
      <c r="H908" s="7"/>
      <c r="I908" s="6" t="s">
        <v>9481</v>
      </c>
      <c r="J908" s="6" t="s">
        <v>9482</v>
      </c>
      <c r="K908" s="6" t="s">
        <v>9483</v>
      </c>
      <c r="L908" s="6" t="s">
        <v>9484</v>
      </c>
      <c r="M908" s="6" t="s">
        <v>9485</v>
      </c>
      <c r="N908" s="7"/>
      <c r="O908" s="6" t="s">
        <v>9486</v>
      </c>
      <c r="P908" s="6" t="s">
        <v>9487</v>
      </c>
      <c r="Q908" s="6" t="s">
        <v>9488</v>
      </c>
      <c r="R908" s="6" t="s">
        <v>246</v>
      </c>
      <c r="S908" s="6" t="s">
        <v>147</v>
      </c>
      <c r="T908" s="6" t="s">
        <v>250</v>
      </c>
      <c r="U908" s="6" t="s">
        <v>560</v>
      </c>
      <c r="V908" s="6" t="s">
        <v>246</v>
      </c>
      <c r="W908" s="6" t="s">
        <v>158</v>
      </c>
      <c r="X908" s="6" t="s">
        <v>257</v>
      </c>
      <c r="Y908" s="6" t="s">
        <v>162</v>
      </c>
      <c r="Z908" s="6" t="s">
        <v>165</v>
      </c>
      <c r="AA908" s="6" t="s">
        <v>262</v>
      </c>
      <c r="AB908" s="6" t="s">
        <v>171</v>
      </c>
      <c r="AC908" s="6" t="s">
        <v>174</v>
      </c>
      <c r="AD908" s="6" t="s">
        <v>175</v>
      </c>
      <c r="AE908" s="6" t="s">
        <v>271</v>
      </c>
      <c r="AF908" s="6" t="s">
        <v>181</v>
      </c>
      <c r="AG908" s="6" t="s">
        <v>182</v>
      </c>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row>
    <row r="909" ht="22.5" customHeight="1">
      <c r="A909" s="4">
        <v>46229.70184987268</v>
      </c>
      <c r="B909" s="5">
        <v>0.0</v>
      </c>
      <c r="C909" s="6" t="s">
        <v>114</v>
      </c>
      <c r="D909" s="6" t="s">
        <v>284</v>
      </c>
      <c r="E909" s="6" t="s">
        <v>1962</v>
      </c>
      <c r="F909" s="6">
        <v>6.9070509466E10</v>
      </c>
      <c r="G909" s="6" t="s">
        <v>122</v>
      </c>
      <c r="H909" s="7"/>
      <c r="I909" s="6" t="s">
        <v>9489</v>
      </c>
      <c r="J909" s="6" t="s">
        <v>9490</v>
      </c>
      <c r="K909" s="6" t="s">
        <v>9491</v>
      </c>
      <c r="L909" s="6" t="s">
        <v>9492</v>
      </c>
      <c r="M909" s="6" t="s">
        <v>9493</v>
      </c>
      <c r="N909" s="7"/>
      <c r="O909" s="6" t="s">
        <v>9494</v>
      </c>
      <c r="P909" s="6" t="s">
        <v>9495</v>
      </c>
      <c r="Q909" s="6" t="s">
        <v>9496</v>
      </c>
      <c r="R909" s="6" t="s">
        <v>257</v>
      </c>
      <c r="S909" s="6" t="s">
        <v>147</v>
      </c>
      <c r="T909" s="6" t="s">
        <v>250</v>
      </c>
      <c r="U909" s="6" t="s">
        <v>560</v>
      </c>
      <c r="V909" s="6" t="s">
        <v>246</v>
      </c>
      <c r="W909" s="6" t="s">
        <v>158</v>
      </c>
      <c r="X909" s="6" t="s">
        <v>257</v>
      </c>
      <c r="Y909" s="6" t="s">
        <v>162</v>
      </c>
      <c r="Z909" s="6" t="s">
        <v>165</v>
      </c>
      <c r="AA909" s="6" t="s">
        <v>1322</v>
      </c>
      <c r="AB909" s="6" t="s">
        <v>171</v>
      </c>
      <c r="AC909" s="6" t="s">
        <v>174</v>
      </c>
      <c r="AD909" s="6" t="s">
        <v>175</v>
      </c>
      <c r="AE909" s="6" t="s">
        <v>271</v>
      </c>
      <c r="AF909" s="6" t="s">
        <v>181</v>
      </c>
      <c r="AG909" s="6" t="s">
        <v>182</v>
      </c>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row>
    <row r="910" ht="22.5" customHeight="1">
      <c r="A910" s="4">
        <v>46229.701860625</v>
      </c>
      <c r="B910" s="5">
        <v>0.0</v>
      </c>
      <c r="C910" s="6" t="s">
        <v>3296</v>
      </c>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6" t="s">
        <v>2763</v>
      </c>
      <c r="AI910" s="6" t="s">
        <v>2764</v>
      </c>
      <c r="AJ910" s="6">
        <v>6.9070509208E10</v>
      </c>
      <c r="AK910" s="6" t="s">
        <v>4331</v>
      </c>
      <c r="AL910" s="6" t="s">
        <v>9497</v>
      </c>
      <c r="AM910" s="6" t="s">
        <v>9498</v>
      </c>
      <c r="AN910" s="6" t="s">
        <v>9499</v>
      </c>
      <c r="AO910" s="6" t="s">
        <v>9500</v>
      </c>
      <c r="AP910" s="6" t="s">
        <v>9501</v>
      </c>
      <c r="AQ910" s="6" t="s">
        <v>9461</v>
      </c>
      <c r="AR910" s="6" t="s">
        <v>9502</v>
      </c>
      <c r="AS910" s="6" t="s">
        <v>9503</v>
      </c>
      <c r="AT910" s="6" t="s">
        <v>9504</v>
      </c>
      <c r="AU910" s="6" t="s">
        <v>9505</v>
      </c>
      <c r="AV910" s="6" t="s">
        <v>3312</v>
      </c>
      <c r="AW910" s="6" t="s">
        <v>3307</v>
      </c>
      <c r="AX910" s="6" t="s">
        <v>4887</v>
      </c>
      <c r="AY910" s="6" t="s">
        <v>3309</v>
      </c>
      <c r="AZ910" s="6" t="s">
        <v>8123</v>
      </c>
      <c r="BA910" s="6" t="s">
        <v>3311</v>
      </c>
      <c r="BB910" s="6" t="s">
        <v>3306</v>
      </c>
      <c r="BC910" s="6" t="s">
        <v>3313</v>
      </c>
      <c r="BD910" s="6" t="s">
        <v>152</v>
      </c>
      <c r="BE910" s="6" t="s">
        <v>4341</v>
      </c>
      <c r="BF910" s="6" t="s">
        <v>3315</v>
      </c>
      <c r="BG910" s="6" t="s">
        <v>5760</v>
      </c>
      <c r="BH910" s="6" t="s">
        <v>7150</v>
      </c>
      <c r="BI910" s="6" t="s">
        <v>524</v>
      </c>
      <c r="BJ910" s="6" t="s">
        <v>4068</v>
      </c>
      <c r="BK910" s="6" t="s">
        <v>7178</v>
      </c>
    </row>
    <row r="911" ht="22.5" customHeight="1">
      <c r="A911" s="4">
        <v>46229.70190515046</v>
      </c>
      <c r="B911" s="5">
        <v>0.0</v>
      </c>
      <c r="C911" s="6" t="s">
        <v>114</v>
      </c>
      <c r="D911" s="6" t="s">
        <v>1965</v>
      </c>
      <c r="E911" s="6" t="s">
        <v>1966</v>
      </c>
      <c r="F911" s="6">
        <v>6.9070500261E10</v>
      </c>
      <c r="G911" s="6" t="s">
        <v>599</v>
      </c>
      <c r="H911" s="7"/>
      <c r="I911" s="6" t="s">
        <v>5443</v>
      </c>
      <c r="J911" s="6" t="s">
        <v>9506</v>
      </c>
      <c r="K911" s="6" t="s">
        <v>5553</v>
      </c>
      <c r="L911" s="6" t="s">
        <v>7120</v>
      </c>
      <c r="M911" s="6" t="s">
        <v>9507</v>
      </c>
      <c r="N911" s="7"/>
      <c r="O911" s="6" t="s">
        <v>9508</v>
      </c>
      <c r="P911" s="6" t="s">
        <v>9509</v>
      </c>
      <c r="Q911" s="6" t="s">
        <v>9510</v>
      </c>
      <c r="R911" s="6" t="s">
        <v>246</v>
      </c>
      <c r="S911" s="6" t="s">
        <v>147</v>
      </c>
      <c r="T911" s="6" t="s">
        <v>257</v>
      </c>
      <c r="U911" s="6" t="s">
        <v>560</v>
      </c>
      <c r="V911" s="6" t="s">
        <v>250</v>
      </c>
      <c r="W911" s="6" t="s">
        <v>158</v>
      </c>
      <c r="X911" s="6" t="s">
        <v>257</v>
      </c>
      <c r="Y911" s="6" t="s">
        <v>162</v>
      </c>
      <c r="Z911" s="6" t="s">
        <v>165</v>
      </c>
      <c r="AA911" s="6" t="s">
        <v>262</v>
      </c>
      <c r="AB911" s="6" t="s">
        <v>521</v>
      </c>
      <c r="AC911" s="6" t="s">
        <v>1669</v>
      </c>
      <c r="AD911" s="6" t="s">
        <v>175</v>
      </c>
      <c r="AE911" s="6" t="s">
        <v>271</v>
      </c>
      <c r="AF911" s="6" t="s">
        <v>181</v>
      </c>
      <c r="AG911" s="6" t="s">
        <v>182</v>
      </c>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row>
    <row r="912" ht="22.5" customHeight="1">
      <c r="A912" s="4">
        <v>46229.70193606481</v>
      </c>
      <c r="B912" s="5">
        <v>0.0</v>
      </c>
      <c r="C912" s="6" t="s">
        <v>114</v>
      </c>
      <c r="D912" s="6" t="s">
        <v>1968</v>
      </c>
      <c r="E912" s="6" t="s">
        <v>1969</v>
      </c>
      <c r="F912" s="6">
        <v>6.9070500838E10</v>
      </c>
      <c r="G912" s="6" t="s">
        <v>496</v>
      </c>
      <c r="H912" s="7"/>
      <c r="I912" s="6" t="s">
        <v>9511</v>
      </c>
      <c r="J912" s="6" t="s">
        <v>9512</v>
      </c>
      <c r="K912" s="6" t="s">
        <v>9513</v>
      </c>
      <c r="L912" s="6" t="s">
        <v>9514</v>
      </c>
      <c r="M912" s="6" t="s">
        <v>9515</v>
      </c>
      <c r="N912" s="6" t="s">
        <v>9516</v>
      </c>
      <c r="O912" s="6" t="s">
        <v>9517</v>
      </c>
      <c r="P912" s="6" t="s">
        <v>9518</v>
      </c>
      <c r="Q912" s="6" t="s">
        <v>9519</v>
      </c>
      <c r="R912" s="6" t="s">
        <v>246</v>
      </c>
      <c r="S912" s="6" t="s">
        <v>147</v>
      </c>
      <c r="T912" s="6" t="s">
        <v>246</v>
      </c>
      <c r="U912" s="6" t="s">
        <v>560</v>
      </c>
      <c r="V912" s="6" t="s">
        <v>246</v>
      </c>
      <c r="W912" s="6" t="s">
        <v>625</v>
      </c>
      <c r="X912" s="6" t="s">
        <v>257</v>
      </c>
      <c r="Y912" s="6" t="s">
        <v>162</v>
      </c>
      <c r="Z912" s="6" t="s">
        <v>165</v>
      </c>
      <c r="AA912" s="6" t="s">
        <v>1322</v>
      </c>
      <c r="AB912" s="6" t="s">
        <v>171</v>
      </c>
      <c r="AC912" s="6" t="s">
        <v>1210</v>
      </c>
      <c r="AD912" s="6" t="s">
        <v>1723</v>
      </c>
      <c r="AE912" s="6" t="s">
        <v>178</v>
      </c>
      <c r="AF912" s="6" t="s">
        <v>181</v>
      </c>
      <c r="AG912" s="6" t="s">
        <v>182</v>
      </c>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row>
    <row r="913" ht="22.5" customHeight="1">
      <c r="A913" s="4">
        <v>46229.70193920139</v>
      </c>
      <c r="B913" s="5">
        <v>0.0</v>
      </c>
      <c r="C913" s="6" t="s">
        <v>114</v>
      </c>
      <c r="D913" s="6" t="s">
        <v>1970</v>
      </c>
      <c r="E913" s="6" t="s">
        <v>1971</v>
      </c>
      <c r="F913" s="6">
        <v>6.9070500847E10</v>
      </c>
      <c r="G913" s="6" t="s">
        <v>496</v>
      </c>
      <c r="H913" s="7"/>
      <c r="I913" s="6" t="s">
        <v>9520</v>
      </c>
      <c r="J913" s="6" t="s">
        <v>9521</v>
      </c>
      <c r="K913" s="6" t="s">
        <v>9522</v>
      </c>
      <c r="L913" s="6" t="s">
        <v>9523</v>
      </c>
      <c r="M913" s="6" t="s">
        <v>9524</v>
      </c>
      <c r="N913" s="6" t="s">
        <v>9525</v>
      </c>
      <c r="O913" s="6" t="s">
        <v>9526</v>
      </c>
      <c r="P913" s="6" t="s">
        <v>9527</v>
      </c>
      <c r="Q913" s="6" t="s">
        <v>9528</v>
      </c>
      <c r="R913" s="6" t="s">
        <v>246</v>
      </c>
      <c r="S913" s="6" t="s">
        <v>147</v>
      </c>
      <c r="T913" s="6" t="s">
        <v>250</v>
      </c>
      <c r="U913" s="6" t="s">
        <v>252</v>
      </c>
      <c r="V913" s="6" t="s">
        <v>155</v>
      </c>
      <c r="W913" s="6" t="s">
        <v>158</v>
      </c>
      <c r="X913" s="6" t="s">
        <v>161</v>
      </c>
      <c r="Y913" s="6" t="s">
        <v>162</v>
      </c>
      <c r="Z913" s="6" t="s">
        <v>165</v>
      </c>
      <c r="AA913" s="6" t="s">
        <v>262</v>
      </c>
      <c r="AB913" s="6" t="s">
        <v>521</v>
      </c>
      <c r="AC913" s="6" t="s">
        <v>633</v>
      </c>
      <c r="AD913" s="6" t="s">
        <v>175</v>
      </c>
      <c r="AE913" s="6" t="s">
        <v>271</v>
      </c>
      <c r="AF913" s="6" t="s">
        <v>181</v>
      </c>
      <c r="AG913" s="6" t="s">
        <v>182</v>
      </c>
      <c r="AH913" s="7"/>
      <c r="AI913" s="7"/>
      <c r="AJ913" s="7"/>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row>
    <row r="914" ht="22.5" customHeight="1">
      <c r="A914" s="4">
        <v>46229.701952222225</v>
      </c>
      <c r="B914" s="5">
        <v>0.0</v>
      </c>
      <c r="C914" s="6" t="s">
        <v>114</v>
      </c>
      <c r="D914" s="6" t="s">
        <v>1972</v>
      </c>
      <c r="E914" s="6" t="s">
        <v>1973</v>
      </c>
      <c r="F914" s="6">
        <v>6.9070509413E10</v>
      </c>
      <c r="G914" s="6" t="s">
        <v>122</v>
      </c>
      <c r="H914" s="7"/>
      <c r="I914" s="6" t="s">
        <v>8659</v>
      </c>
      <c r="J914" s="6" t="s">
        <v>9529</v>
      </c>
      <c r="K914" s="6" t="s">
        <v>8662</v>
      </c>
      <c r="L914" s="6" t="s">
        <v>9530</v>
      </c>
      <c r="M914" s="6" t="s">
        <v>9531</v>
      </c>
      <c r="N914" s="6" t="s">
        <v>8663</v>
      </c>
      <c r="O914" s="6" t="s">
        <v>9532</v>
      </c>
      <c r="P914" s="6" t="s">
        <v>9533</v>
      </c>
      <c r="Q914" s="6" t="s">
        <v>9534</v>
      </c>
      <c r="R914" s="6" t="s">
        <v>246</v>
      </c>
      <c r="S914" s="6" t="s">
        <v>147</v>
      </c>
      <c r="T914" s="6" t="s">
        <v>250</v>
      </c>
      <c r="U914" s="6" t="s">
        <v>252</v>
      </c>
      <c r="V914" s="6" t="s">
        <v>246</v>
      </c>
      <c r="W914" s="6" t="s">
        <v>158</v>
      </c>
      <c r="X914" s="6" t="s">
        <v>246</v>
      </c>
      <c r="Y914" s="6" t="s">
        <v>162</v>
      </c>
      <c r="Z914" s="6" t="s">
        <v>165</v>
      </c>
      <c r="AA914" s="6" t="s">
        <v>262</v>
      </c>
      <c r="AB914" s="6" t="s">
        <v>171</v>
      </c>
      <c r="AC914" s="6" t="s">
        <v>174</v>
      </c>
      <c r="AD914" s="6" t="s">
        <v>175</v>
      </c>
      <c r="AE914" s="6" t="s">
        <v>271</v>
      </c>
      <c r="AF914" s="6" t="s">
        <v>181</v>
      </c>
      <c r="AG914" s="6" t="s">
        <v>182</v>
      </c>
      <c r="AH914" s="7"/>
      <c r="AI914" s="7"/>
      <c r="AJ914" s="7"/>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c r="BJ914" s="7"/>
      <c r="BK914" s="7"/>
    </row>
    <row r="915" ht="22.5" customHeight="1">
      <c r="A915" s="4">
        <v>46229.70198644676</v>
      </c>
      <c r="B915" s="5">
        <v>0.0</v>
      </c>
      <c r="C915" s="6" t="s">
        <v>114</v>
      </c>
      <c r="D915" s="6" t="s">
        <v>1974</v>
      </c>
      <c r="E915" s="6" t="s">
        <v>1975</v>
      </c>
      <c r="F915" s="6">
        <v>6.9070501282E10</v>
      </c>
      <c r="G915" s="6" t="s">
        <v>228</v>
      </c>
      <c r="H915" s="7"/>
      <c r="I915" s="6" t="s">
        <v>6818</v>
      </c>
      <c r="J915" s="6" t="s">
        <v>7158</v>
      </c>
      <c r="K915" s="6" t="s">
        <v>3538</v>
      </c>
      <c r="L915" s="6" t="s">
        <v>7677</v>
      </c>
      <c r="M915" s="6" t="s">
        <v>9535</v>
      </c>
      <c r="N915" s="6" t="s">
        <v>9536</v>
      </c>
      <c r="O915" s="6" t="s">
        <v>9537</v>
      </c>
      <c r="P915" s="6" t="s">
        <v>9538</v>
      </c>
      <c r="Q915" s="6" t="s">
        <v>9539</v>
      </c>
      <c r="R915" s="6" t="s">
        <v>246</v>
      </c>
      <c r="S915" s="6" t="s">
        <v>147</v>
      </c>
      <c r="T915" s="6" t="s">
        <v>250</v>
      </c>
      <c r="U915" s="6" t="s">
        <v>252</v>
      </c>
      <c r="V915" s="6" t="s">
        <v>246</v>
      </c>
      <c r="W915" s="6" t="s">
        <v>158</v>
      </c>
      <c r="X915" s="6" t="s">
        <v>257</v>
      </c>
      <c r="Y915" s="6" t="s">
        <v>162</v>
      </c>
      <c r="Z915" s="6" t="s">
        <v>165</v>
      </c>
      <c r="AA915" s="6" t="s">
        <v>262</v>
      </c>
      <c r="AB915" s="6" t="s">
        <v>1266</v>
      </c>
      <c r="AC915" s="6" t="s">
        <v>174</v>
      </c>
      <c r="AD915" s="6" t="s">
        <v>1723</v>
      </c>
      <c r="AE915" s="6" t="s">
        <v>271</v>
      </c>
      <c r="AF915" s="6" t="s">
        <v>181</v>
      </c>
      <c r="AG915" s="6" t="s">
        <v>182</v>
      </c>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row>
    <row r="916" ht="22.5" customHeight="1">
      <c r="A916" s="4">
        <v>46229.70198783565</v>
      </c>
      <c r="B916" s="5">
        <v>0.0</v>
      </c>
      <c r="C916" s="6" t="s">
        <v>3296</v>
      </c>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6" t="s">
        <v>2765</v>
      </c>
      <c r="AI916" s="6" t="s">
        <v>2766</v>
      </c>
      <c r="AJ916" s="6">
        <v>6.9070503478E10</v>
      </c>
      <c r="AK916" s="6" t="s">
        <v>3297</v>
      </c>
      <c r="AL916" s="6">
        <v>5.0</v>
      </c>
      <c r="AM916" s="6" t="s">
        <v>9540</v>
      </c>
      <c r="AN916" s="6" t="s">
        <v>9541</v>
      </c>
      <c r="AO916" s="6" t="s">
        <v>9542</v>
      </c>
      <c r="AP916" s="6" t="s">
        <v>9543</v>
      </c>
      <c r="AQ916" s="6" t="s">
        <v>9544</v>
      </c>
      <c r="AR916" s="7"/>
      <c r="AS916" s="6" t="s">
        <v>9545</v>
      </c>
      <c r="AT916" s="6" t="s">
        <v>9546</v>
      </c>
      <c r="AU916" s="6" t="s">
        <v>9547</v>
      </c>
      <c r="AV916" s="6" t="s">
        <v>3306</v>
      </c>
      <c r="AW916" s="6" t="s">
        <v>3307</v>
      </c>
      <c r="AX916" s="6" t="s">
        <v>3887</v>
      </c>
      <c r="AY916" s="6" t="s">
        <v>4067</v>
      </c>
      <c r="AZ916" s="6" t="s">
        <v>6098</v>
      </c>
      <c r="BA916" s="6" t="s">
        <v>3311</v>
      </c>
      <c r="BB916" s="6" t="s">
        <v>6098</v>
      </c>
      <c r="BC916" s="6" t="s">
        <v>3313</v>
      </c>
      <c r="BD916" s="6" t="s">
        <v>165</v>
      </c>
      <c r="BE916" s="6" t="s">
        <v>3888</v>
      </c>
      <c r="BF916" s="6" t="s">
        <v>3315</v>
      </c>
      <c r="BG916" s="6" t="s">
        <v>4068</v>
      </c>
      <c r="BH916" s="6" t="s">
        <v>7150</v>
      </c>
      <c r="BI916" s="6" t="s">
        <v>524</v>
      </c>
      <c r="BJ916" s="6" t="s">
        <v>3318</v>
      </c>
      <c r="BK916" s="6" t="s">
        <v>3319</v>
      </c>
    </row>
    <row r="917" ht="22.5" customHeight="1">
      <c r="A917" s="4">
        <v>46229.701988125</v>
      </c>
      <c r="B917" s="5">
        <v>0.0</v>
      </c>
      <c r="C917" s="6" t="s">
        <v>114</v>
      </c>
      <c r="D917" s="6" t="s">
        <v>1976</v>
      </c>
      <c r="E917" s="6" t="s">
        <v>1977</v>
      </c>
      <c r="F917" s="6">
        <v>6.9070501207E10</v>
      </c>
      <c r="G917" s="6" t="s">
        <v>228</v>
      </c>
      <c r="H917" s="7"/>
      <c r="I917" s="6" t="s">
        <v>9548</v>
      </c>
      <c r="J917" s="6" t="s">
        <v>9549</v>
      </c>
      <c r="K917" s="6" t="s">
        <v>9550</v>
      </c>
      <c r="L917" s="6" t="s">
        <v>9551</v>
      </c>
      <c r="M917" s="6" t="s">
        <v>9552</v>
      </c>
      <c r="N917" s="6" t="s">
        <v>9553</v>
      </c>
      <c r="O917" s="6" t="s">
        <v>9554</v>
      </c>
      <c r="P917" s="6" t="s">
        <v>9555</v>
      </c>
      <c r="Q917" s="6" t="s">
        <v>9556</v>
      </c>
      <c r="R917" s="6" t="s">
        <v>246</v>
      </c>
      <c r="S917" s="6" t="s">
        <v>147</v>
      </c>
      <c r="T917" s="6" t="s">
        <v>250</v>
      </c>
      <c r="U917" s="6" t="s">
        <v>686</v>
      </c>
      <c r="V917" s="6" t="s">
        <v>246</v>
      </c>
      <c r="W917" s="6" t="s">
        <v>158</v>
      </c>
      <c r="X917" s="6" t="s">
        <v>257</v>
      </c>
      <c r="Y917" s="6" t="s">
        <v>162</v>
      </c>
      <c r="Z917" s="6" t="s">
        <v>165</v>
      </c>
      <c r="AA917" s="6" t="s">
        <v>262</v>
      </c>
      <c r="AB917" s="6" t="s">
        <v>171</v>
      </c>
      <c r="AC917" s="6" t="s">
        <v>1669</v>
      </c>
      <c r="AD917" s="6" t="s">
        <v>175</v>
      </c>
      <c r="AE917" s="6" t="s">
        <v>271</v>
      </c>
      <c r="AF917" s="6" t="s">
        <v>181</v>
      </c>
      <c r="AG917" s="6" t="s">
        <v>182</v>
      </c>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row>
    <row r="918" ht="22.5" customHeight="1">
      <c r="A918" s="4">
        <v>46229.70199003472</v>
      </c>
      <c r="B918" s="5">
        <v>0.0</v>
      </c>
      <c r="C918" s="6" t="s">
        <v>114</v>
      </c>
      <c r="D918" s="6" t="s">
        <v>1978</v>
      </c>
      <c r="E918" s="6" t="s">
        <v>1979</v>
      </c>
      <c r="F918" s="6">
        <v>6.9070502483E10</v>
      </c>
      <c r="G918" s="6" t="s">
        <v>122</v>
      </c>
      <c r="H918" s="7"/>
      <c r="I918" s="6" t="s">
        <v>9557</v>
      </c>
      <c r="J918" s="6" t="s">
        <v>9558</v>
      </c>
      <c r="K918" s="6" t="s">
        <v>9559</v>
      </c>
      <c r="L918" s="6" t="s">
        <v>9560</v>
      </c>
      <c r="M918" s="6" t="s">
        <v>4380</v>
      </c>
      <c r="N918" s="7"/>
      <c r="O918" s="6" t="s">
        <v>9561</v>
      </c>
      <c r="P918" s="6" t="s">
        <v>9562</v>
      </c>
      <c r="Q918" s="6" t="s">
        <v>9563</v>
      </c>
      <c r="R918" s="6" t="s">
        <v>861</v>
      </c>
      <c r="S918" s="6" t="s">
        <v>147</v>
      </c>
      <c r="T918" s="6" t="s">
        <v>250</v>
      </c>
      <c r="U918" s="6" t="s">
        <v>2254</v>
      </c>
      <c r="V918" s="6" t="s">
        <v>246</v>
      </c>
      <c r="W918" s="6" t="s">
        <v>158</v>
      </c>
      <c r="X918" s="6" t="s">
        <v>161</v>
      </c>
      <c r="Y918" s="6" t="s">
        <v>162</v>
      </c>
      <c r="Z918" s="6" t="s">
        <v>165</v>
      </c>
      <c r="AA918" s="6" t="s">
        <v>262</v>
      </c>
      <c r="AB918" s="6" t="s">
        <v>171</v>
      </c>
      <c r="AC918" s="6" t="s">
        <v>174</v>
      </c>
      <c r="AD918" s="6" t="s">
        <v>175</v>
      </c>
      <c r="AE918" s="6" t="s">
        <v>271</v>
      </c>
      <c r="AF918" s="6" t="s">
        <v>174</v>
      </c>
      <c r="AG918" s="6" t="s">
        <v>182</v>
      </c>
      <c r="AH918" s="7"/>
      <c r="AI918" s="7"/>
      <c r="AJ918" s="7"/>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c r="BJ918" s="7"/>
      <c r="BK918" s="7"/>
    </row>
    <row r="919" ht="22.5" customHeight="1">
      <c r="A919" s="4">
        <v>46229.70200012732</v>
      </c>
      <c r="B919" s="5">
        <v>0.0</v>
      </c>
      <c r="C919" s="6" t="s">
        <v>3296</v>
      </c>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6" t="s">
        <v>2767</v>
      </c>
      <c r="AI919" s="6" t="s">
        <v>2768</v>
      </c>
      <c r="AJ919" s="6">
        <v>6.9070503443E10</v>
      </c>
      <c r="AK919" s="6" t="s">
        <v>3297</v>
      </c>
      <c r="AL919" s="7"/>
      <c r="AM919" s="6" t="s">
        <v>1477</v>
      </c>
      <c r="AN919" s="6" t="s">
        <v>9564</v>
      </c>
      <c r="AO919" s="6" t="s">
        <v>9565</v>
      </c>
      <c r="AP919" s="6" t="s">
        <v>9566</v>
      </c>
      <c r="AQ919" s="6" t="s">
        <v>2500</v>
      </c>
      <c r="AR919" s="6" t="s">
        <v>9567</v>
      </c>
      <c r="AS919" s="6" t="s">
        <v>9568</v>
      </c>
      <c r="AT919" s="6" t="s">
        <v>9569</v>
      </c>
      <c r="AU919" s="6" t="s">
        <v>9570</v>
      </c>
      <c r="AV919" s="6" t="s">
        <v>3312</v>
      </c>
      <c r="AW919" s="6" t="s">
        <v>3307</v>
      </c>
      <c r="AX919" s="6" t="s">
        <v>3306</v>
      </c>
      <c r="AY919" s="6" t="s">
        <v>4067</v>
      </c>
      <c r="AZ919" s="6" t="s">
        <v>3306</v>
      </c>
      <c r="BA919" s="6" t="s">
        <v>3311</v>
      </c>
      <c r="BB919" s="6" t="s">
        <v>3887</v>
      </c>
      <c r="BC919" s="6" t="s">
        <v>3313</v>
      </c>
      <c r="BD919" s="6" t="s">
        <v>165</v>
      </c>
      <c r="BE919" s="6" t="s">
        <v>4341</v>
      </c>
      <c r="BF919" s="6" t="s">
        <v>3315</v>
      </c>
      <c r="BG919" s="6" t="s">
        <v>4068</v>
      </c>
      <c r="BH919" s="6" t="s">
        <v>3317</v>
      </c>
      <c r="BI919" s="6" t="s">
        <v>271</v>
      </c>
      <c r="BJ919" s="6" t="s">
        <v>3318</v>
      </c>
      <c r="BK919" s="6" t="s">
        <v>3319</v>
      </c>
    </row>
    <row r="920" ht="22.5" customHeight="1">
      <c r="A920" s="4">
        <v>46229.70203075232</v>
      </c>
      <c r="B920" s="5">
        <v>0.0</v>
      </c>
      <c r="C920" s="6" t="s">
        <v>114</v>
      </c>
      <c r="D920" s="6" t="s">
        <v>1497</v>
      </c>
      <c r="E920" s="6" t="s">
        <v>1980</v>
      </c>
      <c r="F920" s="6">
        <v>6.9070502826E10</v>
      </c>
      <c r="G920" s="6" t="s">
        <v>310</v>
      </c>
      <c r="H920" s="6" t="s">
        <v>9571</v>
      </c>
      <c r="I920" s="6" t="s">
        <v>9572</v>
      </c>
      <c r="J920" s="6" t="s">
        <v>9573</v>
      </c>
      <c r="K920" s="6" t="s">
        <v>7017</v>
      </c>
      <c r="L920" s="6" t="s">
        <v>8831</v>
      </c>
      <c r="M920" s="6" t="s">
        <v>9574</v>
      </c>
      <c r="N920" s="6" t="s">
        <v>9575</v>
      </c>
      <c r="O920" s="6" t="s">
        <v>9576</v>
      </c>
      <c r="P920" s="6" t="s">
        <v>9577</v>
      </c>
      <c r="Q920" s="6" t="s">
        <v>9578</v>
      </c>
      <c r="R920" s="6" t="s">
        <v>246</v>
      </c>
      <c r="S920" s="6" t="s">
        <v>147</v>
      </c>
      <c r="T920" s="6" t="s">
        <v>250</v>
      </c>
      <c r="U920" s="6" t="s">
        <v>252</v>
      </c>
      <c r="V920" s="6" t="s">
        <v>155</v>
      </c>
      <c r="W920" s="6" t="s">
        <v>158</v>
      </c>
      <c r="X920" s="6" t="s">
        <v>161</v>
      </c>
      <c r="Y920" s="6" t="s">
        <v>162</v>
      </c>
      <c r="Z920" s="6" t="s">
        <v>165</v>
      </c>
      <c r="AA920" s="6" t="s">
        <v>262</v>
      </c>
      <c r="AB920" s="6" t="s">
        <v>171</v>
      </c>
      <c r="AC920" s="6" t="s">
        <v>174</v>
      </c>
      <c r="AD920" s="6" t="s">
        <v>175</v>
      </c>
      <c r="AE920" s="6" t="s">
        <v>524</v>
      </c>
      <c r="AF920" s="6" t="s">
        <v>181</v>
      </c>
      <c r="AG920" s="6" t="s">
        <v>182</v>
      </c>
      <c r="AH920" s="7"/>
      <c r="AI920" s="7"/>
      <c r="AJ920" s="7"/>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c r="BJ920" s="7"/>
      <c r="BK920" s="7"/>
    </row>
    <row r="921" ht="22.5" customHeight="1">
      <c r="A921" s="4">
        <v>46229.702040752316</v>
      </c>
      <c r="B921" s="5">
        <v>0.0</v>
      </c>
      <c r="C921" s="6" t="s">
        <v>114</v>
      </c>
      <c r="D921" s="6" t="s">
        <v>1981</v>
      </c>
      <c r="E921" s="6" t="s">
        <v>1982</v>
      </c>
      <c r="F921" s="6">
        <v>6.9070500857E10</v>
      </c>
      <c r="G921" s="6" t="s">
        <v>496</v>
      </c>
      <c r="H921" s="7"/>
      <c r="I921" s="6" t="s">
        <v>9579</v>
      </c>
      <c r="J921" s="6" t="s">
        <v>9580</v>
      </c>
      <c r="K921" s="6" t="s">
        <v>9581</v>
      </c>
      <c r="L921" s="6" t="s">
        <v>9582</v>
      </c>
      <c r="M921" s="6" t="s">
        <v>9583</v>
      </c>
      <c r="N921" s="7"/>
      <c r="O921" s="6" t="s">
        <v>9584</v>
      </c>
      <c r="P921" s="6" t="s">
        <v>9585</v>
      </c>
      <c r="Q921" s="6" t="s">
        <v>9586</v>
      </c>
      <c r="R921" s="6" t="s">
        <v>246</v>
      </c>
      <c r="S921" s="6" t="s">
        <v>147</v>
      </c>
      <c r="T921" s="6" t="s">
        <v>250</v>
      </c>
      <c r="U921" s="6" t="s">
        <v>560</v>
      </c>
      <c r="V921" s="6" t="s">
        <v>246</v>
      </c>
      <c r="W921" s="6" t="s">
        <v>158</v>
      </c>
      <c r="X921" s="6" t="s">
        <v>257</v>
      </c>
      <c r="Y921" s="6" t="s">
        <v>162</v>
      </c>
      <c r="Z921" s="6" t="s">
        <v>165</v>
      </c>
      <c r="AA921" s="6" t="s">
        <v>1322</v>
      </c>
      <c r="AB921" s="6" t="s">
        <v>1266</v>
      </c>
      <c r="AC921" s="6" t="s">
        <v>174</v>
      </c>
      <c r="AD921" s="6" t="s">
        <v>175</v>
      </c>
      <c r="AE921" s="6" t="s">
        <v>178</v>
      </c>
      <c r="AF921" s="6" t="s">
        <v>181</v>
      </c>
      <c r="AG921" s="6" t="s">
        <v>182</v>
      </c>
      <c r="AH921" s="7"/>
      <c r="AI921" s="7"/>
      <c r="AJ921" s="7"/>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c r="BJ921" s="7"/>
      <c r="BK921" s="7"/>
    </row>
    <row r="922" ht="22.5" customHeight="1">
      <c r="A922" s="4">
        <v>46229.70204204861</v>
      </c>
      <c r="B922" s="5">
        <v>0.0</v>
      </c>
      <c r="C922" s="6" t="s">
        <v>114</v>
      </c>
      <c r="D922" s="6" t="s">
        <v>1983</v>
      </c>
      <c r="E922" s="6" t="s">
        <v>1984</v>
      </c>
      <c r="F922" s="6">
        <v>6.9070501276E10</v>
      </c>
      <c r="G922" s="6" t="s">
        <v>228</v>
      </c>
      <c r="H922" s="7"/>
      <c r="I922" s="6" t="s">
        <v>9587</v>
      </c>
      <c r="J922" s="6" t="s">
        <v>5265</v>
      </c>
      <c r="K922" s="6" t="s">
        <v>9588</v>
      </c>
      <c r="L922" s="6" t="s">
        <v>9589</v>
      </c>
      <c r="M922" s="6" t="s">
        <v>9590</v>
      </c>
      <c r="N922" s="6" t="s">
        <v>4870</v>
      </c>
      <c r="O922" s="6" t="s">
        <v>9591</v>
      </c>
      <c r="P922" s="6" t="s">
        <v>9592</v>
      </c>
      <c r="Q922" s="6" t="s">
        <v>9593</v>
      </c>
      <c r="R922" s="6" t="s">
        <v>246</v>
      </c>
      <c r="S922" s="6" t="s">
        <v>147</v>
      </c>
      <c r="T922" s="6" t="s">
        <v>250</v>
      </c>
      <c r="U922" s="6" t="s">
        <v>560</v>
      </c>
      <c r="V922" s="6" t="s">
        <v>155</v>
      </c>
      <c r="W922" s="6" t="s">
        <v>158</v>
      </c>
      <c r="X922" s="6" t="s">
        <v>257</v>
      </c>
      <c r="Y922" s="6" t="s">
        <v>162</v>
      </c>
      <c r="Z922" s="6" t="s">
        <v>165</v>
      </c>
      <c r="AA922" s="6" t="s">
        <v>262</v>
      </c>
      <c r="AB922" s="6" t="s">
        <v>171</v>
      </c>
      <c r="AC922" s="6" t="s">
        <v>174</v>
      </c>
      <c r="AD922" s="6" t="s">
        <v>175</v>
      </c>
      <c r="AE922" s="6" t="s">
        <v>271</v>
      </c>
      <c r="AF922" s="6" t="s">
        <v>181</v>
      </c>
      <c r="AG922" s="6" t="s">
        <v>182</v>
      </c>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row>
    <row r="923" ht="22.5" customHeight="1">
      <c r="A923" s="4">
        <v>46229.702042916666</v>
      </c>
      <c r="B923" s="5">
        <v>0.0</v>
      </c>
      <c r="C923" s="6" t="s">
        <v>114</v>
      </c>
      <c r="D923" s="6" t="s">
        <v>1718</v>
      </c>
      <c r="E923" s="6" t="s">
        <v>1985</v>
      </c>
      <c r="F923" s="6">
        <v>6.9070509424E10</v>
      </c>
      <c r="G923" s="6" t="s">
        <v>122</v>
      </c>
      <c r="H923" s="6" t="s">
        <v>9594</v>
      </c>
      <c r="I923" s="6" t="s">
        <v>9595</v>
      </c>
      <c r="J923" s="6" t="s">
        <v>7115</v>
      </c>
      <c r="K923" s="6" t="s">
        <v>9596</v>
      </c>
      <c r="L923" s="6" t="s">
        <v>9597</v>
      </c>
      <c r="M923" s="6" t="s">
        <v>9598</v>
      </c>
      <c r="N923" s="6" t="s">
        <v>2633</v>
      </c>
      <c r="O923" s="6" t="s">
        <v>9599</v>
      </c>
      <c r="P923" s="6" t="s">
        <v>9600</v>
      </c>
      <c r="Q923" s="6" t="s">
        <v>9601</v>
      </c>
      <c r="R923" s="6" t="s">
        <v>246</v>
      </c>
      <c r="S923" s="6" t="s">
        <v>147</v>
      </c>
      <c r="T923" s="6" t="s">
        <v>250</v>
      </c>
      <c r="U923" s="6" t="s">
        <v>686</v>
      </c>
      <c r="V923" s="6" t="s">
        <v>246</v>
      </c>
      <c r="W923" s="6" t="s">
        <v>158</v>
      </c>
      <c r="X923" s="6" t="s">
        <v>257</v>
      </c>
      <c r="Y923" s="6" t="s">
        <v>162</v>
      </c>
      <c r="Z923" s="6" t="s">
        <v>165</v>
      </c>
      <c r="AA923" s="6" t="s">
        <v>262</v>
      </c>
      <c r="AB923" s="6" t="s">
        <v>521</v>
      </c>
      <c r="AC923" s="6" t="s">
        <v>174</v>
      </c>
      <c r="AD923" s="6" t="s">
        <v>175</v>
      </c>
      <c r="AE923" s="6" t="s">
        <v>271</v>
      </c>
      <c r="AF923" s="6" t="s">
        <v>181</v>
      </c>
      <c r="AG923" s="6" t="s">
        <v>182</v>
      </c>
      <c r="AH923" s="7"/>
      <c r="AI923" s="7"/>
      <c r="AJ923" s="7"/>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c r="BJ923" s="7"/>
      <c r="BK923" s="7"/>
    </row>
    <row r="924" ht="22.5" customHeight="1">
      <c r="A924" s="4">
        <v>46229.702061979166</v>
      </c>
      <c r="B924" s="5">
        <v>0.0</v>
      </c>
      <c r="C924" s="6" t="s">
        <v>3296</v>
      </c>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6" t="s">
        <v>2769</v>
      </c>
      <c r="AI924" s="6" t="s">
        <v>2770</v>
      </c>
      <c r="AJ924" s="6">
        <v>6.9070503424E10</v>
      </c>
      <c r="AK924" s="6" t="s">
        <v>3297</v>
      </c>
      <c r="AL924" s="7"/>
      <c r="AM924" s="6" t="s">
        <v>9602</v>
      </c>
      <c r="AN924" s="6" t="s">
        <v>9603</v>
      </c>
      <c r="AO924" s="6" t="s">
        <v>4684</v>
      </c>
      <c r="AP924" s="6" t="s">
        <v>9604</v>
      </c>
      <c r="AQ924" s="6" t="s">
        <v>9605</v>
      </c>
      <c r="AR924" s="7"/>
      <c r="AS924" s="6" t="s">
        <v>9606</v>
      </c>
      <c r="AT924" s="6" t="s">
        <v>9607</v>
      </c>
      <c r="AU924" s="6" t="s">
        <v>9608</v>
      </c>
      <c r="AV924" s="6" t="s">
        <v>3306</v>
      </c>
      <c r="AW924" s="6" t="s">
        <v>3307</v>
      </c>
      <c r="AX924" s="6" t="s">
        <v>3887</v>
      </c>
      <c r="AY924" s="6" t="s">
        <v>4067</v>
      </c>
      <c r="AZ924" s="6" t="s">
        <v>3306</v>
      </c>
      <c r="BA924" s="6" t="s">
        <v>3311</v>
      </c>
      <c r="BB924" s="6" t="s">
        <v>4693</v>
      </c>
      <c r="BC924" s="6" t="s">
        <v>3313</v>
      </c>
      <c r="BD924" s="6" t="s">
        <v>165</v>
      </c>
      <c r="BE924" s="6" t="s">
        <v>3888</v>
      </c>
      <c r="BF924" s="6" t="s">
        <v>3889</v>
      </c>
      <c r="BG924" s="6" t="s">
        <v>4068</v>
      </c>
      <c r="BH924" s="6" t="s">
        <v>3317</v>
      </c>
      <c r="BI924" s="6" t="s">
        <v>271</v>
      </c>
      <c r="BJ924" s="6" t="s">
        <v>3318</v>
      </c>
      <c r="BK924" s="6" t="s">
        <v>3319</v>
      </c>
    </row>
    <row r="925" ht="22.5" customHeight="1">
      <c r="A925" s="4">
        <v>46229.70206805556</v>
      </c>
      <c r="B925" s="5">
        <v>0.0</v>
      </c>
      <c r="C925" s="6" t="s">
        <v>114</v>
      </c>
      <c r="D925" s="6" t="s">
        <v>1986</v>
      </c>
      <c r="E925" s="6" t="s">
        <v>1987</v>
      </c>
      <c r="F925" s="6">
        <v>6.9070501228E10</v>
      </c>
      <c r="G925" s="6" t="s">
        <v>228</v>
      </c>
      <c r="H925" s="7"/>
      <c r="I925" s="6" t="s">
        <v>9536</v>
      </c>
      <c r="J925" s="6" t="s">
        <v>5783</v>
      </c>
      <c r="K925" s="6" t="s">
        <v>9609</v>
      </c>
      <c r="L925" s="6" t="s">
        <v>9610</v>
      </c>
      <c r="M925" s="6" t="s">
        <v>5998</v>
      </c>
      <c r="N925" s="6" t="s">
        <v>4469</v>
      </c>
      <c r="O925" s="6" t="s">
        <v>9611</v>
      </c>
      <c r="P925" s="6" t="s">
        <v>9612</v>
      </c>
      <c r="Q925" s="6" t="s">
        <v>9613</v>
      </c>
      <c r="R925" s="6" t="s">
        <v>246</v>
      </c>
      <c r="S925" s="6" t="s">
        <v>147</v>
      </c>
      <c r="T925" s="6" t="s">
        <v>250</v>
      </c>
      <c r="U925" s="6" t="s">
        <v>560</v>
      </c>
      <c r="V925" s="6" t="s">
        <v>246</v>
      </c>
      <c r="W925" s="6" t="s">
        <v>158</v>
      </c>
      <c r="X925" s="6" t="s">
        <v>257</v>
      </c>
      <c r="Y925" s="6" t="s">
        <v>162</v>
      </c>
      <c r="Z925" s="6" t="s">
        <v>165</v>
      </c>
      <c r="AA925" s="6" t="s">
        <v>262</v>
      </c>
      <c r="AB925" s="6" t="s">
        <v>171</v>
      </c>
      <c r="AC925" s="6" t="s">
        <v>174</v>
      </c>
      <c r="AD925" s="6" t="s">
        <v>175</v>
      </c>
      <c r="AE925" s="6" t="s">
        <v>271</v>
      </c>
      <c r="AF925" s="6" t="s">
        <v>181</v>
      </c>
      <c r="AG925" s="6" t="s">
        <v>182</v>
      </c>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row>
    <row r="926" ht="22.5" customHeight="1">
      <c r="A926" s="4">
        <v>46229.7020699537</v>
      </c>
      <c r="B926" s="5">
        <v>0.0</v>
      </c>
      <c r="C926" s="6" t="s">
        <v>114</v>
      </c>
      <c r="D926" s="6" t="s">
        <v>1988</v>
      </c>
      <c r="E926" s="6" t="s">
        <v>1989</v>
      </c>
      <c r="F926" s="6">
        <v>6.9070501284E10</v>
      </c>
      <c r="G926" s="6" t="s">
        <v>228</v>
      </c>
      <c r="H926" s="7"/>
      <c r="I926" s="6" t="s">
        <v>6443</v>
      </c>
      <c r="J926" s="6" t="s">
        <v>3042</v>
      </c>
      <c r="K926" s="6" t="s">
        <v>3329</v>
      </c>
      <c r="L926" s="6" t="s">
        <v>6205</v>
      </c>
      <c r="M926" s="6" t="s">
        <v>9614</v>
      </c>
      <c r="N926" s="6" t="s">
        <v>5998</v>
      </c>
      <c r="O926" s="6" t="s">
        <v>9615</v>
      </c>
      <c r="P926" s="6" t="s">
        <v>9616</v>
      </c>
      <c r="Q926" s="6" t="s">
        <v>9617</v>
      </c>
      <c r="R926" s="6" t="s">
        <v>246</v>
      </c>
      <c r="S926" s="6" t="s">
        <v>147</v>
      </c>
      <c r="T926" s="6" t="s">
        <v>250</v>
      </c>
      <c r="U926" s="6" t="s">
        <v>560</v>
      </c>
      <c r="V926" s="6" t="s">
        <v>246</v>
      </c>
      <c r="W926" s="6" t="s">
        <v>158</v>
      </c>
      <c r="X926" s="6" t="s">
        <v>257</v>
      </c>
      <c r="Y926" s="6" t="s">
        <v>162</v>
      </c>
      <c r="Z926" s="6" t="s">
        <v>165</v>
      </c>
      <c r="AA926" s="6" t="s">
        <v>262</v>
      </c>
      <c r="AB926" s="6" t="s">
        <v>171</v>
      </c>
      <c r="AC926" s="6" t="s">
        <v>174</v>
      </c>
      <c r="AD926" s="6" t="s">
        <v>175</v>
      </c>
      <c r="AE926" s="6" t="s">
        <v>271</v>
      </c>
      <c r="AF926" s="6" t="s">
        <v>181</v>
      </c>
      <c r="AG926" s="6" t="s">
        <v>182</v>
      </c>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row>
    <row r="927" ht="22.5" customHeight="1">
      <c r="A927" s="4">
        <v>46229.70207402778</v>
      </c>
      <c r="B927" s="5">
        <v>0.0</v>
      </c>
      <c r="C927" s="6" t="s">
        <v>114</v>
      </c>
      <c r="D927" s="6" t="s">
        <v>1990</v>
      </c>
      <c r="E927" s="6" t="s">
        <v>1991</v>
      </c>
      <c r="F927" s="6">
        <v>6.9070501842E10</v>
      </c>
      <c r="G927" s="6" t="s">
        <v>730</v>
      </c>
      <c r="H927" s="7"/>
      <c r="I927" s="6" t="s">
        <v>9618</v>
      </c>
      <c r="J927" s="6" t="s">
        <v>9619</v>
      </c>
      <c r="K927" s="6" t="s">
        <v>9620</v>
      </c>
      <c r="L927" s="6" t="s">
        <v>9621</v>
      </c>
      <c r="M927" s="6" t="s">
        <v>9622</v>
      </c>
      <c r="N927" s="7"/>
      <c r="O927" s="6" t="s">
        <v>9623</v>
      </c>
      <c r="P927" s="6" t="s">
        <v>9624</v>
      </c>
      <c r="Q927" s="6" t="s">
        <v>9625</v>
      </c>
      <c r="R927" s="6" t="s">
        <v>246</v>
      </c>
      <c r="S927" s="6" t="s">
        <v>147</v>
      </c>
      <c r="T927" s="6" t="s">
        <v>250</v>
      </c>
      <c r="U927" s="6" t="s">
        <v>560</v>
      </c>
      <c r="V927" s="6" t="s">
        <v>246</v>
      </c>
      <c r="W927" s="6" t="s">
        <v>158</v>
      </c>
      <c r="X927" s="6" t="s">
        <v>257</v>
      </c>
      <c r="Y927" s="6" t="s">
        <v>162</v>
      </c>
      <c r="Z927" s="6" t="s">
        <v>165</v>
      </c>
      <c r="AA927" s="6" t="s">
        <v>262</v>
      </c>
      <c r="AB927" s="6" t="s">
        <v>171</v>
      </c>
      <c r="AC927" s="6" t="s">
        <v>174</v>
      </c>
      <c r="AD927" s="6" t="s">
        <v>175</v>
      </c>
      <c r="AE927" s="6" t="s">
        <v>271</v>
      </c>
      <c r="AF927" s="6" t="s">
        <v>181</v>
      </c>
      <c r="AG927" s="6" t="s">
        <v>182</v>
      </c>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row>
    <row r="928" ht="22.5" customHeight="1">
      <c r="A928" s="4">
        <v>46229.70209457176</v>
      </c>
      <c r="B928" s="5">
        <v>0.0</v>
      </c>
      <c r="C928" s="6" t="s">
        <v>114</v>
      </c>
      <c r="D928" s="6" t="s">
        <v>1992</v>
      </c>
      <c r="E928" s="6" t="s">
        <v>1993</v>
      </c>
      <c r="F928" s="6">
        <v>6.9070500665E10</v>
      </c>
      <c r="G928" s="6" t="s">
        <v>6140</v>
      </c>
      <c r="H928" s="7"/>
      <c r="I928" s="6" t="s">
        <v>9626</v>
      </c>
      <c r="J928" s="6" t="s">
        <v>9627</v>
      </c>
      <c r="K928" s="6" t="s">
        <v>9628</v>
      </c>
      <c r="L928" s="6" t="s">
        <v>9629</v>
      </c>
      <c r="M928" s="6" t="s">
        <v>3771</v>
      </c>
      <c r="N928" s="7"/>
      <c r="O928" s="6" t="s">
        <v>9630</v>
      </c>
      <c r="P928" s="6" t="s">
        <v>9631</v>
      </c>
      <c r="Q928" s="6" t="s">
        <v>9632</v>
      </c>
      <c r="R928" s="6" t="s">
        <v>246</v>
      </c>
      <c r="S928" s="6" t="s">
        <v>147</v>
      </c>
      <c r="T928" s="6" t="s">
        <v>246</v>
      </c>
      <c r="U928" s="6" t="s">
        <v>2254</v>
      </c>
      <c r="V928" s="6" t="s">
        <v>246</v>
      </c>
      <c r="W928" s="6" t="s">
        <v>158</v>
      </c>
      <c r="X928" s="6" t="s">
        <v>250</v>
      </c>
      <c r="Y928" s="6" t="s">
        <v>162</v>
      </c>
      <c r="Z928" s="6" t="s">
        <v>165</v>
      </c>
      <c r="AA928" s="6" t="s">
        <v>262</v>
      </c>
      <c r="AB928" s="6" t="s">
        <v>521</v>
      </c>
      <c r="AC928" s="6" t="s">
        <v>174</v>
      </c>
      <c r="AD928" s="6" t="s">
        <v>175</v>
      </c>
      <c r="AE928" s="6" t="s">
        <v>271</v>
      </c>
      <c r="AF928" s="6" t="s">
        <v>181</v>
      </c>
      <c r="AG928" s="6" t="s">
        <v>182</v>
      </c>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row>
    <row r="929" ht="22.5" customHeight="1">
      <c r="A929" s="4">
        <v>46229.70209668981</v>
      </c>
      <c r="B929" s="5">
        <v>0.0</v>
      </c>
      <c r="C929" s="6" t="s">
        <v>114</v>
      </c>
      <c r="D929" s="6" t="s">
        <v>1994</v>
      </c>
      <c r="E929" s="6" t="s">
        <v>1995</v>
      </c>
      <c r="F929" s="6">
        <v>6.9070508818E10</v>
      </c>
      <c r="G929" s="6" t="s">
        <v>5399</v>
      </c>
      <c r="H929" s="7"/>
      <c r="I929" s="6" t="s">
        <v>9633</v>
      </c>
      <c r="J929" s="6" t="s">
        <v>3497</v>
      </c>
      <c r="K929" s="6" t="s">
        <v>3474</v>
      </c>
      <c r="L929" s="6" t="s">
        <v>9634</v>
      </c>
      <c r="M929" s="6" t="s">
        <v>9635</v>
      </c>
      <c r="N929" s="6" t="s">
        <v>9636</v>
      </c>
      <c r="O929" s="6" t="s">
        <v>9637</v>
      </c>
      <c r="P929" s="6" t="s">
        <v>9638</v>
      </c>
      <c r="Q929" s="6" t="s">
        <v>9639</v>
      </c>
      <c r="R929" s="6" t="s">
        <v>246</v>
      </c>
      <c r="S929" s="6" t="s">
        <v>147</v>
      </c>
      <c r="T929" s="6" t="s">
        <v>246</v>
      </c>
      <c r="U929" s="6" t="s">
        <v>252</v>
      </c>
      <c r="V929" s="6" t="s">
        <v>246</v>
      </c>
      <c r="W929" s="6" t="s">
        <v>158</v>
      </c>
      <c r="X929" s="6" t="s">
        <v>257</v>
      </c>
      <c r="Y929" s="6" t="s">
        <v>162</v>
      </c>
      <c r="Z929" s="6" t="s">
        <v>165</v>
      </c>
      <c r="AA929" s="6" t="s">
        <v>262</v>
      </c>
      <c r="AB929" s="6" t="s">
        <v>521</v>
      </c>
      <c r="AC929" s="6" t="s">
        <v>174</v>
      </c>
      <c r="AD929" s="6" t="s">
        <v>175</v>
      </c>
      <c r="AE929" s="6" t="s">
        <v>271</v>
      </c>
      <c r="AF929" s="6" t="s">
        <v>181</v>
      </c>
      <c r="AG929" s="6" t="s">
        <v>182</v>
      </c>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row>
    <row r="930" ht="22.5" customHeight="1">
      <c r="A930" s="4">
        <v>46229.70211517361</v>
      </c>
      <c r="B930" s="5">
        <v>0.0</v>
      </c>
      <c r="C930" s="6" t="s">
        <v>114</v>
      </c>
      <c r="D930" s="6" t="s">
        <v>1996</v>
      </c>
      <c r="E930" s="6" t="s">
        <v>1997</v>
      </c>
      <c r="F930" s="6">
        <v>6.9070500676E10</v>
      </c>
      <c r="G930" s="6" t="s">
        <v>6140</v>
      </c>
      <c r="H930" s="7"/>
      <c r="I930" s="6" t="s">
        <v>9640</v>
      </c>
      <c r="J930" s="6" t="s">
        <v>9641</v>
      </c>
      <c r="K930" s="6" t="s">
        <v>9642</v>
      </c>
      <c r="L930" s="6" t="s">
        <v>9643</v>
      </c>
      <c r="M930" s="6" t="s">
        <v>9644</v>
      </c>
      <c r="N930" s="7"/>
      <c r="O930" s="6" t="s">
        <v>9645</v>
      </c>
      <c r="P930" s="6" t="s">
        <v>9646</v>
      </c>
      <c r="Q930" s="6" t="s">
        <v>9647</v>
      </c>
      <c r="R930" s="6" t="s">
        <v>246</v>
      </c>
      <c r="S930" s="6" t="s">
        <v>147</v>
      </c>
      <c r="T930" s="6" t="s">
        <v>257</v>
      </c>
      <c r="U930" s="6" t="s">
        <v>252</v>
      </c>
      <c r="V930" s="6" t="s">
        <v>246</v>
      </c>
      <c r="W930" s="6" t="s">
        <v>158</v>
      </c>
      <c r="X930" s="6" t="s">
        <v>257</v>
      </c>
      <c r="Y930" s="6" t="s">
        <v>162</v>
      </c>
      <c r="Z930" s="6" t="s">
        <v>165</v>
      </c>
      <c r="AA930" s="6" t="s">
        <v>262</v>
      </c>
      <c r="AB930" s="6" t="s">
        <v>521</v>
      </c>
      <c r="AC930" s="6" t="s">
        <v>174</v>
      </c>
      <c r="AD930" s="6" t="s">
        <v>175</v>
      </c>
      <c r="AE930" s="6" t="s">
        <v>271</v>
      </c>
      <c r="AF930" s="6" t="s">
        <v>181</v>
      </c>
      <c r="AG930" s="6" t="s">
        <v>182</v>
      </c>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row>
    <row r="931" ht="22.5" customHeight="1">
      <c r="A931" s="4">
        <v>46229.70212577547</v>
      </c>
      <c r="B931" s="5">
        <v>0.0</v>
      </c>
      <c r="C931" s="6" t="s">
        <v>114</v>
      </c>
      <c r="D931" s="6" t="s">
        <v>1998</v>
      </c>
      <c r="E931" s="6" t="s">
        <v>1999</v>
      </c>
      <c r="F931" s="6">
        <v>6.9070500079E10</v>
      </c>
      <c r="G931" s="6" t="s">
        <v>4580</v>
      </c>
      <c r="H931" s="7"/>
      <c r="I931" s="6" t="s">
        <v>9648</v>
      </c>
      <c r="J931" s="6" t="s">
        <v>9649</v>
      </c>
      <c r="K931" s="6" t="s">
        <v>9650</v>
      </c>
      <c r="L931" s="6" t="s">
        <v>9651</v>
      </c>
      <c r="M931" s="6" t="s">
        <v>9652</v>
      </c>
      <c r="N931" s="7"/>
      <c r="O931" s="6" t="s">
        <v>9653</v>
      </c>
      <c r="P931" s="6" t="s">
        <v>9654</v>
      </c>
      <c r="Q931" s="6" t="s">
        <v>9655</v>
      </c>
      <c r="R931" s="6" t="s">
        <v>246</v>
      </c>
      <c r="S931" s="6" t="s">
        <v>147</v>
      </c>
      <c r="T931" s="6" t="s">
        <v>250</v>
      </c>
      <c r="U931" s="6" t="s">
        <v>560</v>
      </c>
      <c r="V931" s="6" t="s">
        <v>246</v>
      </c>
      <c r="W931" s="6" t="s">
        <v>158</v>
      </c>
      <c r="X931" s="6" t="s">
        <v>257</v>
      </c>
      <c r="Y931" s="6" t="s">
        <v>162</v>
      </c>
      <c r="Z931" s="6" t="s">
        <v>4804</v>
      </c>
      <c r="AA931" s="6" t="s">
        <v>262</v>
      </c>
      <c r="AB931" s="6" t="s">
        <v>171</v>
      </c>
      <c r="AC931" s="6" t="s">
        <v>174</v>
      </c>
      <c r="AD931" s="6" t="s">
        <v>175</v>
      </c>
      <c r="AE931" s="6" t="s">
        <v>271</v>
      </c>
      <c r="AF931" s="6" t="s">
        <v>181</v>
      </c>
      <c r="AG931" s="6" t="s">
        <v>182</v>
      </c>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row>
    <row r="932" ht="22.5" customHeight="1">
      <c r="A932" s="4">
        <v>46229.702128784724</v>
      </c>
      <c r="B932" s="5">
        <v>0.0</v>
      </c>
      <c r="C932" s="6" t="s">
        <v>114</v>
      </c>
      <c r="D932" s="6" t="s">
        <v>2000</v>
      </c>
      <c r="E932" s="6" t="s">
        <v>2001</v>
      </c>
      <c r="F932" s="6">
        <v>6.9070500826E10</v>
      </c>
      <c r="G932" s="6" t="s">
        <v>496</v>
      </c>
      <c r="H932" s="6" t="s">
        <v>9656</v>
      </c>
      <c r="I932" s="6" t="s">
        <v>9657</v>
      </c>
      <c r="J932" s="6" t="s">
        <v>8063</v>
      </c>
      <c r="K932" s="6" t="s">
        <v>9658</v>
      </c>
      <c r="L932" s="6" t="s">
        <v>3226</v>
      </c>
      <c r="M932" s="6" t="s">
        <v>9659</v>
      </c>
      <c r="N932" s="7"/>
      <c r="O932" s="6" t="s">
        <v>9660</v>
      </c>
      <c r="P932" s="6" t="s">
        <v>9661</v>
      </c>
      <c r="Q932" s="6" t="s">
        <v>9662</v>
      </c>
      <c r="R932" s="6" t="s">
        <v>246</v>
      </c>
      <c r="S932" s="6" t="s">
        <v>147</v>
      </c>
      <c r="T932" s="6" t="s">
        <v>250</v>
      </c>
      <c r="U932" s="6" t="s">
        <v>686</v>
      </c>
      <c r="V932" s="6" t="s">
        <v>246</v>
      </c>
      <c r="W932" s="6" t="s">
        <v>158</v>
      </c>
      <c r="X932" s="6" t="s">
        <v>458</v>
      </c>
      <c r="Y932" s="6" t="s">
        <v>162</v>
      </c>
      <c r="Z932" s="6" t="s">
        <v>165</v>
      </c>
      <c r="AA932" s="6" t="s">
        <v>262</v>
      </c>
      <c r="AB932" s="6" t="s">
        <v>171</v>
      </c>
      <c r="AC932" s="6" t="s">
        <v>174</v>
      </c>
      <c r="AD932" s="6" t="s">
        <v>175</v>
      </c>
      <c r="AE932" s="6" t="s">
        <v>524</v>
      </c>
      <c r="AF932" s="6" t="s">
        <v>181</v>
      </c>
      <c r="AG932" s="6" t="s">
        <v>182</v>
      </c>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row>
    <row r="933" ht="22.5" customHeight="1">
      <c r="A933" s="4">
        <v>46229.70213315972</v>
      </c>
      <c r="B933" s="5">
        <v>0.0</v>
      </c>
      <c r="C933" s="6" t="s">
        <v>114</v>
      </c>
      <c r="D933" s="6" t="s">
        <v>2002</v>
      </c>
      <c r="E933" s="6" t="s">
        <v>2003</v>
      </c>
      <c r="F933" s="6">
        <v>6.9070502493E10</v>
      </c>
      <c r="G933" s="6" t="s">
        <v>122</v>
      </c>
      <c r="H933" s="7"/>
      <c r="I933" s="6" t="s">
        <v>5584</v>
      </c>
      <c r="J933" s="6" t="s">
        <v>3489</v>
      </c>
      <c r="K933" s="6" t="s">
        <v>9663</v>
      </c>
      <c r="L933" s="6" t="s">
        <v>9664</v>
      </c>
      <c r="M933" s="6" t="s">
        <v>4749</v>
      </c>
      <c r="N933" s="6" t="s">
        <v>5581</v>
      </c>
      <c r="O933" s="6" t="s">
        <v>9665</v>
      </c>
      <c r="P933" s="6" t="s">
        <v>9666</v>
      </c>
      <c r="Q933" s="6" t="s">
        <v>9667</v>
      </c>
      <c r="R933" s="6" t="s">
        <v>246</v>
      </c>
      <c r="S933" s="6" t="s">
        <v>147</v>
      </c>
      <c r="T933" s="6" t="s">
        <v>250</v>
      </c>
      <c r="U933" s="6" t="s">
        <v>686</v>
      </c>
      <c r="V933" s="6" t="s">
        <v>246</v>
      </c>
      <c r="W933" s="6" t="s">
        <v>158</v>
      </c>
      <c r="X933" s="6" t="s">
        <v>257</v>
      </c>
      <c r="Y933" s="6" t="s">
        <v>162</v>
      </c>
      <c r="Z933" s="6" t="s">
        <v>165</v>
      </c>
      <c r="AA933" s="6" t="s">
        <v>262</v>
      </c>
      <c r="AB933" s="6" t="s">
        <v>521</v>
      </c>
      <c r="AC933" s="6" t="s">
        <v>174</v>
      </c>
      <c r="AD933" s="6" t="s">
        <v>175</v>
      </c>
      <c r="AE933" s="6" t="s">
        <v>271</v>
      </c>
      <c r="AF933" s="6" t="s">
        <v>181</v>
      </c>
      <c r="AG933" s="6" t="s">
        <v>182</v>
      </c>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row>
    <row r="934" ht="22.5" customHeight="1">
      <c r="A934" s="4">
        <v>46229.70214359954</v>
      </c>
      <c r="B934" s="5">
        <v>0.0</v>
      </c>
      <c r="C934" s="6" t="s">
        <v>114</v>
      </c>
      <c r="D934" s="6" t="s">
        <v>2004</v>
      </c>
      <c r="E934" s="6" t="s">
        <v>2005</v>
      </c>
      <c r="F934" s="6">
        <v>6.9070500036E10</v>
      </c>
      <c r="G934" s="6" t="s">
        <v>4580</v>
      </c>
      <c r="H934" s="7"/>
      <c r="I934" s="6" t="s">
        <v>9668</v>
      </c>
      <c r="J934" s="6" t="s">
        <v>7188</v>
      </c>
      <c r="K934" s="6" t="s">
        <v>9669</v>
      </c>
      <c r="L934" s="6" t="s">
        <v>9670</v>
      </c>
      <c r="M934" s="6" t="s">
        <v>9671</v>
      </c>
      <c r="N934" s="6" t="s">
        <v>9672</v>
      </c>
      <c r="O934" s="6" t="s">
        <v>9673</v>
      </c>
      <c r="P934" s="6" t="s">
        <v>9674</v>
      </c>
      <c r="Q934" s="6" t="s">
        <v>9675</v>
      </c>
      <c r="R934" s="6" t="s">
        <v>145</v>
      </c>
      <c r="S934" s="6" t="s">
        <v>147</v>
      </c>
      <c r="T934" s="6" t="s">
        <v>257</v>
      </c>
      <c r="U934" s="6" t="s">
        <v>686</v>
      </c>
      <c r="V934" s="6" t="s">
        <v>246</v>
      </c>
      <c r="W934" s="6" t="s">
        <v>3463</v>
      </c>
      <c r="X934" s="6" t="s">
        <v>257</v>
      </c>
      <c r="Y934" s="6" t="s">
        <v>162</v>
      </c>
      <c r="Z934" s="6" t="s">
        <v>165</v>
      </c>
      <c r="AA934" s="6" t="s">
        <v>262</v>
      </c>
      <c r="AB934" s="6" t="s">
        <v>171</v>
      </c>
      <c r="AC934" s="6" t="s">
        <v>174</v>
      </c>
      <c r="AD934" s="6" t="s">
        <v>641</v>
      </c>
      <c r="AE934" s="6" t="s">
        <v>3105</v>
      </c>
      <c r="AF934" s="6" t="s">
        <v>181</v>
      </c>
      <c r="AG934" s="6" t="s">
        <v>182</v>
      </c>
      <c r="AH934" s="7"/>
      <c r="AI934" s="7"/>
      <c r="AJ934" s="7"/>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c r="BJ934" s="7"/>
      <c r="BK934" s="7"/>
    </row>
    <row r="935" ht="22.5" customHeight="1">
      <c r="A935" s="4">
        <v>46229.70215094907</v>
      </c>
      <c r="B935" s="5">
        <v>0.0</v>
      </c>
      <c r="C935" s="6" t="s">
        <v>114</v>
      </c>
      <c r="D935" s="6" t="s">
        <v>2006</v>
      </c>
      <c r="E935" s="6" t="s">
        <v>2007</v>
      </c>
      <c r="F935" s="6">
        <v>6.9070500863E10</v>
      </c>
      <c r="G935" s="6" t="s">
        <v>496</v>
      </c>
      <c r="H935" s="7"/>
      <c r="I935" s="6" t="s">
        <v>5537</v>
      </c>
      <c r="J935" s="6" t="s">
        <v>9676</v>
      </c>
      <c r="K935" s="6" t="s">
        <v>5478</v>
      </c>
      <c r="L935" s="6" t="s">
        <v>3907</v>
      </c>
      <c r="M935" s="6" t="s">
        <v>9677</v>
      </c>
      <c r="N935" s="7"/>
      <c r="O935" s="6" t="s">
        <v>9678</v>
      </c>
      <c r="P935" s="6" t="s">
        <v>9679</v>
      </c>
      <c r="Q935" s="6" t="s">
        <v>9680</v>
      </c>
      <c r="R935" s="6" t="s">
        <v>246</v>
      </c>
      <c r="S935" s="6" t="s">
        <v>147</v>
      </c>
      <c r="T935" s="6" t="s">
        <v>250</v>
      </c>
      <c r="U935" s="6" t="s">
        <v>560</v>
      </c>
      <c r="V935" s="6" t="s">
        <v>246</v>
      </c>
      <c r="W935" s="6" t="s">
        <v>158</v>
      </c>
      <c r="X935" s="6" t="s">
        <v>257</v>
      </c>
      <c r="Y935" s="6" t="s">
        <v>162</v>
      </c>
      <c r="Z935" s="6" t="s">
        <v>165</v>
      </c>
      <c r="AA935" s="6" t="s">
        <v>262</v>
      </c>
      <c r="AB935" s="6" t="s">
        <v>521</v>
      </c>
      <c r="AC935" s="6" t="s">
        <v>174</v>
      </c>
      <c r="AD935" s="6" t="s">
        <v>175</v>
      </c>
      <c r="AE935" s="6" t="s">
        <v>271</v>
      </c>
      <c r="AF935" s="6" t="s">
        <v>181</v>
      </c>
      <c r="AG935" s="6" t="s">
        <v>182</v>
      </c>
      <c r="AH935" s="7"/>
      <c r="AI935" s="7"/>
      <c r="AJ935" s="7"/>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c r="BJ935" s="7"/>
      <c r="BK935" s="7"/>
    </row>
    <row r="936" ht="22.5" customHeight="1">
      <c r="A936" s="4">
        <v>46229.702157164356</v>
      </c>
      <c r="B936" s="5">
        <v>0.0</v>
      </c>
      <c r="C936" s="6" t="s">
        <v>114</v>
      </c>
      <c r="D936" s="6" t="s">
        <v>2008</v>
      </c>
      <c r="E936" s="6" t="s">
        <v>2009</v>
      </c>
      <c r="F936" s="6">
        <v>6.9070500302E10</v>
      </c>
      <c r="G936" s="6" t="s">
        <v>599</v>
      </c>
      <c r="H936" s="7"/>
      <c r="I936" s="6" t="s">
        <v>9681</v>
      </c>
      <c r="J936" s="6" t="s">
        <v>9682</v>
      </c>
      <c r="K936" s="6" t="s">
        <v>9683</v>
      </c>
      <c r="L936" s="6" t="s">
        <v>3161</v>
      </c>
      <c r="M936" s="6" t="s">
        <v>9684</v>
      </c>
      <c r="N936" s="7"/>
      <c r="O936" s="6" t="s">
        <v>9685</v>
      </c>
      <c r="P936" s="6" t="s">
        <v>9686</v>
      </c>
      <c r="Q936" s="6" t="s">
        <v>9687</v>
      </c>
      <c r="R936" s="6" t="s">
        <v>246</v>
      </c>
      <c r="S936" s="6" t="s">
        <v>147</v>
      </c>
      <c r="T936" s="6" t="s">
        <v>250</v>
      </c>
      <c r="U936" s="6" t="s">
        <v>152</v>
      </c>
      <c r="V936" s="6" t="s">
        <v>155</v>
      </c>
      <c r="W936" s="6" t="s">
        <v>158</v>
      </c>
      <c r="X936" s="6" t="s">
        <v>257</v>
      </c>
      <c r="Y936" s="6" t="s">
        <v>162</v>
      </c>
      <c r="Z936" s="6" t="s">
        <v>165</v>
      </c>
      <c r="AA936" s="6" t="s">
        <v>262</v>
      </c>
      <c r="AB936" s="6" t="s">
        <v>171</v>
      </c>
      <c r="AC936" s="6" t="s">
        <v>174</v>
      </c>
      <c r="AD936" s="6" t="s">
        <v>175</v>
      </c>
      <c r="AE936" s="6" t="s">
        <v>178</v>
      </c>
      <c r="AF936" s="6" t="s">
        <v>181</v>
      </c>
      <c r="AG936" s="6" t="s">
        <v>182</v>
      </c>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row>
    <row r="937" ht="22.5" customHeight="1">
      <c r="A937" s="4">
        <v>46229.702162118054</v>
      </c>
      <c r="B937" s="5">
        <v>0.0</v>
      </c>
      <c r="C937" s="6" t="s">
        <v>114</v>
      </c>
      <c r="D937" s="6" t="s">
        <v>693</v>
      </c>
      <c r="E937" s="6" t="s">
        <v>2014</v>
      </c>
      <c r="F937" s="6">
        <v>6.9070500876E10</v>
      </c>
      <c r="G937" s="6" t="s">
        <v>496</v>
      </c>
      <c r="H937" s="7"/>
      <c r="I937" s="6" t="s">
        <v>9688</v>
      </c>
      <c r="J937" s="6" t="s">
        <v>9682</v>
      </c>
      <c r="K937" s="6" t="s">
        <v>9689</v>
      </c>
      <c r="L937" s="6" t="s">
        <v>9690</v>
      </c>
      <c r="M937" s="6" t="s">
        <v>9691</v>
      </c>
      <c r="N937" s="7"/>
      <c r="O937" s="6" t="s">
        <v>9692</v>
      </c>
      <c r="P937" s="6" t="s">
        <v>9693</v>
      </c>
      <c r="Q937" s="6" t="s">
        <v>9692</v>
      </c>
      <c r="R937" s="6" t="s">
        <v>246</v>
      </c>
      <c r="S937" s="6" t="s">
        <v>147</v>
      </c>
      <c r="T937" s="6" t="s">
        <v>516</v>
      </c>
      <c r="U937" s="6" t="s">
        <v>560</v>
      </c>
      <c r="V937" s="6" t="s">
        <v>246</v>
      </c>
      <c r="W937" s="6" t="s">
        <v>158</v>
      </c>
      <c r="X937" s="6" t="s">
        <v>257</v>
      </c>
      <c r="Y937" s="6" t="s">
        <v>162</v>
      </c>
      <c r="Z937" s="6" t="s">
        <v>165</v>
      </c>
      <c r="AA937" s="6" t="s">
        <v>262</v>
      </c>
      <c r="AB937" s="6" t="s">
        <v>171</v>
      </c>
      <c r="AC937" s="6" t="s">
        <v>174</v>
      </c>
      <c r="AD937" s="6" t="s">
        <v>175</v>
      </c>
      <c r="AE937" s="6" t="s">
        <v>3105</v>
      </c>
      <c r="AF937" s="6" t="s">
        <v>181</v>
      </c>
      <c r="AG937" s="6" t="s">
        <v>182</v>
      </c>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row>
    <row r="938" ht="22.5" customHeight="1">
      <c r="A938" s="4">
        <v>46229.70217092593</v>
      </c>
      <c r="B938" s="5">
        <v>0.0</v>
      </c>
      <c r="C938" s="6" t="s">
        <v>3296</v>
      </c>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6" t="s">
        <v>1119</v>
      </c>
      <c r="AI938" s="6" t="s">
        <v>2773</v>
      </c>
      <c r="AJ938" s="6">
        <v>6.9070503449E10</v>
      </c>
      <c r="AK938" s="6" t="s">
        <v>3297</v>
      </c>
      <c r="AL938" s="7"/>
      <c r="AM938" s="6" t="s">
        <v>1588</v>
      </c>
      <c r="AN938" s="6" t="s">
        <v>9694</v>
      </c>
      <c r="AO938" s="6" t="s">
        <v>9695</v>
      </c>
      <c r="AP938" s="6" t="s">
        <v>1592</v>
      </c>
      <c r="AQ938" s="6" t="s">
        <v>9696</v>
      </c>
      <c r="AR938" s="6" t="s">
        <v>9697</v>
      </c>
      <c r="AS938" s="6" t="s">
        <v>9698</v>
      </c>
      <c r="AT938" s="6" t="s">
        <v>9699</v>
      </c>
      <c r="AU938" s="6" t="s">
        <v>9700</v>
      </c>
      <c r="AV938" s="6" t="s">
        <v>3312</v>
      </c>
      <c r="AW938" s="6" t="s">
        <v>3307</v>
      </c>
      <c r="AX938" s="6" t="s">
        <v>3887</v>
      </c>
      <c r="AY938" s="6" t="s">
        <v>4067</v>
      </c>
      <c r="AZ938" s="6" t="s">
        <v>3306</v>
      </c>
      <c r="BA938" s="6" t="s">
        <v>3311</v>
      </c>
      <c r="BB938" s="6" t="s">
        <v>6098</v>
      </c>
      <c r="BC938" s="6" t="s">
        <v>3313</v>
      </c>
      <c r="BD938" s="6" t="s">
        <v>804</v>
      </c>
      <c r="BE938" s="6" t="s">
        <v>3888</v>
      </c>
      <c r="BF938" s="6" t="s">
        <v>7476</v>
      </c>
      <c r="BG938" s="6" t="s">
        <v>5760</v>
      </c>
      <c r="BH938" s="6" t="s">
        <v>7150</v>
      </c>
      <c r="BI938" s="6" t="s">
        <v>271</v>
      </c>
      <c r="BJ938" s="6" t="s">
        <v>4342</v>
      </c>
      <c r="BK938" s="6" t="s">
        <v>4695</v>
      </c>
    </row>
    <row r="939" ht="22.5" customHeight="1">
      <c r="A939" s="4">
        <v>46229.70218260417</v>
      </c>
      <c r="B939" s="5">
        <v>0.0</v>
      </c>
      <c r="C939" s="6" t="s">
        <v>3296</v>
      </c>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6" t="s">
        <v>2775</v>
      </c>
      <c r="AI939" s="6" t="s">
        <v>2776</v>
      </c>
      <c r="AJ939" s="6">
        <v>6.9070503466E10</v>
      </c>
      <c r="AK939" s="6" t="s">
        <v>3297</v>
      </c>
      <c r="AL939" s="6">
        <v>4.0</v>
      </c>
      <c r="AM939" s="6" t="s">
        <v>9701</v>
      </c>
      <c r="AN939" s="6" t="s">
        <v>3301</v>
      </c>
      <c r="AO939" s="6" t="s">
        <v>9702</v>
      </c>
      <c r="AP939" s="6" t="s">
        <v>9703</v>
      </c>
      <c r="AQ939" s="6" t="s">
        <v>9704</v>
      </c>
      <c r="AR939" s="7"/>
      <c r="AS939" s="6" t="s">
        <v>9067</v>
      </c>
      <c r="AT939" s="6" t="s">
        <v>9705</v>
      </c>
      <c r="AU939" s="6" t="s">
        <v>9706</v>
      </c>
      <c r="AV939" s="6" t="s">
        <v>3306</v>
      </c>
      <c r="AW939" s="6" t="s">
        <v>9070</v>
      </c>
      <c r="AX939" s="6" t="s">
        <v>3312</v>
      </c>
      <c r="AY939" s="6" t="s">
        <v>804</v>
      </c>
      <c r="AZ939" s="6" t="s">
        <v>6098</v>
      </c>
      <c r="BA939" s="6" t="s">
        <v>4692</v>
      </c>
      <c r="BB939" s="6" t="s">
        <v>4693</v>
      </c>
      <c r="BC939" s="6" t="s">
        <v>3313</v>
      </c>
      <c r="BD939" s="6" t="s">
        <v>629</v>
      </c>
      <c r="BE939" s="6" t="s">
        <v>5631</v>
      </c>
      <c r="BF939" s="6" t="s">
        <v>3315</v>
      </c>
      <c r="BG939" s="6" t="s">
        <v>4068</v>
      </c>
      <c r="BH939" s="6" t="s">
        <v>7150</v>
      </c>
      <c r="BI939" s="6" t="s">
        <v>271</v>
      </c>
      <c r="BJ939" s="6" t="s">
        <v>3318</v>
      </c>
      <c r="BK939" s="6" t="s">
        <v>4695</v>
      </c>
    </row>
    <row r="940" ht="22.5" customHeight="1">
      <c r="A940" s="4">
        <v>46229.70218849537</v>
      </c>
      <c r="B940" s="5">
        <v>0.0</v>
      </c>
      <c r="C940" s="6" t="s">
        <v>3296</v>
      </c>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6" t="s">
        <v>2778</v>
      </c>
      <c r="AI940" s="6" t="s">
        <v>2780</v>
      </c>
      <c r="AJ940" s="6">
        <v>6.9070507831E10</v>
      </c>
      <c r="AK940" s="6" t="s">
        <v>5236</v>
      </c>
      <c r="AL940" s="6" t="s">
        <v>9707</v>
      </c>
      <c r="AM940" s="6" t="s">
        <v>9708</v>
      </c>
      <c r="AN940" s="6" t="s">
        <v>9709</v>
      </c>
      <c r="AO940" s="6" t="s">
        <v>9710</v>
      </c>
      <c r="AP940" s="6" t="s">
        <v>9711</v>
      </c>
      <c r="AQ940" s="6" t="s">
        <v>9712</v>
      </c>
      <c r="AR940" s="7"/>
      <c r="AS940" s="6" t="s">
        <v>9713</v>
      </c>
      <c r="AT940" s="6" t="s">
        <v>9714</v>
      </c>
      <c r="AU940" s="6" t="s">
        <v>9715</v>
      </c>
      <c r="AV940" s="6" t="s">
        <v>3312</v>
      </c>
      <c r="AW940" s="6" t="s">
        <v>9070</v>
      </c>
      <c r="AX940" s="6" t="s">
        <v>4887</v>
      </c>
      <c r="AY940" s="6" t="s">
        <v>3309</v>
      </c>
      <c r="AZ940" s="6" t="s">
        <v>3310</v>
      </c>
      <c r="BA940" s="6" t="s">
        <v>3311</v>
      </c>
      <c r="BB940" s="6" t="s">
        <v>4693</v>
      </c>
      <c r="BC940" s="6" t="s">
        <v>7431</v>
      </c>
      <c r="BD940" s="6" t="s">
        <v>629</v>
      </c>
      <c r="BE940" s="6" t="s">
        <v>5761</v>
      </c>
      <c r="BF940" s="6" t="s">
        <v>3315</v>
      </c>
      <c r="BG940" s="6" t="s">
        <v>4342</v>
      </c>
      <c r="BH940" s="6" t="s">
        <v>5246</v>
      </c>
      <c r="BI940" s="6" t="s">
        <v>271</v>
      </c>
      <c r="BJ940" s="6" t="s">
        <v>5247</v>
      </c>
      <c r="BK940" s="6" t="s">
        <v>5248</v>
      </c>
    </row>
    <row r="941" ht="22.5" customHeight="1">
      <c r="A941" s="4">
        <v>46229.70220372685</v>
      </c>
      <c r="B941" s="5">
        <v>0.0</v>
      </c>
      <c r="C941" s="6" t="s">
        <v>3296</v>
      </c>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6" t="s">
        <v>2781</v>
      </c>
      <c r="AI941" s="6" t="s">
        <v>2783</v>
      </c>
      <c r="AJ941" s="6">
        <v>6.9070508637E10</v>
      </c>
      <c r="AK941" s="6" t="s">
        <v>9716</v>
      </c>
      <c r="AL941" s="7"/>
      <c r="AM941" s="6" t="s">
        <v>9717</v>
      </c>
      <c r="AN941" s="6" t="s">
        <v>8831</v>
      </c>
      <c r="AO941" s="6" t="s">
        <v>9718</v>
      </c>
      <c r="AP941" s="6" t="s">
        <v>9719</v>
      </c>
      <c r="AQ941" s="6" t="s">
        <v>8011</v>
      </c>
      <c r="AR941" s="7"/>
      <c r="AS941" s="6" t="s">
        <v>9720</v>
      </c>
      <c r="AT941" s="6" t="s">
        <v>9721</v>
      </c>
      <c r="AU941" s="6" t="s">
        <v>9721</v>
      </c>
      <c r="AV941" s="6" t="s">
        <v>8899</v>
      </c>
      <c r="AW941" s="6" t="s">
        <v>3307</v>
      </c>
      <c r="AX941" s="6" t="s">
        <v>4887</v>
      </c>
      <c r="AY941" s="6" t="s">
        <v>5759</v>
      </c>
      <c r="AZ941" s="6" t="s">
        <v>3887</v>
      </c>
      <c r="BA941" s="6" t="s">
        <v>3311</v>
      </c>
      <c r="BB941" s="6" t="s">
        <v>3306</v>
      </c>
      <c r="BC941" s="6" t="s">
        <v>3313</v>
      </c>
      <c r="BD941" s="6" t="s">
        <v>165</v>
      </c>
      <c r="BE941" s="6" t="s">
        <v>3314</v>
      </c>
      <c r="BF941" s="6" t="s">
        <v>3315</v>
      </c>
      <c r="BG941" s="6" t="s">
        <v>5760</v>
      </c>
      <c r="BH941" s="6" t="s">
        <v>5761</v>
      </c>
      <c r="BI941" s="6" t="s">
        <v>524</v>
      </c>
      <c r="BJ941" s="6" t="s">
        <v>5247</v>
      </c>
      <c r="BK941" s="6" t="s">
        <v>3319</v>
      </c>
    </row>
    <row r="942" ht="22.5" customHeight="1">
      <c r="A942" s="4">
        <v>46229.702207187496</v>
      </c>
      <c r="B942" s="5">
        <v>0.0</v>
      </c>
      <c r="C942" s="6" t="s">
        <v>114</v>
      </c>
      <c r="D942" s="6" t="s">
        <v>2016</v>
      </c>
      <c r="E942" s="6" t="s">
        <v>2017</v>
      </c>
      <c r="F942" s="6">
        <v>6.9070501254E10</v>
      </c>
      <c r="G942" s="6" t="s">
        <v>228</v>
      </c>
      <c r="H942" s="7"/>
      <c r="I942" s="6" t="s">
        <v>9722</v>
      </c>
      <c r="J942" s="6" t="s">
        <v>9723</v>
      </c>
      <c r="K942" s="6" t="s">
        <v>9724</v>
      </c>
      <c r="L942" s="6" t="s">
        <v>9725</v>
      </c>
      <c r="M942" s="6" t="s">
        <v>9726</v>
      </c>
      <c r="N942" s="6" t="s">
        <v>4279</v>
      </c>
      <c r="O942" s="6" t="s">
        <v>9727</v>
      </c>
      <c r="P942" s="6" t="s">
        <v>9728</v>
      </c>
      <c r="Q942" s="6" t="s">
        <v>9729</v>
      </c>
      <c r="R942" s="6" t="s">
        <v>246</v>
      </c>
      <c r="S942" s="6" t="s">
        <v>147</v>
      </c>
      <c r="T942" s="6" t="s">
        <v>250</v>
      </c>
      <c r="U942" s="6" t="s">
        <v>252</v>
      </c>
      <c r="V942" s="6" t="s">
        <v>246</v>
      </c>
      <c r="W942" s="6" t="s">
        <v>158</v>
      </c>
      <c r="X942" s="6" t="s">
        <v>458</v>
      </c>
      <c r="Y942" s="6" t="s">
        <v>162</v>
      </c>
      <c r="Z942" s="6" t="s">
        <v>165</v>
      </c>
      <c r="AA942" s="6" t="s">
        <v>262</v>
      </c>
      <c r="AB942" s="6" t="s">
        <v>521</v>
      </c>
      <c r="AC942" s="6" t="s">
        <v>1669</v>
      </c>
      <c r="AD942" s="6" t="s">
        <v>175</v>
      </c>
      <c r="AE942" s="6" t="s">
        <v>271</v>
      </c>
      <c r="AF942" s="6" t="s">
        <v>181</v>
      </c>
      <c r="AG942" s="6" t="s">
        <v>182</v>
      </c>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row>
    <row r="943" ht="22.5" customHeight="1">
      <c r="A943" s="4">
        <v>46229.70220788194</v>
      </c>
      <c r="B943" s="5">
        <v>0.0</v>
      </c>
      <c r="C943" s="6" t="s">
        <v>114</v>
      </c>
      <c r="D943" s="6" t="s">
        <v>2020</v>
      </c>
      <c r="E943" s="6" t="s">
        <v>2021</v>
      </c>
      <c r="F943" s="6">
        <v>6.9070500657E10</v>
      </c>
      <c r="G943" s="6" t="s">
        <v>6140</v>
      </c>
      <c r="H943" s="6" t="s">
        <v>9730</v>
      </c>
      <c r="I943" s="6" t="s">
        <v>7861</v>
      </c>
      <c r="J943" s="6" t="s">
        <v>7863</v>
      </c>
      <c r="K943" s="6" t="s">
        <v>9731</v>
      </c>
      <c r="L943" s="6" t="s">
        <v>7862</v>
      </c>
      <c r="M943" s="6" t="s">
        <v>3497</v>
      </c>
      <c r="N943" s="7"/>
      <c r="O943" s="6" t="s">
        <v>9732</v>
      </c>
      <c r="P943" s="6" t="s">
        <v>9733</v>
      </c>
      <c r="Q943" s="6" t="s">
        <v>9734</v>
      </c>
      <c r="R943" s="6" t="s">
        <v>246</v>
      </c>
      <c r="S943" s="6" t="s">
        <v>147</v>
      </c>
      <c r="T943" s="6" t="s">
        <v>250</v>
      </c>
      <c r="U943" s="6" t="s">
        <v>252</v>
      </c>
      <c r="V943" s="6" t="s">
        <v>246</v>
      </c>
      <c r="W943" s="6" t="s">
        <v>158</v>
      </c>
      <c r="X943" s="6" t="s">
        <v>257</v>
      </c>
      <c r="Y943" s="6" t="s">
        <v>162</v>
      </c>
      <c r="Z943" s="6" t="s">
        <v>804</v>
      </c>
      <c r="AA943" s="6" t="s">
        <v>262</v>
      </c>
      <c r="AB943" s="6" t="s">
        <v>1266</v>
      </c>
      <c r="AC943" s="6" t="s">
        <v>174</v>
      </c>
      <c r="AD943" s="6" t="s">
        <v>175</v>
      </c>
      <c r="AE943" s="6" t="s">
        <v>271</v>
      </c>
      <c r="AF943" s="6" t="s">
        <v>181</v>
      </c>
      <c r="AG943" s="6" t="s">
        <v>182</v>
      </c>
      <c r="AH943" s="7"/>
      <c r="AI943" s="7"/>
      <c r="AJ943" s="7"/>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row>
    <row r="944" ht="22.5" customHeight="1">
      <c r="A944" s="4">
        <v>46229.70220930556</v>
      </c>
      <c r="B944" s="5">
        <v>0.0</v>
      </c>
      <c r="C944" s="6" t="s">
        <v>3296</v>
      </c>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6" t="s">
        <v>2785</v>
      </c>
      <c r="AI944" s="6" t="s">
        <v>2786</v>
      </c>
      <c r="AJ944" s="6">
        <v>6.9070509011E10</v>
      </c>
      <c r="AK944" s="6" t="s">
        <v>5042</v>
      </c>
      <c r="AL944" s="7"/>
      <c r="AM944" s="6" t="s">
        <v>9735</v>
      </c>
      <c r="AN944" s="6" t="s">
        <v>9736</v>
      </c>
      <c r="AO944" s="6" t="s">
        <v>9737</v>
      </c>
      <c r="AP944" s="6" t="s">
        <v>9738</v>
      </c>
      <c r="AQ944" s="6" t="s">
        <v>9739</v>
      </c>
      <c r="AR944" s="7"/>
      <c r="AS944" s="6" t="s">
        <v>9740</v>
      </c>
      <c r="AT944" s="6" t="s">
        <v>9741</v>
      </c>
      <c r="AU944" s="6" t="s">
        <v>9742</v>
      </c>
      <c r="AV944" s="6" t="s">
        <v>4861</v>
      </c>
      <c r="AW944" s="6" t="s">
        <v>3307</v>
      </c>
      <c r="AX944" s="6" t="s">
        <v>3312</v>
      </c>
      <c r="AY944" s="6" t="s">
        <v>152</v>
      </c>
      <c r="AZ944" s="6" t="s">
        <v>3887</v>
      </c>
      <c r="BA944" s="6" t="s">
        <v>3311</v>
      </c>
      <c r="BB944" s="6" t="s">
        <v>4693</v>
      </c>
      <c r="BC944" s="6" t="s">
        <v>3313</v>
      </c>
      <c r="BD944" s="6" t="s">
        <v>165</v>
      </c>
      <c r="BE944" s="6" t="s">
        <v>3888</v>
      </c>
      <c r="BF944" s="6" t="s">
        <v>3315</v>
      </c>
      <c r="BG944" s="6" t="s">
        <v>4342</v>
      </c>
      <c r="BH944" s="6" t="s">
        <v>3317</v>
      </c>
      <c r="BI944" s="6" t="s">
        <v>271</v>
      </c>
      <c r="BJ944" s="6" t="s">
        <v>3318</v>
      </c>
      <c r="BK944" s="6" t="s">
        <v>3319</v>
      </c>
    </row>
    <row r="945" ht="22.5" customHeight="1">
      <c r="A945" s="4">
        <v>46229.702212627315</v>
      </c>
      <c r="B945" s="5">
        <v>0.0</v>
      </c>
      <c r="C945" s="6" t="s">
        <v>114</v>
      </c>
      <c r="D945" s="6" t="s">
        <v>2023</v>
      </c>
      <c r="E945" s="6" t="s">
        <v>2024</v>
      </c>
      <c r="F945" s="6">
        <v>6.907050246E10</v>
      </c>
      <c r="G945" s="6" t="s">
        <v>122</v>
      </c>
      <c r="H945" s="7"/>
      <c r="I945" s="6" t="s">
        <v>9743</v>
      </c>
      <c r="J945" s="6" t="s">
        <v>9744</v>
      </c>
      <c r="K945" s="6" t="s">
        <v>9745</v>
      </c>
      <c r="L945" s="6" t="s">
        <v>7046</v>
      </c>
      <c r="M945" s="6" t="s">
        <v>8594</v>
      </c>
      <c r="N945" s="7"/>
      <c r="O945" s="6" t="s">
        <v>9746</v>
      </c>
      <c r="P945" s="6" t="s">
        <v>9747</v>
      </c>
      <c r="Q945" s="6" t="s">
        <v>9748</v>
      </c>
      <c r="R945" s="6" t="s">
        <v>257</v>
      </c>
      <c r="S945" s="6" t="s">
        <v>147</v>
      </c>
      <c r="T945" s="6" t="s">
        <v>250</v>
      </c>
      <c r="U945" s="6" t="s">
        <v>252</v>
      </c>
      <c r="V945" s="6" t="s">
        <v>246</v>
      </c>
      <c r="W945" s="6" t="s">
        <v>158</v>
      </c>
      <c r="X945" s="6" t="s">
        <v>257</v>
      </c>
      <c r="Y945" s="6" t="s">
        <v>162</v>
      </c>
      <c r="Z945" s="6" t="s">
        <v>165</v>
      </c>
      <c r="AA945" s="6" t="s">
        <v>262</v>
      </c>
      <c r="AB945" s="6" t="s">
        <v>521</v>
      </c>
      <c r="AC945" s="6" t="s">
        <v>174</v>
      </c>
      <c r="AD945" s="6" t="s">
        <v>175</v>
      </c>
      <c r="AE945" s="6" t="s">
        <v>271</v>
      </c>
      <c r="AF945" s="6" t="s">
        <v>181</v>
      </c>
      <c r="AG945" s="6" t="s">
        <v>182</v>
      </c>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row>
    <row r="946" ht="22.5" customHeight="1">
      <c r="A946" s="4">
        <v>46229.70221979167</v>
      </c>
      <c r="B946" s="5">
        <v>0.0</v>
      </c>
      <c r="C946" s="6" t="s">
        <v>114</v>
      </c>
      <c r="D946" s="6" t="s">
        <v>2025</v>
      </c>
      <c r="E946" s="6" t="s">
        <v>2026</v>
      </c>
      <c r="F946" s="6">
        <v>6.9070500807E10</v>
      </c>
      <c r="G946" s="6" t="s">
        <v>496</v>
      </c>
      <c r="H946" s="7"/>
      <c r="I946" s="6" t="s">
        <v>4536</v>
      </c>
      <c r="J946" s="6" t="s">
        <v>4535</v>
      </c>
      <c r="K946" s="6" t="s">
        <v>4535</v>
      </c>
      <c r="L946" s="6" t="s">
        <v>4532</v>
      </c>
      <c r="M946" s="6" t="s">
        <v>5671</v>
      </c>
      <c r="N946" s="6" t="s">
        <v>9749</v>
      </c>
      <c r="O946" s="6" t="s">
        <v>9750</v>
      </c>
      <c r="P946" s="6" t="s">
        <v>9751</v>
      </c>
      <c r="Q946" s="6" t="s">
        <v>9752</v>
      </c>
      <c r="R946" s="6" t="s">
        <v>246</v>
      </c>
      <c r="S946" s="6" t="s">
        <v>147</v>
      </c>
      <c r="T946" s="6" t="s">
        <v>250</v>
      </c>
      <c r="U946" s="6" t="s">
        <v>252</v>
      </c>
      <c r="V946" s="6" t="s">
        <v>246</v>
      </c>
      <c r="W946" s="6" t="s">
        <v>158</v>
      </c>
      <c r="X946" s="6" t="s">
        <v>257</v>
      </c>
      <c r="Y946" s="6" t="s">
        <v>162</v>
      </c>
      <c r="Z946" s="6" t="s">
        <v>165</v>
      </c>
      <c r="AA946" s="6" t="s">
        <v>262</v>
      </c>
      <c r="AB946" s="6" t="s">
        <v>521</v>
      </c>
      <c r="AC946" s="6" t="s">
        <v>174</v>
      </c>
      <c r="AD946" s="6" t="s">
        <v>175</v>
      </c>
      <c r="AE946" s="6" t="s">
        <v>178</v>
      </c>
      <c r="AF946" s="6" t="s">
        <v>181</v>
      </c>
      <c r="AG946" s="6" t="s">
        <v>182</v>
      </c>
      <c r="AH946" s="7"/>
      <c r="AI946" s="7"/>
      <c r="AJ946" s="7"/>
      <c r="AK946" s="7"/>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c r="BJ946" s="7"/>
      <c r="BK946" s="7"/>
    </row>
    <row r="947" ht="22.5" customHeight="1">
      <c r="A947" s="4">
        <v>46229.70222207176</v>
      </c>
      <c r="B947" s="5">
        <v>0.0</v>
      </c>
      <c r="C947" s="6" t="s">
        <v>114</v>
      </c>
      <c r="D947" s="6" t="s">
        <v>2027</v>
      </c>
      <c r="E947" s="6" t="s">
        <v>2028</v>
      </c>
      <c r="F947" s="6">
        <v>6.9070500831E10</v>
      </c>
      <c r="G947" s="6" t="s">
        <v>496</v>
      </c>
      <c r="H947" s="6" t="s">
        <v>9753</v>
      </c>
      <c r="I947" s="6" t="s">
        <v>9754</v>
      </c>
      <c r="J947" s="6" t="s">
        <v>9755</v>
      </c>
      <c r="K947" s="6" t="s">
        <v>9756</v>
      </c>
      <c r="L947" s="6" t="s">
        <v>9757</v>
      </c>
      <c r="M947" s="6" t="s">
        <v>9758</v>
      </c>
      <c r="N947" s="6" t="s">
        <v>9759</v>
      </c>
      <c r="O947" s="6" t="s">
        <v>9760</v>
      </c>
      <c r="P947" s="6" t="s">
        <v>9761</v>
      </c>
      <c r="Q947" s="6" t="s">
        <v>9762</v>
      </c>
      <c r="R947" s="6" t="s">
        <v>246</v>
      </c>
      <c r="S947" s="6" t="s">
        <v>147</v>
      </c>
      <c r="T947" s="6" t="s">
        <v>250</v>
      </c>
      <c r="U947" s="6" t="s">
        <v>252</v>
      </c>
      <c r="V947" s="6" t="s">
        <v>246</v>
      </c>
      <c r="W947" s="6" t="s">
        <v>158</v>
      </c>
      <c r="X947" s="6" t="s">
        <v>257</v>
      </c>
      <c r="Y947" s="6" t="s">
        <v>162</v>
      </c>
      <c r="Z947" s="6" t="s">
        <v>165</v>
      </c>
      <c r="AA947" s="6" t="s">
        <v>262</v>
      </c>
      <c r="AB947" s="6" t="s">
        <v>171</v>
      </c>
      <c r="AC947" s="6" t="s">
        <v>174</v>
      </c>
      <c r="AD947" s="6" t="s">
        <v>175</v>
      </c>
      <c r="AE947" s="6" t="s">
        <v>271</v>
      </c>
      <c r="AF947" s="6" t="s">
        <v>181</v>
      </c>
      <c r="AG947" s="6" t="s">
        <v>182</v>
      </c>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row>
    <row r="948" ht="22.5" customHeight="1">
      <c r="A948" s="4">
        <v>46229.702235439814</v>
      </c>
      <c r="B948" s="5">
        <v>0.0</v>
      </c>
      <c r="C948" s="6" t="s">
        <v>3296</v>
      </c>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6" t="s">
        <v>2788</v>
      </c>
      <c r="AI948" s="6" t="s">
        <v>2790</v>
      </c>
      <c r="AJ948" s="6">
        <v>6.9070507823E10</v>
      </c>
      <c r="AK948" s="6" t="s">
        <v>5236</v>
      </c>
      <c r="AL948" s="7"/>
      <c r="AM948" s="6" t="s">
        <v>9763</v>
      </c>
      <c r="AN948" s="6" t="s">
        <v>7469</v>
      </c>
      <c r="AO948" s="6" t="s">
        <v>9764</v>
      </c>
      <c r="AP948" s="6" t="s">
        <v>9765</v>
      </c>
      <c r="AQ948" s="6" t="s">
        <v>9766</v>
      </c>
      <c r="AR948" s="6" t="s">
        <v>9767</v>
      </c>
      <c r="AS948" s="6" t="s">
        <v>9768</v>
      </c>
      <c r="AT948" s="6" t="s">
        <v>9769</v>
      </c>
      <c r="AU948" s="6" t="s">
        <v>9770</v>
      </c>
      <c r="AV948" s="6" t="s">
        <v>3306</v>
      </c>
      <c r="AW948" s="6" t="s">
        <v>3307</v>
      </c>
      <c r="AX948" s="6" t="s">
        <v>3887</v>
      </c>
      <c r="AY948" s="6" t="s">
        <v>4067</v>
      </c>
      <c r="AZ948" s="6" t="s">
        <v>3306</v>
      </c>
      <c r="BA948" s="6" t="s">
        <v>3311</v>
      </c>
      <c r="BB948" s="6" t="s">
        <v>4693</v>
      </c>
      <c r="BC948" s="6" t="s">
        <v>3313</v>
      </c>
      <c r="BD948" s="6" t="s">
        <v>165</v>
      </c>
      <c r="BE948" s="6" t="s">
        <v>3888</v>
      </c>
      <c r="BF948" s="6" t="s">
        <v>7476</v>
      </c>
      <c r="BG948" s="6" t="s">
        <v>4068</v>
      </c>
      <c r="BH948" s="6" t="s">
        <v>3317</v>
      </c>
      <c r="BI948" s="6" t="s">
        <v>178</v>
      </c>
      <c r="BJ948" s="6" t="s">
        <v>3318</v>
      </c>
      <c r="BK948" s="6" t="s">
        <v>3319</v>
      </c>
    </row>
    <row r="949" ht="22.5" customHeight="1">
      <c r="A949" s="4">
        <v>46229.70225290509</v>
      </c>
      <c r="B949" s="5">
        <v>0.0</v>
      </c>
      <c r="C949" s="6" t="s">
        <v>3296</v>
      </c>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6" t="s">
        <v>2791</v>
      </c>
      <c r="AI949" s="6" t="s">
        <v>2792</v>
      </c>
      <c r="AJ949" s="6">
        <v>6.9070503412E10</v>
      </c>
      <c r="AK949" s="6" t="s">
        <v>3297</v>
      </c>
      <c r="AL949" s="7"/>
      <c r="AM949" s="6" t="s">
        <v>3207</v>
      </c>
      <c r="AN949" s="6" t="s">
        <v>9771</v>
      </c>
      <c r="AO949" s="6" t="s">
        <v>9772</v>
      </c>
      <c r="AP949" s="6" t="s">
        <v>5222</v>
      </c>
      <c r="AQ949" s="6" t="s">
        <v>9773</v>
      </c>
      <c r="AR949" s="7"/>
      <c r="AS949" s="6" t="s">
        <v>9774</v>
      </c>
      <c r="AT949" s="6" t="s">
        <v>9775</v>
      </c>
      <c r="AU949" s="6" t="s">
        <v>9776</v>
      </c>
      <c r="AV949" s="6" t="s">
        <v>3306</v>
      </c>
      <c r="AW949" s="6" t="s">
        <v>3307</v>
      </c>
      <c r="AX949" s="6" t="s">
        <v>3887</v>
      </c>
      <c r="AY949" s="6" t="s">
        <v>3309</v>
      </c>
      <c r="AZ949" s="6" t="s">
        <v>3306</v>
      </c>
      <c r="BA949" s="6" t="s">
        <v>3311</v>
      </c>
      <c r="BB949" s="6" t="s">
        <v>3312</v>
      </c>
      <c r="BC949" s="6" t="s">
        <v>3313</v>
      </c>
      <c r="BD949" s="6" t="s">
        <v>165</v>
      </c>
      <c r="BE949" s="6" t="s">
        <v>3888</v>
      </c>
      <c r="BF949" s="6" t="s">
        <v>3315</v>
      </c>
      <c r="BG949" s="6" t="s">
        <v>4068</v>
      </c>
      <c r="BH949" s="6" t="s">
        <v>3317</v>
      </c>
      <c r="BI949" s="6" t="s">
        <v>271</v>
      </c>
      <c r="BJ949" s="6" t="s">
        <v>3318</v>
      </c>
      <c r="BK949" s="6" t="s">
        <v>3319</v>
      </c>
    </row>
    <row r="950" ht="22.5" customHeight="1">
      <c r="A950" s="4">
        <v>46229.70225916667</v>
      </c>
      <c r="B950" s="5">
        <v>0.0</v>
      </c>
      <c r="C950" s="6" t="s">
        <v>114</v>
      </c>
      <c r="D950" s="6" t="s">
        <v>2029</v>
      </c>
      <c r="E950" s="6" t="s">
        <v>2030</v>
      </c>
      <c r="F950" s="6">
        <v>6.9070508201E10</v>
      </c>
      <c r="G950" s="6" t="s">
        <v>730</v>
      </c>
      <c r="H950" s="7"/>
      <c r="I950" s="6" t="s">
        <v>9777</v>
      </c>
      <c r="J950" s="6" t="s">
        <v>9778</v>
      </c>
      <c r="K950" s="6" t="s">
        <v>9779</v>
      </c>
      <c r="L950" s="6" t="s">
        <v>9780</v>
      </c>
      <c r="M950" s="6" t="s">
        <v>9781</v>
      </c>
      <c r="N950" s="7"/>
      <c r="O950" s="6" t="s">
        <v>9782</v>
      </c>
      <c r="P950" s="6" t="s">
        <v>9783</v>
      </c>
      <c r="Q950" s="6" t="s">
        <v>9784</v>
      </c>
      <c r="R950" s="6" t="s">
        <v>145</v>
      </c>
      <c r="S950" s="6" t="s">
        <v>147</v>
      </c>
      <c r="T950" s="6" t="s">
        <v>250</v>
      </c>
      <c r="U950" s="6" t="s">
        <v>252</v>
      </c>
      <c r="V950" s="6" t="s">
        <v>246</v>
      </c>
      <c r="W950" s="6" t="s">
        <v>158</v>
      </c>
      <c r="X950" s="6" t="s">
        <v>161</v>
      </c>
      <c r="Y950" s="6" t="s">
        <v>162</v>
      </c>
      <c r="Z950" s="6" t="s">
        <v>165</v>
      </c>
      <c r="AA950" s="6" t="s">
        <v>262</v>
      </c>
      <c r="AB950" s="6" t="s">
        <v>521</v>
      </c>
      <c r="AC950" s="6" t="s">
        <v>1210</v>
      </c>
      <c r="AD950" s="6" t="s">
        <v>175</v>
      </c>
      <c r="AE950" s="6" t="s">
        <v>178</v>
      </c>
      <c r="AF950" s="6" t="s">
        <v>181</v>
      </c>
      <c r="AG950" s="6" t="s">
        <v>182</v>
      </c>
      <c r="AH950" s="7"/>
      <c r="AI950" s="7"/>
      <c r="AJ950" s="7"/>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c r="BJ950" s="7"/>
      <c r="BK950" s="7"/>
    </row>
    <row r="951" ht="22.5" customHeight="1">
      <c r="A951" s="4">
        <v>46229.70227072916</v>
      </c>
      <c r="B951" s="5">
        <v>0.0</v>
      </c>
      <c r="C951" s="6" t="s">
        <v>3296</v>
      </c>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6" t="s">
        <v>2793</v>
      </c>
      <c r="AI951" s="6" t="s">
        <v>2794</v>
      </c>
      <c r="AJ951" s="6">
        <v>6.9070509006E10</v>
      </c>
      <c r="AK951" s="6" t="s">
        <v>5042</v>
      </c>
      <c r="AL951" s="7"/>
      <c r="AM951" s="6" t="s">
        <v>9785</v>
      </c>
      <c r="AN951" s="6" t="s">
        <v>9786</v>
      </c>
      <c r="AO951" s="6" t="s">
        <v>9787</v>
      </c>
      <c r="AP951" s="6" t="s">
        <v>9788</v>
      </c>
      <c r="AQ951" s="6" t="s">
        <v>9789</v>
      </c>
      <c r="AR951" s="6" t="s">
        <v>9790</v>
      </c>
      <c r="AS951" s="6" t="s">
        <v>9791</v>
      </c>
      <c r="AT951" s="6" t="s">
        <v>9792</v>
      </c>
      <c r="AU951" s="6" t="s">
        <v>9793</v>
      </c>
      <c r="AV951" s="6" t="s">
        <v>8899</v>
      </c>
      <c r="AW951" s="6" t="s">
        <v>3307</v>
      </c>
      <c r="AX951" s="6" t="s">
        <v>3306</v>
      </c>
      <c r="AY951" s="6" t="s">
        <v>3309</v>
      </c>
      <c r="AZ951" s="6" t="s">
        <v>3310</v>
      </c>
      <c r="BA951" s="6" t="s">
        <v>3311</v>
      </c>
      <c r="BB951" s="6" t="s">
        <v>4693</v>
      </c>
      <c r="BC951" s="6" t="s">
        <v>3313</v>
      </c>
      <c r="BD951" s="6" t="s">
        <v>165</v>
      </c>
      <c r="BE951" s="6" t="s">
        <v>4341</v>
      </c>
      <c r="BF951" s="6" t="s">
        <v>3315</v>
      </c>
      <c r="BG951" s="6" t="s">
        <v>3316</v>
      </c>
      <c r="BH951" s="6" t="s">
        <v>3317</v>
      </c>
      <c r="BI951" s="6" t="s">
        <v>271</v>
      </c>
      <c r="BJ951" s="6" t="s">
        <v>3318</v>
      </c>
      <c r="BK951" s="6" t="s">
        <v>3319</v>
      </c>
    </row>
    <row r="952" ht="22.5" customHeight="1">
      <c r="A952" s="4">
        <v>46229.70227357639</v>
      </c>
      <c r="B952" s="5">
        <v>0.0</v>
      </c>
      <c r="C952" s="6" t="s">
        <v>3296</v>
      </c>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6" t="s">
        <v>2795</v>
      </c>
      <c r="AI952" s="6" t="s">
        <v>2796</v>
      </c>
      <c r="AJ952" s="6">
        <v>6.9070503483E10</v>
      </c>
      <c r="AK952" s="6" t="s">
        <v>3297</v>
      </c>
      <c r="AL952" s="6" t="s">
        <v>9753</v>
      </c>
      <c r="AM952" s="6" t="s">
        <v>9794</v>
      </c>
      <c r="AN952" s="6" t="s">
        <v>9795</v>
      </c>
      <c r="AO952" s="6" t="s">
        <v>9796</v>
      </c>
      <c r="AP952" s="6" t="s">
        <v>9797</v>
      </c>
      <c r="AQ952" s="6" t="s">
        <v>9798</v>
      </c>
      <c r="AR952" s="7"/>
      <c r="AS952" s="6" t="s">
        <v>9799</v>
      </c>
      <c r="AT952" s="6" t="s">
        <v>9800</v>
      </c>
      <c r="AU952" s="6" t="s">
        <v>9801</v>
      </c>
      <c r="AV952" s="6" t="s">
        <v>8899</v>
      </c>
      <c r="AW952" s="6" t="s">
        <v>3307</v>
      </c>
      <c r="AX952" s="6" t="s">
        <v>3887</v>
      </c>
      <c r="AY952" s="6" t="s">
        <v>4067</v>
      </c>
      <c r="AZ952" s="6" t="s">
        <v>3306</v>
      </c>
      <c r="BA952" s="6" t="s">
        <v>7430</v>
      </c>
      <c r="BB952" s="6" t="s">
        <v>6098</v>
      </c>
      <c r="BC952" s="6" t="s">
        <v>3313</v>
      </c>
      <c r="BD952" s="6" t="s">
        <v>804</v>
      </c>
      <c r="BE952" s="6" t="s">
        <v>3888</v>
      </c>
      <c r="BF952" s="6" t="s">
        <v>3315</v>
      </c>
      <c r="BG952" s="6" t="s">
        <v>4694</v>
      </c>
      <c r="BH952" s="6" t="s">
        <v>3317</v>
      </c>
      <c r="BI952" s="6" t="s">
        <v>178</v>
      </c>
      <c r="BJ952" s="6" t="s">
        <v>4068</v>
      </c>
      <c r="BK952" s="6" t="s">
        <v>3319</v>
      </c>
    </row>
    <row r="953" ht="22.5" customHeight="1">
      <c r="A953" s="4">
        <v>46229.70227892361</v>
      </c>
      <c r="B953" s="5">
        <v>0.0</v>
      </c>
      <c r="C953" s="6" t="s">
        <v>114</v>
      </c>
      <c r="D953" s="6" t="s">
        <v>2031</v>
      </c>
      <c r="E953" s="6" t="s">
        <v>2032</v>
      </c>
      <c r="F953" s="6">
        <v>6.9070501224E10</v>
      </c>
      <c r="G953" s="6" t="s">
        <v>228</v>
      </c>
      <c r="H953" s="7"/>
      <c r="I953" s="6" t="s">
        <v>9550</v>
      </c>
      <c r="J953" s="6" t="s">
        <v>9802</v>
      </c>
      <c r="K953" s="6" t="s">
        <v>9803</v>
      </c>
      <c r="L953" s="6" t="s">
        <v>9553</v>
      </c>
      <c r="M953" s="6" t="s">
        <v>9804</v>
      </c>
      <c r="N953" s="6" t="s">
        <v>9805</v>
      </c>
      <c r="O953" s="6" t="s">
        <v>9806</v>
      </c>
      <c r="P953" s="6" t="s">
        <v>9807</v>
      </c>
      <c r="Q953" s="6" t="s">
        <v>9808</v>
      </c>
      <c r="R953" s="6" t="s">
        <v>145</v>
      </c>
      <c r="S953" s="6" t="s">
        <v>147</v>
      </c>
      <c r="T953" s="6" t="s">
        <v>250</v>
      </c>
      <c r="U953" s="6" t="s">
        <v>252</v>
      </c>
      <c r="V953" s="6" t="s">
        <v>246</v>
      </c>
      <c r="W953" s="6" t="s">
        <v>158</v>
      </c>
      <c r="X953" s="6" t="s">
        <v>257</v>
      </c>
      <c r="Y953" s="6" t="s">
        <v>162</v>
      </c>
      <c r="Z953" s="6" t="s">
        <v>152</v>
      </c>
      <c r="AA953" s="6" t="s">
        <v>262</v>
      </c>
      <c r="AB953" s="6" t="s">
        <v>171</v>
      </c>
      <c r="AC953" s="6" t="s">
        <v>1669</v>
      </c>
      <c r="AD953" s="6" t="s">
        <v>1723</v>
      </c>
      <c r="AE953" s="6" t="s">
        <v>524</v>
      </c>
      <c r="AF953" s="6" t="s">
        <v>181</v>
      </c>
      <c r="AG953" s="6" t="s">
        <v>182</v>
      </c>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row>
    <row r="954" ht="22.5" customHeight="1">
      <c r="A954" s="4">
        <v>46229.70228201389</v>
      </c>
      <c r="B954" s="5">
        <v>0.0</v>
      </c>
      <c r="C954" s="6" t="s">
        <v>3296</v>
      </c>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6" t="s">
        <v>2797</v>
      </c>
      <c r="AI954" s="6" t="s">
        <v>2798</v>
      </c>
      <c r="AJ954" s="6">
        <v>6.9070509203E10</v>
      </c>
      <c r="AK954" s="6" t="s">
        <v>4331</v>
      </c>
      <c r="AL954" s="7"/>
      <c r="AM954" s="6" t="s">
        <v>9574</v>
      </c>
      <c r="AN954" s="6" t="s">
        <v>9809</v>
      </c>
      <c r="AO954" s="6" t="s">
        <v>9810</v>
      </c>
      <c r="AP954" s="6" t="s">
        <v>9811</v>
      </c>
      <c r="AQ954" s="6" t="s">
        <v>9812</v>
      </c>
      <c r="AR954" s="7"/>
      <c r="AS954" s="6" t="s">
        <v>9813</v>
      </c>
      <c r="AT954" s="6" t="s">
        <v>9814</v>
      </c>
      <c r="AU954" s="6" t="s">
        <v>9815</v>
      </c>
      <c r="AV954" s="6" t="s">
        <v>3306</v>
      </c>
      <c r="AW954" s="6" t="s">
        <v>3307</v>
      </c>
      <c r="AX954" s="6" t="s">
        <v>3887</v>
      </c>
      <c r="AY954" s="6" t="s">
        <v>5759</v>
      </c>
      <c r="AZ954" s="6" t="s">
        <v>3306</v>
      </c>
      <c r="BA954" s="6" t="s">
        <v>3311</v>
      </c>
      <c r="BB954" s="6" t="s">
        <v>3312</v>
      </c>
      <c r="BC954" s="6" t="s">
        <v>3313</v>
      </c>
      <c r="BD954" s="6" t="s">
        <v>165</v>
      </c>
      <c r="BE954" s="6" t="s">
        <v>3888</v>
      </c>
      <c r="BF954" s="6" t="s">
        <v>3315</v>
      </c>
      <c r="BG954" s="6" t="s">
        <v>4068</v>
      </c>
      <c r="BH954" s="6" t="s">
        <v>3317</v>
      </c>
      <c r="BI954" s="6" t="s">
        <v>178</v>
      </c>
      <c r="BJ954" s="6" t="s">
        <v>3318</v>
      </c>
      <c r="BK954" s="6" t="s">
        <v>3319</v>
      </c>
    </row>
    <row r="955" ht="22.5" customHeight="1">
      <c r="A955" s="4">
        <v>46229.70228865741</v>
      </c>
      <c r="B955" s="5">
        <v>0.0</v>
      </c>
      <c r="C955" s="6" t="s">
        <v>3296</v>
      </c>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6" t="s">
        <v>2799</v>
      </c>
      <c r="AI955" s="6" t="s">
        <v>2800</v>
      </c>
      <c r="AJ955" s="6">
        <v>6.9070509216E10</v>
      </c>
      <c r="AK955" s="6" t="s">
        <v>4331</v>
      </c>
      <c r="AL955" s="7"/>
      <c r="AM955" s="6" t="s">
        <v>9275</v>
      </c>
      <c r="AN955" s="6" t="s">
        <v>9816</v>
      </c>
      <c r="AO955" s="6" t="s">
        <v>6723</v>
      </c>
      <c r="AP955" s="6" t="s">
        <v>8495</v>
      </c>
      <c r="AQ955" s="6" t="s">
        <v>6725</v>
      </c>
      <c r="AR955" s="7"/>
      <c r="AS955" s="6" t="s">
        <v>9817</v>
      </c>
      <c r="AT955" s="6" t="s">
        <v>9818</v>
      </c>
      <c r="AU955" s="6" t="s">
        <v>9819</v>
      </c>
      <c r="AV955" s="6" t="s">
        <v>3306</v>
      </c>
      <c r="AW955" s="6" t="s">
        <v>3307</v>
      </c>
      <c r="AX955" s="6" t="s">
        <v>4887</v>
      </c>
      <c r="AY955" s="6" t="s">
        <v>3309</v>
      </c>
      <c r="AZ955" s="6" t="s">
        <v>3310</v>
      </c>
      <c r="BA955" s="6" t="s">
        <v>3311</v>
      </c>
      <c r="BB955" s="6" t="s">
        <v>3312</v>
      </c>
      <c r="BC955" s="6" t="s">
        <v>3313</v>
      </c>
      <c r="BD955" s="6" t="s">
        <v>165</v>
      </c>
      <c r="BE955" s="6" t="s">
        <v>3888</v>
      </c>
      <c r="BF955" s="6" t="s">
        <v>3315</v>
      </c>
      <c r="BG955" s="6" t="s">
        <v>4068</v>
      </c>
      <c r="BH955" s="6" t="s">
        <v>3317</v>
      </c>
      <c r="BI955" s="6" t="s">
        <v>271</v>
      </c>
      <c r="BJ955" s="6" t="s">
        <v>4068</v>
      </c>
      <c r="BK955" s="6" t="s">
        <v>3319</v>
      </c>
    </row>
    <row r="956" ht="22.5" customHeight="1">
      <c r="A956" s="4">
        <v>46229.70229240741</v>
      </c>
      <c r="B956" s="5">
        <v>0.0</v>
      </c>
      <c r="C956" s="6" t="s">
        <v>114</v>
      </c>
      <c r="D956" s="6" t="s">
        <v>2033</v>
      </c>
      <c r="E956" s="6" t="s">
        <v>2034</v>
      </c>
      <c r="F956" s="6">
        <v>6.9070500259E10</v>
      </c>
      <c r="G956" s="6" t="s">
        <v>599</v>
      </c>
      <c r="H956" s="7"/>
      <c r="I956" s="6" t="s">
        <v>3163</v>
      </c>
      <c r="J956" s="6" t="s">
        <v>9820</v>
      </c>
      <c r="K956" s="6" t="s">
        <v>9821</v>
      </c>
      <c r="L956" s="6" t="s">
        <v>6099</v>
      </c>
      <c r="M956" s="6" t="s">
        <v>3161</v>
      </c>
      <c r="N956" s="7"/>
      <c r="O956" s="6" t="s">
        <v>9822</v>
      </c>
      <c r="P956" s="6" t="s">
        <v>9823</v>
      </c>
      <c r="Q956" s="6" t="s">
        <v>9824</v>
      </c>
      <c r="R956" s="6" t="s">
        <v>246</v>
      </c>
      <c r="S956" s="6" t="s">
        <v>147</v>
      </c>
      <c r="T956" s="6" t="s">
        <v>250</v>
      </c>
      <c r="U956" s="6" t="s">
        <v>686</v>
      </c>
      <c r="V956" s="6" t="s">
        <v>246</v>
      </c>
      <c r="W956" s="6" t="s">
        <v>158</v>
      </c>
      <c r="X956" s="6" t="s">
        <v>257</v>
      </c>
      <c r="Y956" s="6" t="s">
        <v>162</v>
      </c>
      <c r="Z956" s="6" t="s">
        <v>165</v>
      </c>
      <c r="AA956" s="6" t="s">
        <v>262</v>
      </c>
      <c r="AB956" s="6" t="s">
        <v>171</v>
      </c>
      <c r="AC956" s="6" t="s">
        <v>174</v>
      </c>
      <c r="AD956" s="6" t="s">
        <v>175</v>
      </c>
      <c r="AE956" s="6" t="s">
        <v>271</v>
      </c>
      <c r="AF956" s="6" t="s">
        <v>181</v>
      </c>
      <c r="AG956" s="6" t="s">
        <v>182</v>
      </c>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row>
    <row r="957" ht="22.5" customHeight="1">
      <c r="A957" s="4">
        <v>46229.70229826389</v>
      </c>
      <c r="B957" s="5">
        <v>0.0</v>
      </c>
      <c r="C957" s="6" t="s">
        <v>114</v>
      </c>
      <c r="D957" s="6" t="s">
        <v>2035</v>
      </c>
      <c r="E957" s="6" t="s">
        <v>2036</v>
      </c>
      <c r="F957" s="6">
        <v>6.9070508827E10</v>
      </c>
      <c r="G957" s="6" t="s">
        <v>5399</v>
      </c>
      <c r="H957" s="7"/>
      <c r="I957" s="6" t="s">
        <v>9825</v>
      </c>
      <c r="J957" s="6" t="s">
        <v>6916</v>
      </c>
      <c r="K957" s="6" t="s">
        <v>9826</v>
      </c>
      <c r="L957" s="6" t="s">
        <v>9827</v>
      </c>
      <c r="M957" s="6" t="s">
        <v>9828</v>
      </c>
      <c r="N957" s="6" t="s">
        <v>6506</v>
      </c>
      <c r="O957" s="6" t="s">
        <v>9829</v>
      </c>
      <c r="P957" s="6" t="s">
        <v>9830</v>
      </c>
      <c r="Q957" s="6" t="s">
        <v>9831</v>
      </c>
      <c r="R957" s="6" t="s">
        <v>246</v>
      </c>
      <c r="S957" s="6" t="s">
        <v>147</v>
      </c>
      <c r="T957" s="6" t="s">
        <v>246</v>
      </c>
      <c r="U957" s="6" t="s">
        <v>152</v>
      </c>
      <c r="V957" s="6" t="s">
        <v>155</v>
      </c>
      <c r="W957" s="6" t="s">
        <v>158</v>
      </c>
      <c r="X957" s="6" t="s">
        <v>257</v>
      </c>
      <c r="Y957" s="6" t="s">
        <v>162</v>
      </c>
      <c r="Z957" s="6" t="s">
        <v>165</v>
      </c>
      <c r="AA957" s="6" t="s">
        <v>262</v>
      </c>
      <c r="AB957" s="6" t="s">
        <v>171</v>
      </c>
      <c r="AC957" s="6" t="s">
        <v>174</v>
      </c>
      <c r="AD957" s="6" t="s">
        <v>175</v>
      </c>
      <c r="AE957" s="6" t="s">
        <v>178</v>
      </c>
      <c r="AF957" s="6" t="s">
        <v>181</v>
      </c>
      <c r="AG957" s="6" t="s">
        <v>182</v>
      </c>
      <c r="AH957" s="7"/>
      <c r="AI957" s="7"/>
      <c r="AJ957" s="7"/>
      <c r="AK957" s="7"/>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c r="BJ957" s="7"/>
      <c r="BK957" s="7"/>
    </row>
    <row r="958" ht="22.5" customHeight="1">
      <c r="A958" s="4">
        <v>46229.70230362269</v>
      </c>
      <c r="B958" s="5">
        <v>0.0</v>
      </c>
      <c r="C958" s="6" t="s">
        <v>114</v>
      </c>
      <c r="D958" s="6" t="s">
        <v>1714</v>
      </c>
      <c r="E958" s="6" t="s">
        <v>2037</v>
      </c>
      <c r="F958" s="6">
        <v>6.9070500884E10</v>
      </c>
      <c r="G958" s="6" t="s">
        <v>496</v>
      </c>
      <c r="H958" s="7"/>
      <c r="I958" s="6" t="s">
        <v>9832</v>
      </c>
      <c r="J958" s="6" t="s">
        <v>9833</v>
      </c>
      <c r="K958" s="6" t="s">
        <v>8594</v>
      </c>
      <c r="L958" s="6" t="s">
        <v>8580</v>
      </c>
      <c r="M958" s="6" t="s">
        <v>6732</v>
      </c>
      <c r="N958" s="7"/>
      <c r="O958" s="6" t="s">
        <v>9834</v>
      </c>
      <c r="P958" s="6" t="s">
        <v>9835</v>
      </c>
      <c r="Q958" s="6" t="s">
        <v>9836</v>
      </c>
      <c r="R958" s="6" t="s">
        <v>246</v>
      </c>
      <c r="S958" s="6" t="s">
        <v>147</v>
      </c>
      <c r="T958" s="6" t="s">
        <v>250</v>
      </c>
      <c r="U958" s="6" t="s">
        <v>560</v>
      </c>
      <c r="V958" s="6" t="s">
        <v>246</v>
      </c>
      <c r="W958" s="6" t="s">
        <v>158</v>
      </c>
      <c r="X958" s="6" t="s">
        <v>257</v>
      </c>
      <c r="Y958" s="6" t="s">
        <v>162</v>
      </c>
      <c r="Z958" s="6" t="s">
        <v>165</v>
      </c>
      <c r="AA958" s="6" t="s">
        <v>262</v>
      </c>
      <c r="AB958" s="6" t="s">
        <v>171</v>
      </c>
      <c r="AC958" s="6" t="s">
        <v>174</v>
      </c>
      <c r="AD958" s="6" t="s">
        <v>175</v>
      </c>
      <c r="AE958" s="6" t="s">
        <v>271</v>
      </c>
      <c r="AF958" s="6" t="s">
        <v>181</v>
      </c>
      <c r="AG958" s="6" t="s">
        <v>182</v>
      </c>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row>
    <row r="959" ht="22.5" customHeight="1">
      <c r="A959" s="4">
        <v>46229.70230396991</v>
      </c>
      <c r="B959" s="5">
        <v>0.0</v>
      </c>
      <c r="C959" s="6" t="s">
        <v>114</v>
      </c>
      <c r="D959" s="6" t="s">
        <v>2038</v>
      </c>
      <c r="E959" s="6" t="s">
        <v>2039</v>
      </c>
      <c r="F959" s="6">
        <v>6.9070508832E10</v>
      </c>
      <c r="G959" s="6" t="s">
        <v>5399</v>
      </c>
      <c r="H959" s="6" t="s">
        <v>9837</v>
      </c>
      <c r="I959" s="6" t="s">
        <v>9838</v>
      </c>
      <c r="J959" s="6" t="s">
        <v>9839</v>
      </c>
      <c r="K959" s="6" t="s">
        <v>9840</v>
      </c>
      <c r="L959" s="6" t="s">
        <v>9841</v>
      </c>
      <c r="M959" s="6" t="s">
        <v>9842</v>
      </c>
      <c r="N959" s="6" t="s">
        <v>9843</v>
      </c>
      <c r="O959" s="6" t="s">
        <v>9844</v>
      </c>
      <c r="P959" s="6" t="s">
        <v>9845</v>
      </c>
      <c r="Q959" s="6" t="s">
        <v>9846</v>
      </c>
      <c r="R959" s="6" t="s">
        <v>4653</v>
      </c>
      <c r="S959" s="6" t="s">
        <v>147</v>
      </c>
      <c r="T959" s="6" t="s">
        <v>250</v>
      </c>
      <c r="U959" s="6" t="s">
        <v>2254</v>
      </c>
      <c r="V959" s="6" t="s">
        <v>2302</v>
      </c>
      <c r="W959" s="6" t="s">
        <v>158</v>
      </c>
      <c r="X959" s="6" t="s">
        <v>257</v>
      </c>
      <c r="Y959" s="6" t="s">
        <v>162</v>
      </c>
      <c r="Z959" s="6" t="s">
        <v>165</v>
      </c>
      <c r="AA959" s="6" t="s">
        <v>262</v>
      </c>
      <c r="AB959" s="6" t="s">
        <v>1266</v>
      </c>
      <c r="AC959" s="6" t="s">
        <v>174</v>
      </c>
      <c r="AD959" s="6" t="s">
        <v>175</v>
      </c>
      <c r="AE959" s="6" t="s">
        <v>524</v>
      </c>
      <c r="AF959" s="6" t="s">
        <v>181</v>
      </c>
      <c r="AG959" s="6" t="s">
        <v>182</v>
      </c>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row>
    <row r="960" ht="22.5" customHeight="1">
      <c r="A960" s="4">
        <v>46229.70233130787</v>
      </c>
      <c r="B960" s="5">
        <v>0.0</v>
      </c>
      <c r="C960" s="6" t="s">
        <v>114</v>
      </c>
      <c r="D960" s="6" t="s">
        <v>2040</v>
      </c>
      <c r="E960" s="6" t="s">
        <v>2041</v>
      </c>
      <c r="F960" s="6">
        <v>6.907050028E10</v>
      </c>
      <c r="G960" s="6" t="s">
        <v>599</v>
      </c>
      <c r="H960" s="7"/>
      <c r="I960" s="6" t="s">
        <v>3564</v>
      </c>
      <c r="J960" s="6" t="s">
        <v>9847</v>
      </c>
      <c r="K960" s="6" t="s">
        <v>9848</v>
      </c>
      <c r="L960" s="6" t="s">
        <v>9849</v>
      </c>
      <c r="M960" s="6" t="s">
        <v>9850</v>
      </c>
      <c r="N960" s="6" t="s">
        <v>9851</v>
      </c>
      <c r="O960" s="6" t="s">
        <v>9852</v>
      </c>
      <c r="P960" s="6" t="s">
        <v>9853</v>
      </c>
      <c r="Q960" s="6" t="s">
        <v>9854</v>
      </c>
      <c r="R960" s="6" t="s">
        <v>246</v>
      </c>
      <c r="S960" s="6" t="s">
        <v>147</v>
      </c>
      <c r="T960" s="6" t="s">
        <v>250</v>
      </c>
      <c r="U960" s="6" t="s">
        <v>560</v>
      </c>
      <c r="V960" s="6" t="s">
        <v>155</v>
      </c>
      <c r="W960" s="6" t="s">
        <v>158</v>
      </c>
      <c r="X960" s="6" t="s">
        <v>257</v>
      </c>
      <c r="Y960" s="6" t="s">
        <v>162</v>
      </c>
      <c r="Z960" s="6" t="s">
        <v>165</v>
      </c>
      <c r="AA960" s="6" t="s">
        <v>262</v>
      </c>
      <c r="AB960" s="6" t="s">
        <v>171</v>
      </c>
      <c r="AC960" s="6" t="s">
        <v>174</v>
      </c>
      <c r="AD960" s="6" t="s">
        <v>175</v>
      </c>
      <c r="AE960" s="6" t="s">
        <v>271</v>
      </c>
      <c r="AF960" s="6" t="s">
        <v>181</v>
      </c>
      <c r="AG960" s="6" t="s">
        <v>182</v>
      </c>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row>
    <row r="961" ht="22.5" customHeight="1">
      <c r="A961" s="4">
        <v>46229.70233201389</v>
      </c>
      <c r="B961" s="5">
        <v>0.0</v>
      </c>
      <c r="C961" s="6" t="s">
        <v>114</v>
      </c>
      <c r="D961" s="6" t="s">
        <v>920</v>
      </c>
      <c r="E961" s="6" t="s">
        <v>2042</v>
      </c>
      <c r="F961" s="6">
        <v>6.9070502419E10</v>
      </c>
      <c r="G961" s="6" t="s">
        <v>122</v>
      </c>
      <c r="H961" s="7"/>
      <c r="I961" s="6" t="s">
        <v>9855</v>
      </c>
      <c r="J961" s="6" t="s">
        <v>6699</v>
      </c>
      <c r="K961" s="6" t="s">
        <v>9856</v>
      </c>
      <c r="L961" s="6" t="s">
        <v>5657</v>
      </c>
      <c r="M961" s="6" t="s">
        <v>5936</v>
      </c>
      <c r="N961" s="6" t="s">
        <v>7519</v>
      </c>
      <c r="O961" s="6" t="s">
        <v>9857</v>
      </c>
      <c r="P961" s="6" t="s">
        <v>9858</v>
      </c>
      <c r="Q961" s="6" t="s">
        <v>9859</v>
      </c>
      <c r="R961" s="6" t="s">
        <v>246</v>
      </c>
      <c r="S961" s="6" t="s">
        <v>147</v>
      </c>
      <c r="T961" s="6" t="s">
        <v>250</v>
      </c>
      <c r="U961" s="6" t="s">
        <v>560</v>
      </c>
      <c r="V961" s="6" t="s">
        <v>246</v>
      </c>
      <c r="W961" s="6" t="s">
        <v>158</v>
      </c>
      <c r="X961" s="6" t="s">
        <v>257</v>
      </c>
      <c r="Y961" s="6" t="s">
        <v>162</v>
      </c>
      <c r="Z961" s="6" t="s">
        <v>165</v>
      </c>
      <c r="AA961" s="6" t="s">
        <v>262</v>
      </c>
      <c r="AB961" s="6" t="s">
        <v>171</v>
      </c>
      <c r="AC961" s="6" t="s">
        <v>174</v>
      </c>
      <c r="AD961" s="6" t="s">
        <v>175</v>
      </c>
      <c r="AE961" s="6" t="s">
        <v>271</v>
      </c>
      <c r="AF961" s="6" t="s">
        <v>181</v>
      </c>
      <c r="AG961" s="6" t="s">
        <v>182</v>
      </c>
      <c r="AH961" s="7"/>
      <c r="AI961" s="7"/>
      <c r="AJ961" s="7"/>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c r="BJ961" s="7"/>
      <c r="BK961" s="7"/>
    </row>
    <row r="962" ht="22.5" customHeight="1">
      <c r="A962" s="4">
        <v>46229.70237277778</v>
      </c>
      <c r="B962" s="5">
        <v>0.0</v>
      </c>
      <c r="C962" s="6" t="s">
        <v>114</v>
      </c>
      <c r="D962" s="6" t="s">
        <v>68</v>
      </c>
      <c r="E962" s="6" t="s">
        <v>2043</v>
      </c>
      <c r="F962" s="6">
        <v>6.9070500636E10</v>
      </c>
      <c r="G962" s="6" t="s">
        <v>6140</v>
      </c>
      <c r="H962" s="6" t="s">
        <v>2633</v>
      </c>
      <c r="I962" s="6" t="s">
        <v>9860</v>
      </c>
      <c r="J962" s="6" t="s">
        <v>9861</v>
      </c>
      <c r="K962" s="6" t="s">
        <v>9862</v>
      </c>
      <c r="L962" s="6" t="s">
        <v>9863</v>
      </c>
      <c r="M962" s="6" t="s">
        <v>9864</v>
      </c>
      <c r="N962" s="6" t="s">
        <v>2633</v>
      </c>
      <c r="O962" s="6" t="s">
        <v>9865</v>
      </c>
      <c r="P962" s="6" t="s">
        <v>9866</v>
      </c>
      <c r="Q962" s="6" t="s">
        <v>9867</v>
      </c>
      <c r="R962" s="6" t="s">
        <v>246</v>
      </c>
      <c r="S962" s="6" t="s">
        <v>147</v>
      </c>
      <c r="T962" s="6" t="s">
        <v>516</v>
      </c>
      <c r="U962" s="6" t="s">
        <v>686</v>
      </c>
      <c r="V962" s="6" t="s">
        <v>246</v>
      </c>
      <c r="W962" s="6" t="s">
        <v>158</v>
      </c>
      <c r="X962" s="6" t="s">
        <v>257</v>
      </c>
      <c r="Y962" s="6" t="s">
        <v>162</v>
      </c>
      <c r="Z962" s="6" t="s">
        <v>165</v>
      </c>
      <c r="AA962" s="6" t="s">
        <v>262</v>
      </c>
      <c r="AB962" s="6" t="s">
        <v>171</v>
      </c>
      <c r="AC962" s="6" t="s">
        <v>1210</v>
      </c>
      <c r="AD962" s="6" t="s">
        <v>175</v>
      </c>
      <c r="AE962" s="6" t="s">
        <v>271</v>
      </c>
      <c r="AF962" s="6" t="s">
        <v>181</v>
      </c>
      <c r="AG962" s="6" t="s">
        <v>182</v>
      </c>
      <c r="AH962" s="7"/>
      <c r="AI962" s="7"/>
      <c r="AJ962" s="7"/>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c r="BJ962" s="7"/>
      <c r="BK962" s="7"/>
    </row>
    <row r="963" ht="22.5" customHeight="1">
      <c r="A963" s="4">
        <v>46229.70238052083</v>
      </c>
      <c r="B963" s="5">
        <v>0.0</v>
      </c>
      <c r="C963" s="6" t="s">
        <v>114</v>
      </c>
      <c r="D963" s="6" t="s">
        <v>2044</v>
      </c>
      <c r="E963" s="6" t="s">
        <v>2045</v>
      </c>
      <c r="F963" s="6">
        <v>6.9070502463E10</v>
      </c>
      <c r="G963" s="6" t="s">
        <v>122</v>
      </c>
      <c r="H963" s="6" t="s">
        <v>9868</v>
      </c>
      <c r="I963" s="6" t="s">
        <v>9869</v>
      </c>
      <c r="J963" s="6" t="s">
        <v>9870</v>
      </c>
      <c r="K963" s="6" t="s">
        <v>9871</v>
      </c>
      <c r="L963" s="6" t="s">
        <v>9872</v>
      </c>
      <c r="M963" s="6" t="s">
        <v>9873</v>
      </c>
      <c r="N963" s="6" t="s">
        <v>9874</v>
      </c>
      <c r="O963" s="6" t="s">
        <v>9875</v>
      </c>
      <c r="P963" s="6" t="s">
        <v>9876</v>
      </c>
      <c r="Q963" s="6" t="s">
        <v>9877</v>
      </c>
      <c r="R963" s="6" t="s">
        <v>246</v>
      </c>
      <c r="S963" s="6" t="s">
        <v>147</v>
      </c>
      <c r="T963" s="6" t="s">
        <v>250</v>
      </c>
      <c r="U963" s="6" t="s">
        <v>560</v>
      </c>
      <c r="V963" s="6" t="s">
        <v>246</v>
      </c>
      <c r="W963" s="6" t="s">
        <v>158</v>
      </c>
      <c r="X963" s="6" t="s">
        <v>458</v>
      </c>
      <c r="Y963" s="6" t="s">
        <v>162</v>
      </c>
      <c r="Z963" s="6" t="s">
        <v>165</v>
      </c>
      <c r="AA963" s="6" t="s">
        <v>262</v>
      </c>
      <c r="AB963" s="6" t="s">
        <v>521</v>
      </c>
      <c r="AC963" s="6" t="s">
        <v>174</v>
      </c>
      <c r="AD963" s="6" t="s">
        <v>175</v>
      </c>
      <c r="AE963" s="6" t="s">
        <v>271</v>
      </c>
      <c r="AF963" s="6" t="s">
        <v>181</v>
      </c>
      <c r="AG963" s="6" t="s">
        <v>182</v>
      </c>
      <c r="AH963" s="7"/>
      <c r="AI963" s="7"/>
      <c r="AJ963" s="7"/>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c r="BJ963" s="7"/>
      <c r="BK963" s="7"/>
    </row>
    <row r="964" ht="22.5" customHeight="1">
      <c r="A964" s="4">
        <v>46229.70238582176</v>
      </c>
      <c r="B964" s="5">
        <v>0.0</v>
      </c>
      <c r="C964" s="6" t="s">
        <v>114</v>
      </c>
      <c r="D964" s="6" t="s">
        <v>2046</v>
      </c>
      <c r="E964" s="6" t="s">
        <v>2047</v>
      </c>
      <c r="F964" s="6">
        <v>6.9070502446E10</v>
      </c>
      <c r="G964" s="6" t="s">
        <v>122</v>
      </c>
      <c r="H964" s="6" t="s">
        <v>7521</v>
      </c>
      <c r="I964" s="6" t="s">
        <v>7519</v>
      </c>
      <c r="J964" s="6" t="s">
        <v>9878</v>
      </c>
      <c r="K964" s="6" t="s">
        <v>9879</v>
      </c>
      <c r="L964" s="6" t="s">
        <v>9880</v>
      </c>
      <c r="M964" s="6" t="s">
        <v>9003</v>
      </c>
      <c r="N964" s="7"/>
      <c r="O964" s="6" t="s">
        <v>9881</v>
      </c>
      <c r="P964" s="6" t="s">
        <v>9882</v>
      </c>
      <c r="Q964" s="6" t="s">
        <v>9883</v>
      </c>
      <c r="R964" s="6" t="s">
        <v>257</v>
      </c>
      <c r="S964" s="6" t="s">
        <v>147</v>
      </c>
      <c r="T964" s="6" t="s">
        <v>250</v>
      </c>
      <c r="U964" s="6" t="s">
        <v>560</v>
      </c>
      <c r="V964" s="6" t="s">
        <v>246</v>
      </c>
      <c r="W964" s="6" t="s">
        <v>158</v>
      </c>
      <c r="X964" s="6" t="s">
        <v>257</v>
      </c>
      <c r="Y964" s="6" t="s">
        <v>162</v>
      </c>
      <c r="Z964" s="6" t="s">
        <v>165</v>
      </c>
      <c r="AA964" s="6" t="s">
        <v>262</v>
      </c>
      <c r="AB964" s="6" t="s">
        <v>521</v>
      </c>
      <c r="AC964" s="6" t="s">
        <v>174</v>
      </c>
      <c r="AD964" s="6" t="s">
        <v>175</v>
      </c>
      <c r="AE964" s="6" t="s">
        <v>271</v>
      </c>
      <c r="AF964" s="6" t="s">
        <v>181</v>
      </c>
      <c r="AG964" s="6" t="s">
        <v>182</v>
      </c>
      <c r="AH964" s="7"/>
      <c r="AI964" s="7"/>
      <c r="AJ964" s="7"/>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c r="BJ964" s="7"/>
      <c r="BK964" s="7"/>
    </row>
    <row r="965" ht="22.5" customHeight="1">
      <c r="A965" s="4">
        <v>46229.70238737269</v>
      </c>
      <c r="B965" s="5">
        <v>0.0</v>
      </c>
      <c r="C965" s="6" t="s">
        <v>114</v>
      </c>
      <c r="D965" s="6" t="s">
        <v>2048</v>
      </c>
      <c r="E965" s="6" t="s">
        <v>2049</v>
      </c>
      <c r="F965" s="6">
        <v>6.9070501206E10</v>
      </c>
      <c r="G965" s="6" t="s">
        <v>228</v>
      </c>
      <c r="H965" s="7"/>
      <c r="I965" s="6" t="s">
        <v>9884</v>
      </c>
      <c r="J965" s="6" t="s">
        <v>4429</v>
      </c>
      <c r="K965" s="6" t="s">
        <v>1757</v>
      </c>
      <c r="L965" s="6" t="s">
        <v>6021</v>
      </c>
      <c r="M965" s="6" t="s">
        <v>3872</v>
      </c>
      <c r="N965" s="7"/>
      <c r="O965" s="6" t="s">
        <v>9885</v>
      </c>
      <c r="P965" s="6" t="s">
        <v>9886</v>
      </c>
      <c r="Q965" s="6" t="s">
        <v>9887</v>
      </c>
      <c r="R965" s="6" t="s">
        <v>246</v>
      </c>
      <c r="S965" s="6" t="s">
        <v>147</v>
      </c>
      <c r="T965" s="6" t="s">
        <v>250</v>
      </c>
      <c r="U965" s="6" t="s">
        <v>152</v>
      </c>
      <c r="V965" s="6" t="s">
        <v>246</v>
      </c>
      <c r="W965" s="6" t="s">
        <v>158</v>
      </c>
      <c r="X965" s="6" t="s">
        <v>257</v>
      </c>
      <c r="Y965" s="6" t="s">
        <v>162</v>
      </c>
      <c r="Z965" s="6" t="s">
        <v>165</v>
      </c>
      <c r="AA965" s="6" t="s">
        <v>262</v>
      </c>
      <c r="AB965" s="6" t="s">
        <v>171</v>
      </c>
      <c r="AC965" s="6" t="s">
        <v>174</v>
      </c>
      <c r="AD965" s="6" t="s">
        <v>175</v>
      </c>
      <c r="AE965" s="6" t="s">
        <v>271</v>
      </c>
      <c r="AF965" s="6" t="s">
        <v>181</v>
      </c>
      <c r="AG965" s="6" t="s">
        <v>182</v>
      </c>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row>
    <row r="966" ht="22.5" customHeight="1">
      <c r="A966" s="4">
        <v>46229.70240085648</v>
      </c>
      <c r="B966" s="5">
        <v>0.0</v>
      </c>
      <c r="C966" s="6" t="s">
        <v>114</v>
      </c>
      <c r="D966" s="6" t="s">
        <v>2050</v>
      </c>
      <c r="E966" s="6" t="s">
        <v>2051</v>
      </c>
      <c r="F966" s="6">
        <v>6.9070500064E10</v>
      </c>
      <c r="G966" s="6" t="s">
        <v>4580</v>
      </c>
      <c r="H966" s="7"/>
      <c r="I966" s="6" t="s">
        <v>9888</v>
      </c>
      <c r="J966" s="6" t="s">
        <v>9889</v>
      </c>
      <c r="K966" s="6" t="s">
        <v>9890</v>
      </c>
      <c r="L966" s="6" t="s">
        <v>9891</v>
      </c>
      <c r="M966" s="6" t="s">
        <v>9892</v>
      </c>
      <c r="N966" s="6" t="s">
        <v>5989</v>
      </c>
      <c r="O966" s="6" t="s">
        <v>9893</v>
      </c>
      <c r="P966" s="6" t="s">
        <v>9894</v>
      </c>
      <c r="Q966" s="6" t="s">
        <v>9895</v>
      </c>
      <c r="R966" s="6" t="s">
        <v>257</v>
      </c>
      <c r="S966" s="6" t="s">
        <v>147</v>
      </c>
      <c r="T966" s="6" t="s">
        <v>516</v>
      </c>
      <c r="U966" s="6" t="s">
        <v>560</v>
      </c>
      <c r="V966" s="6" t="s">
        <v>155</v>
      </c>
      <c r="W966" s="6" t="s">
        <v>158</v>
      </c>
      <c r="X966" s="6" t="s">
        <v>257</v>
      </c>
      <c r="Y966" s="6" t="s">
        <v>162</v>
      </c>
      <c r="Z966" s="6" t="s">
        <v>165</v>
      </c>
      <c r="AA966" s="6" t="s">
        <v>262</v>
      </c>
      <c r="AB966" s="6" t="s">
        <v>521</v>
      </c>
      <c r="AC966" s="6" t="s">
        <v>1669</v>
      </c>
      <c r="AD966" s="6" t="s">
        <v>175</v>
      </c>
      <c r="AE966" s="6" t="s">
        <v>271</v>
      </c>
      <c r="AF966" s="6" t="s">
        <v>181</v>
      </c>
      <c r="AG966" s="6" t="s">
        <v>182</v>
      </c>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row>
    <row r="967" ht="22.5" customHeight="1">
      <c r="A967" s="4">
        <v>46229.7024022338</v>
      </c>
      <c r="B967" s="5">
        <v>0.0</v>
      </c>
      <c r="C967" s="6" t="s">
        <v>114</v>
      </c>
      <c r="D967" s="6" t="s">
        <v>2052</v>
      </c>
      <c r="E967" s="6" t="s">
        <v>2053</v>
      </c>
      <c r="F967" s="6">
        <v>6.9070509639E10</v>
      </c>
      <c r="G967" s="6" t="s">
        <v>730</v>
      </c>
      <c r="H967" s="7"/>
      <c r="I967" s="6" t="s">
        <v>9896</v>
      </c>
      <c r="J967" s="6" t="s">
        <v>9897</v>
      </c>
      <c r="K967" s="6" t="s">
        <v>6556</v>
      </c>
      <c r="L967" s="6" t="s">
        <v>9898</v>
      </c>
      <c r="M967" s="6" t="s">
        <v>9899</v>
      </c>
      <c r="N967" s="6" t="s">
        <v>8717</v>
      </c>
      <c r="O967" s="6" t="s">
        <v>9900</v>
      </c>
      <c r="P967" s="6" t="s">
        <v>9901</v>
      </c>
      <c r="Q967" s="6" t="s">
        <v>9902</v>
      </c>
      <c r="R967" s="6" t="s">
        <v>246</v>
      </c>
      <c r="S967" s="6" t="s">
        <v>147</v>
      </c>
      <c r="T967" s="6" t="s">
        <v>250</v>
      </c>
      <c r="U967" s="6" t="s">
        <v>560</v>
      </c>
      <c r="V967" s="6" t="s">
        <v>155</v>
      </c>
      <c r="W967" s="6" t="s">
        <v>158</v>
      </c>
      <c r="X967" s="6" t="s">
        <v>257</v>
      </c>
      <c r="Y967" s="6" t="s">
        <v>162</v>
      </c>
      <c r="Z967" s="6" t="s">
        <v>165</v>
      </c>
      <c r="AA967" s="6" t="s">
        <v>262</v>
      </c>
      <c r="AB967" s="6" t="s">
        <v>171</v>
      </c>
      <c r="AC967" s="6" t="s">
        <v>174</v>
      </c>
      <c r="AD967" s="6" t="s">
        <v>175</v>
      </c>
      <c r="AE967" s="6" t="s">
        <v>271</v>
      </c>
      <c r="AF967" s="6" t="s">
        <v>181</v>
      </c>
      <c r="AG967" s="6" t="s">
        <v>182</v>
      </c>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row>
    <row r="968" ht="22.5" customHeight="1">
      <c r="A968" s="4">
        <v>46229.70241795139</v>
      </c>
      <c r="B968" s="5">
        <v>0.0</v>
      </c>
      <c r="C968" s="6" t="s">
        <v>114</v>
      </c>
      <c r="D968" s="6" t="s">
        <v>2054</v>
      </c>
      <c r="E968" s="6" t="s">
        <v>2055</v>
      </c>
      <c r="F968" s="6">
        <v>6.9070500276E10</v>
      </c>
      <c r="G968" s="6" t="s">
        <v>599</v>
      </c>
      <c r="H968" s="6" t="s">
        <v>9903</v>
      </c>
      <c r="I968" s="6" t="s">
        <v>9904</v>
      </c>
      <c r="J968" s="6" t="s">
        <v>4004</v>
      </c>
      <c r="K968" s="6" t="s">
        <v>4003</v>
      </c>
      <c r="L968" s="6" t="s">
        <v>6040</v>
      </c>
      <c r="M968" s="6" t="s">
        <v>4371</v>
      </c>
      <c r="N968" s="6" t="s">
        <v>9905</v>
      </c>
      <c r="O968" s="6" t="s">
        <v>9906</v>
      </c>
      <c r="P968" s="6" t="s">
        <v>9907</v>
      </c>
      <c r="Q968" s="6" t="s">
        <v>9908</v>
      </c>
      <c r="R968" s="6" t="s">
        <v>246</v>
      </c>
      <c r="S968" s="6" t="s">
        <v>147</v>
      </c>
      <c r="T968" s="6" t="s">
        <v>250</v>
      </c>
      <c r="U968" s="6" t="s">
        <v>686</v>
      </c>
      <c r="V968" s="6" t="s">
        <v>246</v>
      </c>
      <c r="W968" s="6" t="s">
        <v>3463</v>
      </c>
      <c r="X968" s="6" t="s">
        <v>161</v>
      </c>
      <c r="Y968" s="6" t="s">
        <v>162</v>
      </c>
      <c r="Z968" s="6" t="s">
        <v>165</v>
      </c>
      <c r="AA968" s="6" t="s">
        <v>262</v>
      </c>
      <c r="AB968" s="6" t="s">
        <v>171</v>
      </c>
      <c r="AC968" s="6" t="s">
        <v>2718</v>
      </c>
      <c r="AD968" s="6" t="s">
        <v>175</v>
      </c>
      <c r="AE968" s="6" t="s">
        <v>271</v>
      </c>
      <c r="AF968" s="6" t="s">
        <v>181</v>
      </c>
      <c r="AG968" s="6" t="s">
        <v>182</v>
      </c>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row>
    <row r="969" ht="22.5" customHeight="1">
      <c r="A969" s="4">
        <v>46229.70241885417</v>
      </c>
      <c r="B969" s="5">
        <v>0.0</v>
      </c>
      <c r="C969" s="6" t="s">
        <v>114</v>
      </c>
      <c r="D969" s="6" t="s">
        <v>2056</v>
      </c>
      <c r="E969" s="6" t="s">
        <v>2057</v>
      </c>
      <c r="F969" s="6">
        <v>6.9070500606E10</v>
      </c>
      <c r="G969" s="6" t="s">
        <v>6140</v>
      </c>
      <c r="H969" s="7"/>
      <c r="I969" s="6" t="s">
        <v>5989</v>
      </c>
      <c r="J969" s="6" t="s">
        <v>9909</v>
      </c>
      <c r="K969" s="6" t="s">
        <v>3946</v>
      </c>
      <c r="L969" s="6" t="s">
        <v>5944</v>
      </c>
      <c r="M969" s="6" t="s">
        <v>3736</v>
      </c>
      <c r="N969" s="7"/>
      <c r="O969" s="6" t="s">
        <v>9910</v>
      </c>
      <c r="P969" s="6" t="s">
        <v>9911</v>
      </c>
      <c r="Q969" s="6" t="s">
        <v>9912</v>
      </c>
      <c r="R969" s="6" t="s">
        <v>246</v>
      </c>
      <c r="S969" s="6" t="s">
        <v>147</v>
      </c>
      <c r="T969" s="6" t="s">
        <v>250</v>
      </c>
      <c r="U969" s="6" t="s">
        <v>686</v>
      </c>
      <c r="V969" s="6" t="s">
        <v>246</v>
      </c>
      <c r="W969" s="6" t="s">
        <v>158</v>
      </c>
      <c r="X969" s="6" t="s">
        <v>257</v>
      </c>
      <c r="Y969" s="6" t="s">
        <v>162</v>
      </c>
      <c r="Z969" s="6" t="s">
        <v>165</v>
      </c>
      <c r="AA969" s="6" t="s">
        <v>262</v>
      </c>
      <c r="AB969" s="6" t="s">
        <v>171</v>
      </c>
      <c r="AC969" s="6" t="s">
        <v>174</v>
      </c>
      <c r="AD969" s="6" t="s">
        <v>175</v>
      </c>
      <c r="AE969" s="6" t="s">
        <v>271</v>
      </c>
      <c r="AF969" s="6" t="s">
        <v>181</v>
      </c>
      <c r="AG969" s="6" t="s">
        <v>182</v>
      </c>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row>
    <row r="970" ht="22.5" customHeight="1">
      <c r="A970" s="4">
        <v>46229.70242803241</v>
      </c>
      <c r="B970" s="5">
        <v>0.0</v>
      </c>
      <c r="C970" s="6" t="s">
        <v>3296</v>
      </c>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6" t="s">
        <v>2801</v>
      </c>
      <c r="AI970" s="6" t="s">
        <v>2802</v>
      </c>
      <c r="AJ970" s="6">
        <v>6.907050342E10</v>
      </c>
      <c r="AK970" s="6" t="s">
        <v>3297</v>
      </c>
      <c r="AL970" s="7"/>
      <c r="AM970" s="6" t="s">
        <v>9913</v>
      </c>
      <c r="AN970" s="6" t="s">
        <v>9914</v>
      </c>
      <c r="AO970" s="6" t="s">
        <v>8771</v>
      </c>
      <c r="AP970" s="6" t="s">
        <v>9915</v>
      </c>
      <c r="AQ970" s="6" t="s">
        <v>9916</v>
      </c>
      <c r="AR970" s="7"/>
      <c r="AS970" s="6" t="s">
        <v>9917</v>
      </c>
      <c r="AT970" s="6" t="s">
        <v>9918</v>
      </c>
      <c r="AU970" s="6" t="s">
        <v>9919</v>
      </c>
      <c r="AV970" s="6" t="s">
        <v>3306</v>
      </c>
      <c r="AW970" s="6" t="s">
        <v>3307</v>
      </c>
      <c r="AX970" s="6" t="s">
        <v>3887</v>
      </c>
      <c r="AY970" s="6" t="s">
        <v>3309</v>
      </c>
      <c r="AZ970" s="6" t="s">
        <v>3306</v>
      </c>
      <c r="BA970" s="6" t="s">
        <v>3311</v>
      </c>
      <c r="BB970" s="6" t="s">
        <v>4693</v>
      </c>
      <c r="BC970" s="6" t="s">
        <v>3313</v>
      </c>
      <c r="BD970" s="6" t="s">
        <v>165</v>
      </c>
      <c r="BE970" s="6" t="s">
        <v>3888</v>
      </c>
      <c r="BF970" s="6" t="s">
        <v>3315</v>
      </c>
      <c r="BG970" s="6" t="s">
        <v>4068</v>
      </c>
      <c r="BH970" s="6" t="s">
        <v>3317</v>
      </c>
      <c r="BI970" s="6" t="s">
        <v>271</v>
      </c>
      <c r="BJ970" s="6" t="s">
        <v>3318</v>
      </c>
      <c r="BK970" s="6" t="s">
        <v>3319</v>
      </c>
    </row>
    <row r="971" ht="22.5" customHeight="1">
      <c r="A971" s="4">
        <v>46229.70243701389</v>
      </c>
      <c r="B971" s="5">
        <v>0.0</v>
      </c>
      <c r="C971" s="6" t="s">
        <v>114</v>
      </c>
      <c r="D971" s="6" t="s">
        <v>2058</v>
      </c>
      <c r="E971" s="6" t="s">
        <v>2059</v>
      </c>
      <c r="F971" s="6">
        <v>6.9070501234E10</v>
      </c>
      <c r="G971" s="6" t="s">
        <v>228</v>
      </c>
      <c r="H971" s="6" t="s">
        <v>9920</v>
      </c>
      <c r="I971" s="6" t="s">
        <v>9921</v>
      </c>
      <c r="J971" s="6" t="s">
        <v>9922</v>
      </c>
      <c r="K971" s="6" t="s">
        <v>9923</v>
      </c>
      <c r="L971" s="6" t="s">
        <v>9924</v>
      </c>
      <c r="M971" s="6" t="s">
        <v>9925</v>
      </c>
      <c r="N971" s="6" t="s">
        <v>9926</v>
      </c>
      <c r="O971" s="6" t="s">
        <v>9927</v>
      </c>
      <c r="P971" s="6" t="s">
        <v>9928</v>
      </c>
      <c r="Q971" s="6" t="s">
        <v>9929</v>
      </c>
      <c r="R971" s="6" t="s">
        <v>246</v>
      </c>
      <c r="S971" s="6" t="s">
        <v>147</v>
      </c>
      <c r="T971" s="6" t="s">
        <v>250</v>
      </c>
      <c r="U971" s="6" t="s">
        <v>152</v>
      </c>
      <c r="V971" s="6" t="s">
        <v>246</v>
      </c>
      <c r="W971" s="6" t="s">
        <v>158</v>
      </c>
      <c r="X971" s="6" t="s">
        <v>257</v>
      </c>
      <c r="Y971" s="6" t="s">
        <v>162</v>
      </c>
      <c r="Z971" s="6" t="s">
        <v>165</v>
      </c>
      <c r="AA971" s="6" t="s">
        <v>262</v>
      </c>
      <c r="AB971" s="6" t="s">
        <v>1266</v>
      </c>
      <c r="AC971" s="6" t="s">
        <v>174</v>
      </c>
      <c r="AD971" s="6" t="s">
        <v>175</v>
      </c>
      <c r="AE971" s="6" t="s">
        <v>271</v>
      </c>
      <c r="AF971" s="6" t="s">
        <v>181</v>
      </c>
      <c r="AG971" s="6" t="s">
        <v>182</v>
      </c>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row>
    <row r="972" ht="22.5" customHeight="1">
      <c r="A972" s="4">
        <v>46229.70247668981</v>
      </c>
      <c r="B972" s="5">
        <v>0.0</v>
      </c>
      <c r="C972" s="6" t="s">
        <v>114</v>
      </c>
      <c r="D972" s="6" t="s">
        <v>2060</v>
      </c>
      <c r="E972" s="6" t="s">
        <v>2061</v>
      </c>
      <c r="F972" s="6">
        <v>6.9070508418E10</v>
      </c>
      <c r="G972" s="6" t="s">
        <v>4580</v>
      </c>
      <c r="H972" s="7"/>
      <c r="I972" s="6" t="s">
        <v>6717</v>
      </c>
      <c r="J972" s="6" t="s">
        <v>9930</v>
      </c>
      <c r="K972" s="6" t="s">
        <v>6715</v>
      </c>
      <c r="L972" s="6" t="s">
        <v>9931</v>
      </c>
      <c r="M972" s="6" t="s">
        <v>9932</v>
      </c>
      <c r="N972" s="6" t="s">
        <v>9933</v>
      </c>
      <c r="O972" s="6" t="s">
        <v>9934</v>
      </c>
      <c r="P972" s="6" t="s">
        <v>9935</v>
      </c>
      <c r="Q972" s="6" t="s">
        <v>9936</v>
      </c>
      <c r="R972" s="6" t="s">
        <v>246</v>
      </c>
      <c r="S972" s="6" t="s">
        <v>147</v>
      </c>
      <c r="T972" s="6" t="s">
        <v>250</v>
      </c>
      <c r="U972" s="6" t="s">
        <v>560</v>
      </c>
      <c r="V972" s="6" t="s">
        <v>246</v>
      </c>
      <c r="W972" s="6" t="s">
        <v>158</v>
      </c>
      <c r="X972" s="6" t="s">
        <v>257</v>
      </c>
      <c r="Y972" s="6" t="s">
        <v>162</v>
      </c>
      <c r="Z972" s="6" t="s">
        <v>165</v>
      </c>
      <c r="AA972" s="6" t="s">
        <v>2307</v>
      </c>
      <c r="AB972" s="6" t="s">
        <v>171</v>
      </c>
      <c r="AC972" s="6" t="s">
        <v>633</v>
      </c>
      <c r="AD972" s="6" t="s">
        <v>175</v>
      </c>
      <c r="AE972" s="6" t="s">
        <v>271</v>
      </c>
      <c r="AF972" s="6" t="s">
        <v>181</v>
      </c>
      <c r="AG972" s="6" t="s">
        <v>182</v>
      </c>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row>
    <row r="973" ht="22.5" customHeight="1">
      <c r="A973" s="4">
        <v>46229.7024777662</v>
      </c>
      <c r="B973" s="5">
        <v>0.0</v>
      </c>
      <c r="C973" s="6" t="s">
        <v>114</v>
      </c>
      <c r="D973" s="6" t="s">
        <v>2062</v>
      </c>
      <c r="E973" s="6" t="s">
        <v>2063</v>
      </c>
      <c r="F973" s="6">
        <v>6.9070508209E10</v>
      </c>
      <c r="G973" s="6" t="s">
        <v>730</v>
      </c>
      <c r="H973" s="7"/>
      <c r="I973" s="6" t="s">
        <v>9937</v>
      </c>
      <c r="J973" s="6" t="s">
        <v>9938</v>
      </c>
      <c r="K973" s="6" t="s">
        <v>9939</v>
      </c>
      <c r="L973" s="6" t="s">
        <v>9940</v>
      </c>
      <c r="M973" s="6" t="s">
        <v>9941</v>
      </c>
      <c r="N973" s="7"/>
      <c r="O973" s="6" t="s">
        <v>9942</v>
      </c>
      <c r="P973" s="6" t="s">
        <v>9943</v>
      </c>
      <c r="Q973" s="6" t="s">
        <v>9944</v>
      </c>
      <c r="R973" s="6" t="s">
        <v>246</v>
      </c>
      <c r="S973" s="6" t="s">
        <v>147</v>
      </c>
      <c r="T973" s="6" t="s">
        <v>250</v>
      </c>
      <c r="U973" s="6" t="s">
        <v>560</v>
      </c>
      <c r="V973" s="6" t="s">
        <v>246</v>
      </c>
      <c r="W973" s="6" t="s">
        <v>158</v>
      </c>
      <c r="X973" s="6" t="s">
        <v>257</v>
      </c>
      <c r="Y973" s="6" t="s">
        <v>162</v>
      </c>
      <c r="Z973" s="6" t="s">
        <v>165</v>
      </c>
      <c r="AA973" s="6" t="s">
        <v>262</v>
      </c>
      <c r="AB973" s="6" t="s">
        <v>171</v>
      </c>
      <c r="AC973" s="6" t="s">
        <v>174</v>
      </c>
      <c r="AD973" s="6" t="s">
        <v>175</v>
      </c>
      <c r="AE973" s="6" t="s">
        <v>271</v>
      </c>
      <c r="AF973" s="6" t="s">
        <v>181</v>
      </c>
      <c r="AG973" s="6" t="s">
        <v>182</v>
      </c>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row>
    <row r="974" ht="22.5" customHeight="1">
      <c r="A974" s="4">
        <v>46229.70248881944</v>
      </c>
      <c r="B974" s="5">
        <v>0.0</v>
      </c>
      <c r="C974" s="6" t="s">
        <v>114</v>
      </c>
      <c r="D974" s="6" t="s">
        <v>2066</v>
      </c>
      <c r="E974" s="6" t="s">
        <v>2067</v>
      </c>
      <c r="F974" s="6">
        <v>6.9070501811E10</v>
      </c>
      <c r="G974" s="6" t="s">
        <v>730</v>
      </c>
      <c r="H974" s="6" t="s">
        <v>9945</v>
      </c>
      <c r="I974" s="6" t="s">
        <v>6107</v>
      </c>
      <c r="J974" s="6" t="s">
        <v>3202</v>
      </c>
      <c r="K974" s="6" t="s">
        <v>9946</v>
      </c>
      <c r="L974" s="6" t="s">
        <v>9947</v>
      </c>
      <c r="M974" s="6" t="s">
        <v>9948</v>
      </c>
      <c r="N974" s="7"/>
      <c r="O974" s="6" t="s">
        <v>9949</v>
      </c>
      <c r="P974" s="6" t="s">
        <v>9950</v>
      </c>
      <c r="Q974" s="6" t="s">
        <v>9951</v>
      </c>
      <c r="R974" s="6" t="s">
        <v>246</v>
      </c>
      <c r="S974" s="6" t="s">
        <v>147</v>
      </c>
      <c r="T974" s="6" t="s">
        <v>250</v>
      </c>
      <c r="U974" s="6" t="s">
        <v>152</v>
      </c>
      <c r="V974" s="6" t="s">
        <v>246</v>
      </c>
      <c r="W974" s="6" t="s">
        <v>158</v>
      </c>
      <c r="X974" s="6" t="s">
        <v>257</v>
      </c>
      <c r="Y974" s="6" t="s">
        <v>162</v>
      </c>
      <c r="Z974" s="6" t="s">
        <v>165</v>
      </c>
      <c r="AA974" s="6" t="s">
        <v>262</v>
      </c>
      <c r="AB974" s="6" t="s">
        <v>171</v>
      </c>
      <c r="AC974" s="6" t="s">
        <v>174</v>
      </c>
      <c r="AD974" s="6" t="s">
        <v>175</v>
      </c>
      <c r="AE974" s="6" t="s">
        <v>271</v>
      </c>
      <c r="AF974" s="6" t="s">
        <v>181</v>
      </c>
      <c r="AG974" s="6" t="s">
        <v>182</v>
      </c>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row>
    <row r="975" ht="22.5" customHeight="1">
      <c r="A975" s="4">
        <v>46229.702496875005</v>
      </c>
      <c r="B975" s="5">
        <v>0.0</v>
      </c>
      <c r="C975" s="6" t="s">
        <v>114</v>
      </c>
      <c r="D975" s="6" t="s">
        <v>2071</v>
      </c>
      <c r="E975" s="6" t="s">
        <v>2072</v>
      </c>
      <c r="F975" s="6">
        <v>6.9070508825E10</v>
      </c>
      <c r="G975" s="6" t="s">
        <v>5399</v>
      </c>
      <c r="H975" s="6" t="s">
        <v>9952</v>
      </c>
      <c r="I975" s="6" t="s">
        <v>9953</v>
      </c>
      <c r="J975" s="6" t="s">
        <v>9954</v>
      </c>
      <c r="K975" s="6" t="s">
        <v>9841</v>
      </c>
      <c r="L975" s="6" t="s">
        <v>9955</v>
      </c>
      <c r="M975" s="6" t="s">
        <v>9956</v>
      </c>
      <c r="N975" s="6" t="s">
        <v>9957</v>
      </c>
      <c r="O975" s="6" t="s">
        <v>9958</v>
      </c>
      <c r="P975" s="6" t="s">
        <v>9959</v>
      </c>
      <c r="Q975" s="6" t="s">
        <v>9960</v>
      </c>
      <c r="R975" s="6" t="s">
        <v>257</v>
      </c>
      <c r="S975" s="6" t="s">
        <v>147</v>
      </c>
      <c r="T975" s="6" t="s">
        <v>516</v>
      </c>
      <c r="U975" s="6" t="s">
        <v>252</v>
      </c>
      <c r="V975" s="6" t="s">
        <v>246</v>
      </c>
      <c r="W975" s="6" t="s">
        <v>158</v>
      </c>
      <c r="X975" s="6" t="s">
        <v>250</v>
      </c>
      <c r="Y975" s="6" t="s">
        <v>162</v>
      </c>
      <c r="Z975" s="6" t="s">
        <v>165</v>
      </c>
      <c r="AA975" s="6" t="s">
        <v>262</v>
      </c>
      <c r="AB975" s="6" t="s">
        <v>171</v>
      </c>
      <c r="AC975" s="6" t="s">
        <v>174</v>
      </c>
      <c r="AD975" s="6" t="s">
        <v>1723</v>
      </c>
      <c r="AE975" s="6" t="s">
        <v>271</v>
      </c>
      <c r="AF975" s="6" t="s">
        <v>181</v>
      </c>
      <c r="AG975" s="6" t="s">
        <v>182</v>
      </c>
      <c r="AH975" s="7"/>
      <c r="AI975" s="7"/>
      <c r="AJ975" s="7"/>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c r="BJ975" s="7"/>
      <c r="BK975" s="7"/>
    </row>
    <row r="976" ht="22.5" customHeight="1">
      <c r="A976" s="4">
        <v>46229.70251653936</v>
      </c>
      <c r="B976" s="5">
        <v>0.0</v>
      </c>
      <c r="C976" s="6" t="s">
        <v>114</v>
      </c>
      <c r="D976" s="6" t="s">
        <v>315</v>
      </c>
      <c r="E976" s="6" t="s">
        <v>2075</v>
      </c>
      <c r="F976" s="6">
        <v>6.9070508252E10</v>
      </c>
      <c r="G976" s="6" t="s">
        <v>730</v>
      </c>
      <c r="H976" s="6" t="s">
        <v>9961</v>
      </c>
      <c r="I976" s="6" t="s">
        <v>9962</v>
      </c>
      <c r="J976" s="6" t="s">
        <v>9963</v>
      </c>
      <c r="K976" s="6" t="s">
        <v>9964</v>
      </c>
      <c r="L976" s="6" t="s">
        <v>3449</v>
      </c>
      <c r="M976" s="6" t="s">
        <v>3451</v>
      </c>
      <c r="N976" s="6" t="s">
        <v>2633</v>
      </c>
      <c r="O976" s="6" t="s">
        <v>9965</v>
      </c>
      <c r="P976" s="6" t="s">
        <v>9966</v>
      </c>
      <c r="Q976" s="6" t="s">
        <v>9967</v>
      </c>
      <c r="R976" s="6" t="s">
        <v>246</v>
      </c>
      <c r="S976" s="6" t="s">
        <v>147</v>
      </c>
      <c r="T976" s="6" t="s">
        <v>250</v>
      </c>
      <c r="U976" s="6" t="s">
        <v>252</v>
      </c>
      <c r="V976" s="6" t="s">
        <v>246</v>
      </c>
      <c r="W976" s="6" t="s">
        <v>158</v>
      </c>
      <c r="X976" s="6" t="s">
        <v>257</v>
      </c>
      <c r="Y976" s="6" t="s">
        <v>162</v>
      </c>
      <c r="Z976" s="6" t="s">
        <v>165</v>
      </c>
      <c r="AA976" s="6" t="s">
        <v>262</v>
      </c>
      <c r="AB976" s="6" t="s">
        <v>171</v>
      </c>
      <c r="AC976" s="6" t="s">
        <v>174</v>
      </c>
      <c r="AD976" s="6" t="s">
        <v>175</v>
      </c>
      <c r="AE976" s="6" t="s">
        <v>271</v>
      </c>
      <c r="AF976" s="6" t="s">
        <v>181</v>
      </c>
      <c r="AG976" s="6" t="s">
        <v>182</v>
      </c>
      <c r="AH976" s="7"/>
      <c r="AI976" s="7"/>
      <c r="AJ976" s="7"/>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c r="BJ976" s="7"/>
      <c r="BK976" s="7"/>
    </row>
    <row r="977" ht="22.5" customHeight="1">
      <c r="A977" s="4">
        <v>46229.70252319444</v>
      </c>
      <c r="B977" s="5">
        <v>0.0</v>
      </c>
      <c r="C977" s="6" t="s">
        <v>114</v>
      </c>
      <c r="D977" s="6" t="s">
        <v>2077</v>
      </c>
      <c r="E977" s="6" t="s">
        <v>2078</v>
      </c>
      <c r="F977" s="6">
        <v>6.9070509821E10</v>
      </c>
      <c r="G977" s="6" t="s">
        <v>496</v>
      </c>
      <c r="H977" s="7"/>
      <c r="I977" s="6" t="s">
        <v>3920</v>
      </c>
      <c r="J977" s="6" t="s">
        <v>3931</v>
      </c>
      <c r="K977" s="6" t="s">
        <v>9968</v>
      </c>
      <c r="L977" s="6" t="s">
        <v>9969</v>
      </c>
      <c r="M977" s="6" t="s">
        <v>9970</v>
      </c>
      <c r="N977" s="7"/>
      <c r="O977" s="6" t="s">
        <v>9971</v>
      </c>
      <c r="P977" s="6" t="s">
        <v>9972</v>
      </c>
      <c r="Q977" s="6" t="s">
        <v>9973</v>
      </c>
      <c r="R977" s="6" t="s">
        <v>257</v>
      </c>
      <c r="S977" s="6" t="s">
        <v>147</v>
      </c>
      <c r="T977" s="6" t="s">
        <v>246</v>
      </c>
      <c r="U977" s="6" t="s">
        <v>560</v>
      </c>
      <c r="V977" s="6" t="s">
        <v>250</v>
      </c>
      <c r="W977" s="6" t="s">
        <v>158</v>
      </c>
      <c r="X977" s="6" t="s">
        <v>257</v>
      </c>
      <c r="Y977" s="6" t="s">
        <v>162</v>
      </c>
      <c r="Z977" s="6" t="s">
        <v>629</v>
      </c>
      <c r="AA977" s="6" t="s">
        <v>262</v>
      </c>
      <c r="AB977" s="6" t="s">
        <v>171</v>
      </c>
      <c r="AC977" s="6" t="s">
        <v>633</v>
      </c>
      <c r="AD977" s="6" t="s">
        <v>175</v>
      </c>
      <c r="AE977" s="6" t="s">
        <v>1211</v>
      </c>
      <c r="AF977" s="6" t="s">
        <v>181</v>
      </c>
      <c r="AG977" s="6" t="s">
        <v>182</v>
      </c>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row>
    <row r="978" ht="22.5" customHeight="1">
      <c r="A978" s="4">
        <v>46229.702535000004</v>
      </c>
      <c r="B978" s="5">
        <v>0.0</v>
      </c>
      <c r="C978" s="6" t="s">
        <v>114</v>
      </c>
      <c r="D978" s="6" t="s">
        <v>1714</v>
      </c>
      <c r="E978" s="6" t="s">
        <v>2079</v>
      </c>
      <c r="F978" s="6">
        <v>6.9070502451E10</v>
      </c>
      <c r="G978" s="6" t="s">
        <v>122</v>
      </c>
      <c r="H978" s="7"/>
      <c r="I978" s="6" t="s">
        <v>9974</v>
      </c>
      <c r="J978" s="6" t="s">
        <v>9975</v>
      </c>
      <c r="K978" s="6" t="s">
        <v>9976</v>
      </c>
      <c r="L978" s="6" t="s">
        <v>9977</v>
      </c>
      <c r="M978" s="6" t="s">
        <v>9978</v>
      </c>
      <c r="N978" s="7"/>
      <c r="O978" s="6" t="s">
        <v>9979</v>
      </c>
      <c r="P978" s="6" t="s">
        <v>9980</v>
      </c>
      <c r="Q978" s="6" t="s">
        <v>9981</v>
      </c>
      <c r="R978" s="6" t="s">
        <v>861</v>
      </c>
      <c r="S978" s="6" t="s">
        <v>147</v>
      </c>
      <c r="T978" s="6" t="s">
        <v>246</v>
      </c>
      <c r="U978" s="6" t="s">
        <v>252</v>
      </c>
      <c r="V978" s="6" t="s">
        <v>246</v>
      </c>
      <c r="W978" s="6" t="s">
        <v>158</v>
      </c>
      <c r="X978" s="6" t="s">
        <v>257</v>
      </c>
      <c r="Y978" s="6" t="s">
        <v>162</v>
      </c>
      <c r="Z978" s="6" t="s">
        <v>165</v>
      </c>
      <c r="AA978" s="6" t="s">
        <v>168</v>
      </c>
      <c r="AB978" s="6" t="s">
        <v>171</v>
      </c>
      <c r="AC978" s="6" t="s">
        <v>174</v>
      </c>
      <c r="AD978" s="6" t="s">
        <v>175</v>
      </c>
      <c r="AE978" s="6" t="s">
        <v>271</v>
      </c>
      <c r="AF978" s="6" t="s">
        <v>181</v>
      </c>
      <c r="AG978" s="6" t="s">
        <v>182</v>
      </c>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row>
    <row r="979" ht="22.5" customHeight="1">
      <c r="A979" s="4">
        <v>46229.702552627314</v>
      </c>
      <c r="B979" s="5">
        <v>0.0</v>
      </c>
      <c r="C979" s="6" t="s">
        <v>114</v>
      </c>
      <c r="D979" s="6" t="s">
        <v>2080</v>
      </c>
      <c r="E979" s="6" t="s">
        <v>2081</v>
      </c>
      <c r="F979" s="6">
        <v>6.9070500262E10</v>
      </c>
      <c r="G979" s="6" t="s">
        <v>599</v>
      </c>
      <c r="H979" s="7"/>
      <c r="I979" s="6" t="s">
        <v>8032</v>
      </c>
      <c r="J979" s="6" t="s">
        <v>9982</v>
      </c>
      <c r="K979" s="6" t="s">
        <v>9983</v>
      </c>
      <c r="L979" s="6" t="s">
        <v>4925</v>
      </c>
      <c r="M979" s="6" t="s">
        <v>4549</v>
      </c>
      <c r="N979" s="7"/>
      <c r="O979" s="6" t="s">
        <v>9984</v>
      </c>
      <c r="P979" s="6" t="s">
        <v>9985</v>
      </c>
      <c r="Q979" s="6" t="s">
        <v>9986</v>
      </c>
      <c r="R979" s="6" t="s">
        <v>246</v>
      </c>
      <c r="S979" s="6" t="s">
        <v>147</v>
      </c>
      <c r="T979" s="6" t="s">
        <v>250</v>
      </c>
      <c r="U979" s="6" t="s">
        <v>560</v>
      </c>
      <c r="V979" s="6" t="s">
        <v>246</v>
      </c>
      <c r="W979" s="6" t="s">
        <v>158</v>
      </c>
      <c r="X979" s="6" t="s">
        <v>257</v>
      </c>
      <c r="Y979" s="6" t="s">
        <v>162</v>
      </c>
      <c r="Z979" s="6" t="s">
        <v>165</v>
      </c>
      <c r="AA979" s="6" t="s">
        <v>262</v>
      </c>
      <c r="AB979" s="6" t="s">
        <v>171</v>
      </c>
      <c r="AC979" s="6" t="s">
        <v>174</v>
      </c>
      <c r="AD979" s="6" t="s">
        <v>175</v>
      </c>
      <c r="AE979" s="6" t="s">
        <v>271</v>
      </c>
      <c r="AF979" s="6" t="s">
        <v>181</v>
      </c>
      <c r="AG979" s="6" t="s">
        <v>182</v>
      </c>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row>
    <row r="980" ht="22.5" customHeight="1">
      <c r="A980" s="4">
        <v>46229.7025540162</v>
      </c>
      <c r="B980" s="5">
        <v>0.0</v>
      </c>
      <c r="C980" s="6" t="s">
        <v>114</v>
      </c>
      <c r="D980" s="6" t="s">
        <v>2082</v>
      </c>
      <c r="E980" s="6" t="s">
        <v>2083</v>
      </c>
      <c r="F980" s="6">
        <v>6.9070509615E10</v>
      </c>
      <c r="G980" s="6" t="s">
        <v>730</v>
      </c>
      <c r="H980" s="7"/>
      <c r="I980" s="6" t="s">
        <v>9987</v>
      </c>
      <c r="J980" s="6" t="s">
        <v>9988</v>
      </c>
      <c r="K980" s="6" t="s">
        <v>9989</v>
      </c>
      <c r="L980" s="6" t="s">
        <v>9990</v>
      </c>
      <c r="M980" s="6" t="s">
        <v>9991</v>
      </c>
      <c r="N980" s="7"/>
      <c r="O980" s="6" t="s">
        <v>9992</v>
      </c>
      <c r="P980" s="6" t="s">
        <v>9993</v>
      </c>
      <c r="Q980" s="6" t="s">
        <v>9994</v>
      </c>
      <c r="R980" s="6" t="s">
        <v>145</v>
      </c>
      <c r="S980" s="6" t="s">
        <v>147</v>
      </c>
      <c r="T980" s="6" t="s">
        <v>250</v>
      </c>
      <c r="U980" s="6" t="s">
        <v>686</v>
      </c>
      <c r="V980" s="6" t="s">
        <v>155</v>
      </c>
      <c r="W980" s="6" t="s">
        <v>158</v>
      </c>
      <c r="X980" s="6" t="s">
        <v>458</v>
      </c>
      <c r="Y980" s="6" t="s">
        <v>162</v>
      </c>
      <c r="Z980" s="6" t="s">
        <v>165</v>
      </c>
      <c r="AA980" s="6" t="s">
        <v>262</v>
      </c>
      <c r="AB980" s="6" t="s">
        <v>521</v>
      </c>
      <c r="AC980" s="6" t="s">
        <v>174</v>
      </c>
      <c r="AD980" s="6" t="s">
        <v>175</v>
      </c>
      <c r="AE980" s="6" t="s">
        <v>271</v>
      </c>
      <c r="AF980" s="6" t="s">
        <v>181</v>
      </c>
      <c r="AG980" s="6" t="s">
        <v>182</v>
      </c>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row>
    <row r="981" ht="22.5" customHeight="1">
      <c r="A981" s="4">
        <v>46229.70255619213</v>
      </c>
      <c r="B981" s="5">
        <v>0.0</v>
      </c>
      <c r="C981" s="6" t="s">
        <v>114</v>
      </c>
      <c r="D981" s="6" t="s">
        <v>2084</v>
      </c>
      <c r="E981" s="6" t="s">
        <v>2085</v>
      </c>
      <c r="F981" s="6">
        <v>6.907050183E10</v>
      </c>
      <c r="G981" s="6" t="s">
        <v>730</v>
      </c>
      <c r="H981" s="6" t="s">
        <v>9995</v>
      </c>
      <c r="I981" s="6" t="s">
        <v>9996</v>
      </c>
      <c r="J981" s="6" t="s">
        <v>9997</v>
      </c>
      <c r="K981" s="6" t="s">
        <v>9998</v>
      </c>
      <c r="L981" s="6" t="s">
        <v>9999</v>
      </c>
      <c r="M981" s="6" t="s">
        <v>10000</v>
      </c>
      <c r="N981" s="6" t="s">
        <v>10001</v>
      </c>
      <c r="O981" s="6" t="s">
        <v>10002</v>
      </c>
      <c r="P981" s="6" t="s">
        <v>10003</v>
      </c>
      <c r="Q981" s="6" t="s">
        <v>10004</v>
      </c>
      <c r="R981" s="6" t="s">
        <v>246</v>
      </c>
      <c r="S981" s="6" t="s">
        <v>147</v>
      </c>
      <c r="T981" s="6" t="s">
        <v>250</v>
      </c>
      <c r="U981" s="6" t="s">
        <v>152</v>
      </c>
      <c r="V981" s="6" t="s">
        <v>246</v>
      </c>
      <c r="W981" s="6" t="s">
        <v>158</v>
      </c>
      <c r="X981" s="6" t="s">
        <v>257</v>
      </c>
      <c r="Y981" s="6" t="s">
        <v>162</v>
      </c>
      <c r="Z981" s="6" t="s">
        <v>165</v>
      </c>
      <c r="AA981" s="6" t="s">
        <v>262</v>
      </c>
      <c r="AB981" s="6" t="s">
        <v>171</v>
      </c>
      <c r="AC981" s="6" t="s">
        <v>174</v>
      </c>
      <c r="AD981" s="6" t="s">
        <v>175</v>
      </c>
      <c r="AE981" s="6" t="s">
        <v>271</v>
      </c>
      <c r="AF981" s="6" t="s">
        <v>181</v>
      </c>
      <c r="AG981" s="6" t="s">
        <v>182</v>
      </c>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row>
    <row r="982" ht="22.5" customHeight="1">
      <c r="A982" s="4">
        <v>46229.702562569444</v>
      </c>
      <c r="B982" s="5">
        <v>0.0</v>
      </c>
      <c r="C982" s="6" t="s">
        <v>114</v>
      </c>
      <c r="D982" s="6" t="s">
        <v>2086</v>
      </c>
      <c r="E982" s="6" t="s">
        <v>2087</v>
      </c>
      <c r="F982" s="6">
        <v>6.9070502445E10</v>
      </c>
      <c r="G982" s="6" t="s">
        <v>122</v>
      </c>
      <c r="H982" s="7"/>
      <c r="I982" s="6" t="s">
        <v>10005</v>
      </c>
      <c r="J982" s="6" t="s">
        <v>314</v>
      </c>
      <c r="K982" s="6" t="s">
        <v>10006</v>
      </c>
      <c r="L982" s="6" t="s">
        <v>10007</v>
      </c>
      <c r="M982" s="6" t="s">
        <v>10008</v>
      </c>
      <c r="N982" s="7"/>
      <c r="O982" s="6" t="s">
        <v>10009</v>
      </c>
      <c r="P982" s="6" t="s">
        <v>10010</v>
      </c>
      <c r="Q982" s="6" t="s">
        <v>10011</v>
      </c>
      <c r="R982" s="6" t="s">
        <v>246</v>
      </c>
      <c r="S982" s="6" t="s">
        <v>147</v>
      </c>
      <c r="T982" s="6" t="s">
        <v>250</v>
      </c>
      <c r="U982" s="6" t="s">
        <v>252</v>
      </c>
      <c r="V982" s="6" t="s">
        <v>246</v>
      </c>
      <c r="W982" s="6" t="s">
        <v>158</v>
      </c>
      <c r="X982" s="6" t="s">
        <v>257</v>
      </c>
      <c r="Y982" s="6" t="s">
        <v>162</v>
      </c>
      <c r="Z982" s="6" t="s">
        <v>804</v>
      </c>
      <c r="AA982" s="6" t="s">
        <v>262</v>
      </c>
      <c r="AB982" s="6" t="s">
        <v>171</v>
      </c>
      <c r="AC982" s="6" t="s">
        <v>174</v>
      </c>
      <c r="AD982" s="6" t="s">
        <v>175</v>
      </c>
      <c r="AE982" s="6" t="s">
        <v>271</v>
      </c>
      <c r="AF982" s="6" t="s">
        <v>181</v>
      </c>
      <c r="AG982" s="6" t="s">
        <v>182</v>
      </c>
      <c r="AH982" s="7"/>
      <c r="AI982" s="7"/>
      <c r="AJ982" s="7"/>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c r="BJ982" s="7"/>
      <c r="BK982" s="7"/>
    </row>
    <row r="983" ht="22.5" customHeight="1">
      <c r="A983" s="4">
        <v>46229.70259619213</v>
      </c>
      <c r="B983" s="5">
        <v>0.0</v>
      </c>
      <c r="C983" s="6" t="s">
        <v>114</v>
      </c>
      <c r="D983" s="6" t="s">
        <v>2088</v>
      </c>
      <c r="E983" s="6" t="s">
        <v>2089</v>
      </c>
      <c r="F983" s="6">
        <v>6.9070501846E10</v>
      </c>
      <c r="G983" s="6" t="s">
        <v>730</v>
      </c>
      <c r="H983" s="6" t="s">
        <v>10012</v>
      </c>
      <c r="I983" s="6" t="s">
        <v>6160</v>
      </c>
      <c r="J983" s="6" t="s">
        <v>10013</v>
      </c>
      <c r="K983" s="6" t="s">
        <v>6158</v>
      </c>
      <c r="L983" s="6" t="s">
        <v>6393</v>
      </c>
      <c r="M983" s="6" t="s">
        <v>10014</v>
      </c>
      <c r="N983" s="6" t="s">
        <v>668</v>
      </c>
      <c r="O983" s="6" t="s">
        <v>10015</v>
      </c>
      <c r="P983" s="6" t="s">
        <v>10016</v>
      </c>
      <c r="Q983" s="6" t="s">
        <v>10017</v>
      </c>
      <c r="R983" s="6" t="s">
        <v>246</v>
      </c>
      <c r="S983" s="6" t="s">
        <v>147</v>
      </c>
      <c r="T983" s="6" t="s">
        <v>250</v>
      </c>
      <c r="U983" s="6" t="s">
        <v>252</v>
      </c>
      <c r="V983" s="6" t="s">
        <v>246</v>
      </c>
      <c r="W983" s="6" t="s">
        <v>158</v>
      </c>
      <c r="X983" s="6" t="s">
        <v>257</v>
      </c>
      <c r="Y983" s="6" t="s">
        <v>162</v>
      </c>
      <c r="Z983" s="6" t="s">
        <v>165</v>
      </c>
      <c r="AA983" s="6" t="s">
        <v>262</v>
      </c>
      <c r="AB983" s="6" t="s">
        <v>521</v>
      </c>
      <c r="AC983" s="6" t="s">
        <v>174</v>
      </c>
      <c r="AD983" s="6" t="s">
        <v>175</v>
      </c>
      <c r="AE983" s="6" t="s">
        <v>271</v>
      </c>
      <c r="AF983" s="6" t="s">
        <v>181</v>
      </c>
      <c r="AG983" s="6" t="s">
        <v>182</v>
      </c>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row>
    <row r="984" ht="22.5" customHeight="1">
      <c r="A984" s="4">
        <v>46229.702621296296</v>
      </c>
      <c r="B984" s="5">
        <v>0.0</v>
      </c>
      <c r="C984" s="6" t="s">
        <v>114</v>
      </c>
      <c r="D984" s="6" t="s">
        <v>2090</v>
      </c>
      <c r="E984" s="6" t="s">
        <v>2091</v>
      </c>
      <c r="F984" s="6">
        <v>6.9070500222E10</v>
      </c>
      <c r="G984" s="6" t="s">
        <v>599</v>
      </c>
      <c r="H984" s="6" t="s">
        <v>10018</v>
      </c>
      <c r="I984" s="6" t="s">
        <v>10019</v>
      </c>
      <c r="J984" s="6" t="s">
        <v>10020</v>
      </c>
      <c r="K984" s="6" t="s">
        <v>4548</v>
      </c>
      <c r="L984" s="6" t="s">
        <v>10021</v>
      </c>
      <c r="M984" s="6" t="s">
        <v>6410</v>
      </c>
      <c r="N984" s="6" t="s">
        <v>10022</v>
      </c>
      <c r="O984" s="6" t="s">
        <v>10023</v>
      </c>
      <c r="P984" s="6" t="s">
        <v>10024</v>
      </c>
      <c r="Q984" s="6" t="s">
        <v>10025</v>
      </c>
      <c r="R984" s="6" t="s">
        <v>4653</v>
      </c>
      <c r="S984" s="6" t="s">
        <v>147</v>
      </c>
      <c r="T984" s="6" t="s">
        <v>257</v>
      </c>
      <c r="U984" s="6" t="s">
        <v>252</v>
      </c>
      <c r="V984" s="6" t="s">
        <v>2302</v>
      </c>
      <c r="W984" s="6" t="s">
        <v>625</v>
      </c>
      <c r="X984" s="6" t="s">
        <v>250</v>
      </c>
      <c r="Y984" s="6" t="s">
        <v>9427</v>
      </c>
      <c r="Z984" s="6" t="s">
        <v>165</v>
      </c>
      <c r="AA984" s="6" t="s">
        <v>262</v>
      </c>
      <c r="AB984" s="6" t="s">
        <v>171</v>
      </c>
      <c r="AC984" s="6" t="s">
        <v>174</v>
      </c>
      <c r="AD984" s="6" t="s">
        <v>175</v>
      </c>
      <c r="AE984" s="6" t="s">
        <v>271</v>
      </c>
      <c r="AF984" s="6" t="s">
        <v>181</v>
      </c>
      <c r="AG984" s="6" t="s">
        <v>182</v>
      </c>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row>
    <row r="985" ht="22.5" customHeight="1">
      <c r="A985" s="4">
        <v>46229.70264083333</v>
      </c>
      <c r="B985" s="5">
        <v>0.0</v>
      </c>
      <c r="C985" s="6" t="s">
        <v>114</v>
      </c>
      <c r="D985" s="6" t="s">
        <v>2040</v>
      </c>
      <c r="E985" s="6" t="s">
        <v>2092</v>
      </c>
      <c r="F985" s="6">
        <v>6.9070501208E10</v>
      </c>
      <c r="G985" s="6" t="s">
        <v>228</v>
      </c>
      <c r="H985" s="7"/>
      <c r="I985" s="6" t="s">
        <v>10026</v>
      </c>
      <c r="J985" s="6" t="s">
        <v>10027</v>
      </c>
      <c r="K985" s="6" t="s">
        <v>9484</v>
      </c>
      <c r="L985" s="6" t="s">
        <v>10028</v>
      </c>
      <c r="M985" s="6" t="s">
        <v>9481</v>
      </c>
      <c r="N985" s="7"/>
      <c r="O985" s="6" t="s">
        <v>10029</v>
      </c>
      <c r="P985" s="6" t="s">
        <v>10030</v>
      </c>
      <c r="Q985" s="6" t="s">
        <v>10031</v>
      </c>
      <c r="R985" s="6" t="s">
        <v>246</v>
      </c>
      <c r="S985" s="6" t="s">
        <v>147</v>
      </c>
      <c r="T985" s="6" t="s">
        <v>250</v>
      </c>
      <c r="U985" s="6" t="s">
        <v>560</v>
      </c>
      <c r="V985" s="6" t="s">
        <v>246</v>
      </c>
      <c r="W985" s="6" t="s">
        <v>158</v>
      </c>
      <c r="X985" s="6" t="s">
        <v>257</v>
      </c>
      <c r="Y985" s="6" t="s">
        <v>162</v>
      </c>
      <c r="Z985" s="6" t="s">
        <v>165</v>
      </c>
      <c r="AA985" s="6" t="s">
        <v>262</v>
      </c>
      <c r="AB985" s="6" t="s">
        <v>171</v>
      </c>
      <c r="AC985" s="6" t="s">
        <v>174</v>
      </c>
      <c r="AD985" s="6" t="s">
        <v>175</v>
      </c>
      <c r="AE985" s="6" t="s">
        <v>271</v>
      </c>
      <c r="AF985" s="6" t="s">
        <v>181</v>
      </c>
      <c r="AG985" s="6" t="s">
        <v>182</v>
      </c>
      <c r="AH985" s="7"/>
      <c r="AI985" s="7"/>
      <c r="AJ985" s="7"/>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row>
    <row r="986" ht="22.5" customHeight="1">
      <c r="A986" s="4">
        <v>46229.702642592594</v>
      </c>
      <c r="B986" s="5">
        <v>0.0</v>
      </c>
      <c r="C986" s="6" t="s">
        <v>114</v>
      </c>
      <c r="D986" s="6" t="s">
        <v>2093</v>
      </c>
      <c r="E986" s="6" t="s">
        <v>2094</v>
      </c>
      <c r="F986" s="6">
        <v>6.9070500645E10</v>
      </c>
      <c r="G986" s="6" t="s">
        <v>6140</v>
      </c>
      <c r="H986" s="7"/>
      <c r="I986" s="6" t="s">
        <v>10032</v>
      </c>
      <c r="J986" s="6" t="s">
        <v>10033</v>
      </c>
      <c r="K986" s="6" t="s">
        <v>10034</v>
      </c>
      <c r="L986" s="6" t="s">
        <v>10035</v>
      </c>
      <c r="M986" s="6" t="s">
        <v>10036</v>
      </c>
      <c r="N986" s="7"/>
      <c r="O986" s="6" t="s">
        <v>10037</v>
      </c>
      <c r="P986" s="6" t="s">
        <v>10038</v>
      </c>
      <c r="Q986" s="6" t="s">
        <v>10039</v>
      </c>
      <c r="R986" s="6" t="s">
        <v>246</v>
      </c>
      <c r="S986" s="6" t="s">
        <v>147</v>
      </c>
      <c r="T986" s="6" t="s">
        <v>257</v>
      </c>
      <c r="U986" s="6" t="s">
        <v>252</v>
      </c>
      <c r="V986" s="6" t="s">
        <v>246</v>
      </c>
      <c r="W986" s="6" t="s">
        <v>158</v>
      </c>
      <c r="X986" s="6" t="s">
        <v>257</v>
      </c>
      <c r="Y986" s="6" t="s">
        <v>162</v>
      </c>
      <c r="Z986" s="6" t="s">
        <v>165</v>
      </c>
      <c r="AA986" s="6" t="s">
        <v>262</v>
      </c>
      <c r="AB986" s="6" t="s">
        <v>1266</v>
      </c>
      <c r="AC986" s="6" t="s">
        <v>174</v>
      </c>
      <c r="AD986" s="6" t="s">
        <v>1723</v>
      </c>
      <c r="AE986" s="6" t="s">
        <v>178</v>
      </c>
      <c r="AF986" s="6" t="s">
        <v>181</v>
      </c>
      <c r="AG986" s="6" t="s">
        <v>182</v>
      </c>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row>
    <row r="987" ht="22.5" customHeight="1">
      <c r="A987" s="4">
        <v>46229.70265381945</v>
      </c>
      <c r="B987" s="5">
        <v>0.0</v>
      </c>
      <c r="C987" s="6" t="s">
        <v>114</v>
      </c>
      <c r="D987" s="6" t="s">
        <v>2095</v>
      </c>
      <c r="E987" s="6" t="s">
        <v>2096</v>
      </c>
      <c r="F987" s="6">
        <v>6.907050842E10</v>
      </c>
      <c r="G987" s="6" t="s">
        <v>4580</v>
      </c>
      <c r="H987" s="7"/>
      <c r="I987" s="6" t="s">
        <v>10040</v>
      </c>
      <c r="J987" s="6" t="s">
        <v>10041</v>
      </c>
      <c r="K987" s="6" t="s">
        <v>8540</v>
      </c>
      <c r="L987" s="6" t="s">
        <v>10042</v>
      </c>
      <c r="M987" s="6" t="s">
        <v>8539</v>
      </c>
      <c r="N987" s="7"/>
      <c r="O987" s="6" t="s">
        <v>10043</v>
      </c>
      <c r="P987" s="6" t="s">
        <v>10044</v>
      </c>
      <c r="Q987" s="6" t="s">
        <v>10045</v>
      </c>
      <c r="R987" s="6" t="s">
        <v>246</v>
      </c>
      <c r="S987" s="6" t="s">
        <v>147</v>
      </c>
      <c r="T987" s="6" t="s">
        <v>250</v>
      </c>
      <c r="U987" s="6" t="s">
        <v>2254</v>
      </c>
      <c r="V987" s="6" t="s">
        <v>246</v>
      </c>
      <c r="W987" s="6" t="s">
        <v>158</v>
      </c>
      <c r="X987" s="6" t="s">
        <v>257</v>
      </c>
      <c r="Y987" s="6" t="s">
        <v>162</v>
      </c>
      <c r="Z987" s="6" t="s">
        <v>165</v>
      </c>
      <c r="AA987" s="6" t="s">
        <v>262</v>
      </c>
      <c r="AB987" s="6" t="s">
        <v>171</v>
      </c>
      <c r="AC987" s="6" t="s">
        <v>174</v>
      </c>
      <c r="AD987" s="6" t="s">
        <v>175</v>
      </c>
      <c r="AE987" s="6" t="s">
        <v>271</v>
      </c>
      <c r="AF987" s="6" t="s">
        <v>181</v>
      </c>
      <c r="AG987" s="6" t="s">
        <v>182</v>
      </c>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row>
    <row r="988" ht="22.5" customHeight="1">
      <c r="A988" s="4">
        <v>46229.70265481481</v>
      </c>
      <c r="B988" s="5">
        <v>0.0</v>
      </c>
      <c r="C988" s="6" t="s">
        <v>114</v>
      </c>
      <c r="D988" s="6" t="s">
        <v>2097</v>
      </c>
      <c r="E988" s="6" t="s">
        <v>2098</v>
      </c>
      <c r="F988" s="6">
        <v>6.9070508417E10</v>
      </c>
      <c r="G988" s="6" t="s">
        <v>4580</v>
      </c>
      <c r="H988" s="7"/>
      <c r="I988" s="6" t="s">
        <v>10046</v>
      </c>
      <c r="J988" s="6" t="s">
        <v>1908</v>
      </c>
      <c r="K988" s="6" t="s">
        <v>1904</v>
      </c>
      <c r="L988" s="6" t="s">
        <v>1903</v>
      </c>
      <c r="M988" s="6" t="s">
        <v>10047</v>
      </c>
      <c r="N988" s="7"/>
      <c r="O988" s="6" t="s">
        <v>10048</v>
      </c>
      <c r="P988" s="6" t="s">
        <v>10049</v>
      </c>
      <c r="Q988" s="6" t="s">
        <v>10050</v>
      </c>
      <c r="R988" s="6" t="s">
        <v>246</v>
      </c>
      <c r="S988" s="6" t="s">
        <v>147</v>
      </c>
      <c r="T988" s="6" t="s">
        <v>250</v>
      </c>
      <c r="U988" s="6" t="s">
        <v>2254</v>
      </c>
      <c r="V988" s="6" t="s">
        <v>246</v>
      </c>
      <c r="W988" s="6" t="s">
        <v>158</v>
      </c>
      <c r="X988" s="6" t="s">
        <v>257</v>
      </c>
      <c r="Y988" s="6" t="s">
        <v>162</v>
      </c>
      <c r="Z988" s="6" t="s">
        <v>165</v>
      </c>
      <c r="AA988" s="6" t="s">
        <v>262</v>
      </c>
      <c r="AB988" s="6" t="s">
        <v>171</v>
      </c>
      <c r="AC988" s="6" t="s">
        <v>174</v>
      </c>
      <c r="AD988" s="6" t="s">
        <v>175</v>
      </c>
      <c r="AE988" s="6" t="s">
        <v>271</v>
      </c>
      <c r="AF988" s="6" t="s">
        <v>181</v>
      </c>
      <c r="AG988" s="6" t="s">
        <v>182</v>
      </c>
      <c r="AH988" s="7"/>
      <c r="AI988" s="7"/>
      <c r="AJ988" s="7"/>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c r="BJ988" s="7"/>
      <c r="BK988" s="7"/>
    </row>
    <row r="989" ht="22.5" customHeight="1">
      <c r="A989" s="4">
        <v>46229.7026690162</v>
      </c>
      <c r="B989" s="5">
        <v>0.0</v>
      </c>
      <c r="C989" s="6" t="s">
        <v>114</v>
      </c>
      <c r="D989" s="6" t="s">
        <v>2099</v>
      </c>
      <c r="E989" s="6" t="s">
        <v>2100</v>
      </c>
      <c r="F989" s="6">
        <v>6.9070501217E10</v>
      </c>
      <c r="G989" s="6" t="s">
        <v>228</v>
      </c>
      <c r="H989" s="6" t="s">
        <v>10051</v>
      </c>
      <c r="I989" s="6" t="s">
        <v>10052</v>
      </c>
      <c r="J989" s="6" t="s">
        <v>10053</v>
      </c>
      <c r="K989" s="6" t="s">
        <v>10054</v>
      </c>
      <c r="L989" s="6" t="s">
        <v>10055</v>
      </c>
      <c r="M989" s="6" t="s">
        <v>10056</v>
      </c>
      <c r="N989" s="6" t="s">
        <v>10057</v>
      </c>
      <c r="O989" s="6" t="s">
        <v>10058</v>
      </c>
      <c r="P989" s="6" t="s">
        <v>10059</v>
      </c>
      <c r="Q989" s="6" t="s">
        <v>10060</v>
      </c>
      <c r="R989" s="6" t="s">
        <v>246</v>
      </c>
      <c r="S989" s="6" t="s">
        <v>147</v>
      </c>
      <c r="T989" s="6" t="s">
        <v>250</v>
      </c>
      <c r="U989" s="6" t="s">
        <v>560</v>
      </c>
      <c r="V989" s="6" t="s">
        <v>155</v>
      </c>
      <c r="W989" s="6" t="s">
        <v>158</v>
      </c>
      <c r="X989" s="6" t="s">
        <v>257</v>
      </c>
      <c r="Y989" s="6" t="s">
        <v>162</v>
      </c>
      <c r="Z989" s="6" t="s">
        <v>165</v>
      </c>
      <c r="AA989" s="6" t="s">
        <v>262</v>
      </c>
      <c r="AB989" s="6" t="s">
        <v>171</v>
      </c>
      <c r="AC989" s="6" t="s">
        <v>1669</v>
      </c>
      <c r="AD989" s="6" t="s">
        <v>175</v>
      </c>
      <c r="AE989" s="6" t="s">
        <v>271</v>
      </c>
      <c r="AF989" s="6" t="s">
        <v>181</v>
      </c>
      <c r="AG989" s="6" t="s">
        <v>182</v>
      </c>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row>
    <row r="990" ht="22.5" customHeight="1">
      <c r="A990" s="4">
        <v>46229.70268674768</v>
      </c>
      <c r="B990" s="5">
        <v>0.0</v>
      </c>
      <c r="C990" s="6" t="s">
        <v>114</v>
      </c>
      <c r="D990" s="6" t="s">
        <v>2101</v>
      </c>
      <c r="E990" s="6" t="s">
        <v>2102</v>
      </c>
      <c r="F990" s="6">
        <v>6.907050067E10</v>
      </c>
      <c r="G990" s="6" t="s">
        <v>6140</v>
      </c>
      <c r="H990" s="7"/>
      <c r="I990" s="6" t="s">
        <v>10061</v>
      </c>
      <c r="J990" s="6" t="s">
        <v>10062</v>
      </c>
      <c r="K990" s="6" t="s">
        <v>10063</v>
      </c>
      <c r="L990" s="6" t="s">
        <v>10064</v>
      </c>
      <c r="M990" s="6" t="s">
        <v>10065</v>
      </c>
      <c r="N990" s="6" t="s">
        <v>2633</v>
      </c>
      <c r="O990" s="6" t="s">
        <v>10066</v>
      </c>
      <c r="P990" s="6" t="s">
        <v>10067</v>
      </c>
      <c r="Q990" s="6" t="s">
        <v>10068</v>
      </c>
      <c r="R990" s="6" t="s">
        <v>257</v>
      </c>
      <c r="S990" s="6" t="s">
        <v>147</v>
      </c>
      <c r="T990" s="6" t="s">
        <v>257</v>
      </c>
      <c r="U990" s="6" t="s">
        <v>2254</v>
      </c>
      <c r="V990" s="6" t="s">
        <v>155</v>
      </c>
      <c r="W990" s="6" t="s">
        <v>158</v>
      </c>
      <c r="X990" s="6" t="s">
        <v>161</v>
      </c>
      <c r="Y990" s="6" t="s">
        <v>162</v>
      </c>
      <c r="Z990" s="6" t="s">
        <v>152</v>
      </c>
      <c r="AA990" s="6" t="s">
        <v>641</v>
      </c>
      <c r="AB990" s="6" t="s">
        <v>3847</v>
      </c>
      <c r="AC990" s="6" t="s">
        <v>633</v>
      </c>
      <c r="AD990" s="6" t="s">
        <v>641</v>
      </c>
      <c r="AE990" s="6" t="s">
        <v>524</v>
      </c>
      <c r="AF990" s="6" t="s">
        <v>633</v>
      </c>
      <c r="AG990" s="6" t="s">
        <v>182</v>
      </c>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row>
    <row r="991" ht="22.5" customHeight="1">
      <c r="A991" s="4">
        <v>46229.702701284725</v>
      </c>
      <c r="B991" s="5">
        <v>0.0</v>
      </c>
      <c r="C991" s="6" t="s">
        <v>114</v>
      </c>
      <c r="D991" s="6" t="s">
        <v>2103</v>
      </c>
      <c r="E991" s="6" t="s">
        <v>2104</v>
      </c>
      <c r="F991" s="6">
        <v>6.9070501067E10</v>
      </c>
      <c r="G991" s="6" t="s">
        <v>1470</v>
      </c>
      <c r="H991" s="7"/>
      <c r="I991" s="6" t="s">
        <v>10069</v>
      </c>
      <c r="J991" s="6" t="s">
        <v>10070</v>
      </c>
      <c r="K991" s="6" t="s">
        <v>10071</v>
      </c>
      <c r="L991" s="6" t="s">
        <v>10072</v>
      </c>
      <c r="M991" s="6" t="s">
        <v>10073</v>
      </c>
      <c r="N991" s="7"/>
      <c r="O991" s="6" t="s">
        <v>10074</v>
      </c>
      <c r="P991" s="6" t="s">
        <v>10075</v>
      </c>
      <c r="Q991" s="6" t="s">
        <v>10076</v>
      </c>
      <c r="R991" s="6" t="s">
        <v>257</v>
      </c>
      <c r="S991" s="6" t="s">
        <v>147</v>
      </c>
      <c r="T991" s="6" t="s">
        <v>250</v>
      </c>
      <c r="U991" s="6" t="s">
        <v>252</v>
      </c>
      <c r="V991" s="6" t="s">
        <v>246</v>
      </c>
      <c r="W991" s="6" t="s">
        <v>158</v>
      </c>
      <c r="X991" s="6" t="s">
        <v>257</v>
      </c>
      <c r="Y991" s="6" t="s">
        <v>162</v>
      </c>
      <c r="Z991" s="6" t="s">
        <v>165</v>
      </c>
      <c r="AA991" s="6" t="s">
        <v>262</v>
      </c>
      <c r="AB991" s="6" t="s">
        <v>171</v>
      </c>
      <c r="AC991" s="6" t="s">
        <v>174</v>
      </c>
      <c r="AD991" s="6" t="s">
        <v>175</v>
      </c>
      <c r="AE991" s="6" t="s">
        <v>271</v>
      </c>
      <c r="AF991" s="6" t="s">
        <v>181</v>
      </c>
      <c r="AG991" s="6" t="s">
        <v>182</v>
      </c>
      <c r="AH991" s="7"/>
      <c r="AI991" s="7"/>
      <c r="AJ991" s="7"/>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row>
    <row r="992" ht="22.5" customHeight="1">
      <c r="A992" s="4">
        <v>46229.70270163195</v>
      </c>
      <c r="B992" s="5">
        <v>0.0</v>
      </c>
      <c r="C992" s="6" t="s">
        <v>114</v>
      </c>
      <c r="D992" s="6" t="s">
        <v>2105</v>
      </c>
      <c r="E992" s="6" t="s">
        <v>2106</v>
      </c>
      <c r="F992" s="6">
        <v>6.9070501244E10</v>
      </c>
      <c r="G992" s="6" t="s">
        <v>228</v>
      </c>
      <c r="H992" s="6" t="s">
        <v>2633</v>
      </c>
      <c r="I992" s="6" t="s">
        <v>10077</v>
      </c>
      <c r="J992" s="6" t="s">
        <v>9909</v>
      </c>
      <c r="K992" s="6" t="s">
        <v>9511</v>
      </c>
      <c r="L992" s="6" t="s">
        <v>3115</v>
      </c>
      <c r="M992" s="6" t="s">
        <v>10078</v>
      </c>
      <c r="N992" s="6" t="s">
        <v>10079</v>
      </c>
      <c r="O992" s="6" t="s">
        <v>10080</v>
      </c>
      <c r="P992" s="6" t="s">
        <v>10081</v>
      </c>
      <c r="Q992" s="6" t="s">
        <v>10082</v>
      </c>
      <c r="R992" s="6" t="s">
        <v>257</v>
      </c>
      <c r="S992" s="6" t="s">
        <v>147</v>
      </c>
      <c r="T992" s="6" t="s">
        <v>516</v>
      </c>
      <c r="U992" s="6" t="s">
        <v>152</v>
      </c>
      <c r="V992" s="6" t="s">
        <v>246</v>
      </c>
      <c r="W992" s="6" t="s">
        <v>3463</v>
      </c>
      <c r="X992" s="6" t="s">
        <v>161</v>
      </c>
      <c r="Y992" s="6" t="s">
        <v>162</v>
      </c>
      <c r="Z992" s="6" t="s">
        <v>165</v>
      </c>
      <c r="AA992" s="6" t="s">
        <v>262</v>
      </c>
      <c r="AB992" s="6" t="s">
        <v>171</v>
      </c>
      <c r="AC992" s="6" t="s">
        <v>633</v>
      </c>
      <c r="AD992" s="6" t="s">
        <v>1723</v>
      </c>
      <c r="AE992" s="6" t="s">
        <v>271</v>
      </c>
      <c r="AF992" s="6" t="s">
        <v>811</v>
      </c>
      <c r="AG992" s="6" t="s">
        <v>182</v>
      </c>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row>
    <row r="993" ht="22.5" customHeight="1">
      <c r="A993" s="4">
        <v>46229.70270768518</v>
      </c>
      <c r="B993" s="5">
        <v>0.0</v>
      </c>
      <c r="C993" s="6" t="s">
        <v>114</v>
      </c>
      <c r="D993" s="6" t="s">
        <v>2107</v>
      </c>
      <c r="E993" s="6" t="s">
        <v>2108</v>
      </c>
      <c r="F993" s="6">
        <v>6.9070501223E10</v>
      </c>
      <c r="G993" s="6" t="s">
        <v>228</v>
      </c>
      <c r="H993" s="7"/>
      <c r="I993" s="6" t="s">
        <v>10083</v>
      </c>
      <c r="J993" s="6" t="s">
        <v>10084</v>
      </c>
      <c r="K993" s="6" t="s">
        <v>10085</v>
      </c>
      <c r="L993" s="6" t="s">
        <v>10086</v>
      </c>
      <c r="M993" s="6" t="s">
        <v>10087</v>
      </c>
      <c r="N993" s="7"/>
      <c r="O993" s="6" t="s">
        <v>10088</v>
      </c>
      <c r="P993" s="6" t="s">
        <v>10089</v>
      </c>
      <c r="Q993" s="6" t="s">
        <v>10090</v>
      </c>
      <c r="R993" s="6" t="s">
        <v>257</v>
      </c>
      <c r="S993" s="6" t="s">
        <v>147</v>
      </c>
      <c r="T993" s="6" t="s">
        <v>250</v>
      </c>
      <c r="U993" s="6" t="s">
        <v>252</v>
      </c>
      <c r="V993" s="6" t="s">
        <v>246</v>
      </c>
      <c r="W993" s="6" t="s">
        <v>158</v>
      </c>
      <c r="X993" s="6" t="s">
        <v>257</v>
      </c>
      <c r="Y993" s="6" t="s">
        <v>162</v>
      </c>
      <c r="Z993" s="6" t="s">
        <v>165</v>
      </c>
      <c r="AA993" s="6" t="s">
        <v>262</v>
      </c>
      <c r="AB993" s="6" t="s">
        <v>521</v>
      </c>
      <c r="AC993" s="6" t="s">
        <v>174</v>
      </c>
      <c r="AD993" s="6" t="s">
        <v>175</v>
      </c>
      <c r="AE993" s="6" t="s">
        <v>271</v>
      </c>
      <c r="AF993" s="6" t="s">
        <v>181</v>
      </c>
      <c r="AG993" s="6" t="s">
        <v>182</v>
      </c>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row>
    <row r="994" ht="22.5" customHeight="1">
      <c r="A994" s="4">
        <v>46229.702710937505</v>
      </c>
      <c r="B994" s="5">
        <v>0.0</v>
      </c>
      <c r="C994" s="6" t="s">
        <v>114</v>
      </c>
      <c r="D994" s="6" t="s">
        <v>2109</v>
      </c>
      <c r="E994" s="6" t="s">
        <v>2110</v>
      </c>
      <c r="F994" s="6">
        <v>6.9070500659E10</v>
      </c>
      <c r="G994" s="6" t="s">
        <v>6140</v>
      </c>
      <c r="H994" s="7"/>
      <c r="I994" s="6" t="s">
        <v>10091</v>
      </c>
      <c r="J994" s="6" t="s">
        <v>10092</v>
      </c>
      <c r="K994" s="6" t="s">
        <v>10093</v>
      </c>
      <c r="L994" s="6" t="s">
        <v>10094</v>
      </c>
      <c r="M994" s="6" t="s">
        <v>10095</v>
      </c>
      <c r="N994" s="7"/>
      <c r="O994" s="6" t="s">
        <v>10096</v>
      </c>
      <c r="P994" s="6" t="s">
        <v>10097</v>
      </c>
      <c r="Q994" s="6" t="s">
        <v>10098</v>
      </c>
      <c r="R994" s="6" t="s">
        <v>246</v>
      </c>
      <c r="S994" s="6" t="s">
        <v>147</v>
      </c>
      <c r="T994" s="6" t="s">
        <v>516</v>
      </c>
      <c r="U994" s="6" t="s">
        <v>252</v>
      </c>
      <c r="V994" s="6" t="s">
        <v>246</v>
      </c>
      <c r="W994" s="6" t="s">
        <v>158</v>
      </c>
      <c r="X994" s="6" t="s">
        <v>257</v>
      </c>
      <c r="Y994" s="6" t="s">
        <v>162</v>
      </c>
      <c r="Z994" s="6" t="s">
        <v>165</v>
      </c>
      <c r="AA994" s="6" t="s">
        <v>262</v>
      </c>
      <c r="AB994" s="6" t="s">
        <v>521</v>
      </c>
      <c r="AC994" s="6" t="s">
        <v>1669</v>
      </c>
      <c r="AD994" s="6" t="s">
        <v>175</v>
      </c>
      <c r="AE994" s="6" t="s">
        <v>271</v>
      </c>
      <c r="AF994" s="6" t="s">
        <v>181</v>
      </c>
      <c r="AG994" s="6" t="s">
        <v>182</v>
      </c>
      <c r="AH994" s="7"/>
      <c r="AI994" s="7"/>
      <c r="AJ994" s="7"/>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c r="BJ994" s="7"/>
      <c r="BK994" s="7"/>
    </row>
    <row r="995" ht="22.5" customHeight="1">
      <c r="A995" s="4">
        <v>46229.70271759259</v>
      </c>
      <c r="B995" s="5">
        <v>0.0</v>
      </c>
      <c r="C995" s="6" t="s">
        <v>114</v>
      </c>
      <c r="D995" s="6" t="s">
        <v>296</v>
      </c>
      <c r="E995" s="6" t="s">
        <v>2111</v>
      </c>
      <c r="F995" s="6">
        <v>6.9070506462E10</v>
      </c>
      <c r="G995" s="6" t="s">
        <v>599</v>
      </c>
      <c r="H995" s="6" t="s">
        <v>10099</v>
      </c>
      <c r="I995" s="6" t="s">
        <v>10100</v>
      </c>
      <c r="J995" s="6" t="s">
        <v>10101</v>
      </c>
      <c r="K995" s="6" t="s">
        <v>10102</v>
      </c>
      <c r="L995" s="6" t="s">
        <v>7736</v>
      </c>
      <c r="M995" s="6" t="s">
        <v>6120</v>
      </c>
      <c r="N995" s="7"/>
      <c r="O995" s="6" t="s">
        <v>10103</v>
      </c>
      <c r="P995" s="6" t="s">
        <v>10104</v>
      </c>
      <c r="Q995" s="6" t="s">
        <v>10105</v>
      </c>
      <c r="R995" s="6" t="s">
        <v>246</v>
      </c>
      <c r="S995" s="6" t="s">
        <v>147</v>
      </c>
      <c r="T995" s="6" t="s">
        <v>246</v>
      </c>
      <c r="U995" s="6" t="s">
        <v>2254</v>
      </c>
      <c r="V995" s="6" t="s">
        <v>458</v>
      </c>
      <c r="W995" s="6" t="s">
        <v>158</v>
      </c>
      <c r="X995" s="6" t="s">
        <v>458</v>
      </c>
      <c r="Y995" s="6" t="s">
        <v>162</v>
      </c>
      <c r="Z995" s="6" t="s">
        <v>165</v>
      </c>
      <c r="AA995" s="6" t="s">
        <v>262</v>
      </c>
      <c r="AB995" s="6" t="s">
        <v>171</v>
      </c>
      <c r="AC995" s="6" t="s">
        <v>174</v>
      </c>
      <c r="AD995" s="6" t="s">
        <v>175</v>
      </c>
      <c r="AE995" s="6" t="s">
        <v>271</v>
      </c>
      <c r="AF995" s="6" t="s">
        <v>181</v>
      </c>
      <c r="AG995" s="6" t="s">
        <v>641</v>
      </c>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row>
    <row r="996" ht="22.5" customHeight="1">
      <c r="A996" s="4">
        <v>46229.70272458333</v>
      </c>
      <c r="B996" s="5">
        <v>0.0</v>
      </c>
      <c r="C996" s="6" t="s">
        <v>114</v>
      </c>
      <c r="D996" s="6" t="s">
        <v>2112</v>
      </c>
      <c r="E996" s="6" t="s">
        <v>2113</v>
      </c>
      <c r="F996" s="6">
        <v>6.9070508805E10</v>
      </c>
      <c r="G996" s="6" t="s">
        <v>5399</v>
      </c>
      <c r="H996" s="7"/>
      <c r="I996" s="6" t="s">
        <v>10106</v>
      </c>
      <c r="J996" s="6" t="s">
        <v>10107</v>
      </c>
      <c r="K996" s="6" t="s">
        <v>10108</v>
      </c>
      <c r="L996" s="6" t="s">
        <v>10109</v>
      </c>
      <c r="M996" s="6" t="s">
        <v>10110</v>
      </c>
      <c r="N996" s="7"/>
      <c r="O996" s="6" t="s">
        <v>10111</v>
      </c>
      <c r="P996" s="6" t="s">
        <v>10112</v>
      </c>
      <c r="Q996" s="6" t="s">
        <v>10113</v>
      </c>
      <c r="R996" s="6" t="s">
        <v>246</v>
      </c>
      <c r="S996" s="6" t="s">
        <v>147</v>
      </c>
      <c r="T996" s="6" t="s">
        <v>250</v>
      </c>
      <c r="U996" s="6" t="s">
        <v>686</v>
      </c>
      <c r="V996" s="6" t="s">
        <v>246</v>
      </c>
      <c r="W996" s="6" t="s">
        <v>158</v>
      </c>
      <c r="X996" s="6" t="s">
        <v>257</v>
      </c>
      <c r="Y996" s="6" t="s">
        <v>162</v>
      </c>
      <c r="Z996" s="6" t="s">
        <v>165</v>
      </c>
      <c r="AA996" s="6" t="s">
        <v>262</v>
      </c>
      <c r="AB996" s="6" t="s">
        <v>1266</v>
      </c>
      <c r="AC996" s="6" t="s">
        <v>174</v>
      </c>
      <c r="AD996" s="6" t="s">
        <v>175</v>
      </c>
      <c r="AE996" s="6" t="s">
        <v>271</v>
      </c>
      <c r="AF996" s="6" t="s">
        <v>181</v>
      </c>
      <c r="AG996" s="6" t="s">
        <v>182</v>
      </c>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7"/>
    </row>
    <row r="997" ht="22.5" customHeight="1">
      <c r="A997" s="4">
        <v>46229.70273318287</v>
      </c>
      <c r="B997" s="5">
        <v>0.0</v>
      </c>
      <c r="C997" s="6" t="s">
        <v>114</v>
      </c>
      <c r="D997" s="6" t="s">
        <v>2114</v>
      </c>
      <c r="E997" s="6" t="s">
        <v>2115</v>
      </c>
      <c r="F997" s="6">
        <v>6.9070500068E10</v>
      </c>
      <c r="G997" s="6" t="s">
        <v>4580</v>
      </c>
      <c r="H997" s="7"/>
      <c r="I997" s="6" t="s">
        <v>10114</v>
      </c>
      <c r="J997" s="6" t="s">
        <v>10115</v>
      </c>
      <c r="K997" s="6" t="s">
        <v>10116</v>
      </c>
      <c r="L997" s="6" t="s">
        <v>10117</v>
      </c>
      <c r="M997" s="6" t="s">
        <v>10118</v>
      </c>
      <c r="N997" s="7"/>
      <c r="O997" s="6" t="s">
        <v>10119</v>
      </c>
      <c r="P997" s="6" t="s">
        <v>10120</v>
      </c>
      <c r="Q997" s="6" t="s">
        <v>10121</v>
      </c>
      <c r="R997" s="6" t="s">
        <v>246</v>
      </c>
      <c r="S997" s="6" t="s">
        <v>147</v>
      </c>
      <c r="T997" s="6" t="s">
        <v>149</v>
      </c>
      <c r="U997" s="6" t="s">
        <v>686</v>
      </c>
      <c r="V997" s="6" t="s">
        <v>246</v>
      </c>
      <c r="W997" s="6" t="s">
        <v>158</v>
      </c>
      <c r="X997" s="6" t="s">
        <v>257</v>
      </c>
      <c r="Y997" s="6" t="s">
        <v>162</v>
      </c>
      <c r="Z997" s="6" t="s">
        <v>165</v>
      </c>
      <c r="AA997" s="6" t="s">
        <v>262</v>
      </c>
      <c r="AB997" s="6" t="s">
        <v>521</v>
      </c>
      <c r="AC997" s="6" t="s">
        <v>174</v>
      </c>
      <c r="AD997" s="6" t="s">
        <v>175</v>
      </c>
      <c r="AE997" s="6" t="s">
        <v>271</v>
      </c>
      <c r="AF997" s="6" t="s">
        <v>181</v>
      </c>
      <c r="AG997" s="6" t="s">
        <v>182</v>
      </c>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row>
    <row r="998" ht="22.5" customHeight="1">
      <c r="A998" s="4">
        <v>46229.70273346065</v>
      </c>
      <c r="B998" s="5">
        <v>0.0</v>
      </c>
      <c r="C998" s="6" t="s">
        <v>114</v>
      </c>
      <c r="D998" s="6" t="s">
        <v>284</v>
      </c>
      <c r="E998" s="6" t="s">
        <v>2116</v>
      </c>
      <c r="F998" s="6">
        <v>6.9070509439E10</v>
      </c>
      <c r="G998" s="6" t="s">
        <v>122</v>
      </c>
      <c r="H998" s="7"/>
      <c r="I998" s="6" t="s">
        <v>10122</v>
      </c>
      <c r="J998" s="6" t="s">
        <v>10123</v>
      </c>
      <c r="K998" s="6" t="s">
        <v>10124</v>
      </c>
      <c r="L998" s="6" t="s">
        <v>10125</v>
      </c>
      <c r="M998" s="6" t="s">
        <v>10126</v>
      </c>
      <c r="N998" s="7"/>
      <c r="O998" s="6" t="s">
        <v>10127</v>
      </c>
      <c r="P998" s="6" t="s">
        <v>10128</v>
      </c>
      <c r="Q998" s="6" t="s">
        <v>10129</v>
      </c>
      <c r="R998" s="6" t="s">
        <v>246</v>
      </c>
      <c r="S998" s="6" t="s">
        <v>147</v>
      </c>
      <c r="T998" s="6" t="s">
        <v>250</v>
      </c>
      <c r="U998" s="6" t="s">
        <v>252</v>
      </c>
      <c r="V998" s="6" t="s">
        <v>155</v>
      </c>
      <c r="W998" s="6" t="s">
        <v>158</v>
      </c>
      <c r="X998" s="6" t="s">
        <v>257</v>
      </c>
      <c r="Y998" s="6" t="s">
        <v>162</v>
      </c>
      <c r="Z998" s="6" t="s">
        <v>165</v>
      </c>
      <c r="AA998" s="6" t="s">
        <v>262</v>
      </c>
      <c r="AB998" s="6" t="s">
        <v>1266</v>
      </c>
      <c r="AC998" s="6" t="s">
        <v>174</v>
      </c>
      <c r="AD998" s="6" t="s">
        <v>175</v>
      </c>
      <c r="AE998" s="6" t="s">
        <v>271</v>
      </c>
      <c r="AF998" s="6" t="s">
        <v>181</v>
      </c>
      <c r="AG998" s="6" t="s">
        <v>182</v>
      </c>
      <c r="AH998" s="7"/>
      <c r="AI998" s="7"/>
      <c r="AJ998" s="7"/>
      <c r="AK998" s="7"/>
      <c r="AL998" s="7"/>
      <c r="AM998" s="7"/>
      <c r="AN998" s="7"/>
      <c r="AO998" s="7"/>
      <c r="AP998" s="7"/>
      <c r="AQ998" s="7"/>
      <c r="AR998" s="7"/>
      <c r="AS998" s="7"/>
      <c r="AT998" s="7"/>
      <c r="AU998" s="7"/>
      <c r="AV998" s="7"/>
      <c r="AW998" s="7"/>
      <c r="AX998" s="7"/>
      <c r="AY998" s="7"/>
      <c r="AZ998" s="7"/>
      <c r="BA998" s="7"/>
      <c r="BB998" s="7"/>
      <c r="BC998" s="7"/>
      <c r="BD998" s="7"/>
      <c r="BE998" s="7"/>
      <c r="BF998" s="7"/>
      <c r="BG998" s="7"/>
      <c r="BH998" s="7"/>
      <c r="BI998" s="7"/>
      <c r="BJ998" s="7"/>
      <c r="BK998" s="7"/>
    </row>
    <row r="999" ht="22.5" customHeight="1">
      <c r="A999" s="4">
        <v>46229.702743946764</v>
      </c>
      <c r="B999" s="5">
        <v>0.0</v>
      </c>
      <c r="C999" s="6" t="s">
        <v>114</v>
      </c>
      <c r="D999" s="6" t="s">
        <v>2117</v>
      </c>
      <c r="E999" s="6" t="s">
        <v>2118</v>
      </c>
      <c r="F999" s="6">
        <v>6.9070500604E10</v>
      </c>
      <c r="G999" s="6" t="s">
        <v>6140</v>
      </c>
      <c r="H999" s="7"/>
      <c r="I999" s="6" t="s">
        <v>8292</v>
      </c>
      <c r="J999" s="6" t="s">
        <v>10130</v>
      </c>
      <c r="K999" s="6" t="s">
        <v>10131</v>
      </c>
      <c r="L999" s="6" t="s">
        <v>10132</v>
      </c>
      <c r="M999" s="6" t="s">
        <v>10133</v>
      </c>
      <c r="N999" s="7"/>
      <c r="O999" s="6" t="s">
        <v>10134</v>
      </c>
      <c r="P999" s="6" t="s">
        <v>10135</v>
      </c>
      <c r="Q999" s="6" t="s">
        <v>10136</v>
      </c>
      <c r="R999" s="6" t="s">
        <v>246</v>
      </c>
      <c r="S999" s="6" t="s">
        <v>147</v>
      </c>
      <c r="T999" s="6" t="s">
        <v>250</v>
      </c>
      <c r="U999" s="6" t="s">
        <v>560</v>
      </c>
      <c r="V999" s="6" t="s">
        <v>155</v>
      </c>
      <c r="W999" s="6" t="s">
        <v>158</v>
      </c>
      <c r="X999" s="6" t="s">
        <v>458</v>
      </c>
      <c r="Y999" s="6" t="s">
        <v>162</v>
      </c>
      <c r="Z999" s="6" t="s">
        <v>165</v>
      </c>
      <c r="AA999" s="6" t="s">
        <v>262</v>
      </c>
      <c r="AB999" s="6" t="s">
        <v>171</v>
      </c>
      <c r="AC999" s="6" t="s">
        <v>174</v>
      </c>
      <c r="AD999" s="6" t="s">
        <v>175</v>
      </c>
      <c r="AE999" s="6" t="s">
        <v>271</v>
      </c>
      <c r="AF999" s="6" t="s">
        <v>181</v>
      </c>
      <c r="AG999" s="6" t="s">
        <v>182</v>
      </c>
      <c r="AH999" s="7"/>
      <c r="AI999" s="7"/>
      <c r="AJ999" s="7"/>
      <c r="AK999" s="7"/>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c r="BJ999" s="7"/>
      <c r="BK999" s="7"/>
    </row>
    <row r="1000" ht="22.5" customHeight="1">
      <c r="A1000" s="4">
        <v>46229.70275708333</v>
      </c>
      <c r="B1000" s="5">
        <v>0.0</v>
      </c>
      <c r="C1000" s="6" t="s">
        <v>114</v>
      </c>
      <c r="D1000" s="6" t="s">
        <v>2119</v>
      </c>
      <c r="E1000" s="6" t="s">
        <v>2121</v>
      </c>
      <c r="F1000" s="6">
        <v>6.9070501046E10</v>
      </c>
      <c r="G1000" s="6" t="s">
        <v>1470</v>
      </c>
      <c r="H1000" s="7"/>
      <c r="I1000" s="6" t="s">
        <v>10137</v>
      </c>
      <c r="J1000" s="6" t="s">
        <v>10138</v>
      </c>
      <c r="K1000" s="6" t="s">
        <v>10139</v>
      </c>
      <c r="L1000" s="6" t="s">
        <v>10140</v>
      </c>
      <c r="M1000" s="6" t="s">
        <v>5529</v>
      </c>
      <c r="N1000" s="7"/>
      <c r="O1000" s="6" t="s">
        <v>10141</v>
      </c>
      <c r="P1000" s="6" t="s">
        <v>10142</v>
      </c>
      <c r="Q1000" s="6" t="s">
        <v>10143</v>
      </c>
      <c r="R1000" s="6" t="s">
        <v>257</v>
      </c>
      <c r="S1000" s="6" t="s">
        <v>147</v>
      </c>
      <c r="T1000" s="6" t="s">
        <v>250</v>
      </c>
      <c r="U1000" s="6" t="s">
        <v>560</v>
      </c>
      <c r="V1000" s="6" t="s">
        <v>155</v>
      </c>
      <c r="W1000" s="6" t="s">
        <v>158</v>
      </c>
      <c r="X1000" s="6" t="s">
        <v>257</v>
      </c>
      <c r="Y1000" s="6" t="s">
        <v>162</v>
      </c>
      <c r="Z1000" s="6" t="s">
        <v>165</v>
      </c>
      <c r="AA1000" s="6" t="s">
        <v>262</v>
      </c>
      <c r="AB1000" s="6" t="s">
        <v>521</v>
      </c>
      <c r="AC1000" s="6" t="s">
        <v>174</v>
      </c>
      <c r="AD1000" s="6" t="s">
        <v>175</v>
      </c>
      <c r="AE1000" s="6" t="s">
        <v>271</v>
      </c>
      <c r="AF1000" s="6" t="s">
        <v>181</v>
      </c>
      <c r="AG1000" s="6" t="s">
        <v>182</v>
      </c>
      <c r="AH1000" s="7"/>
      <c r="AI1000" s="7"/>
      <c r="AJ1000" s="7"/>
      <c r="AK1000" s="7"/>
      <c r="AL1000" s="7"/>
      <c r="AM1000" s="7"/>
      <c r="AN1000" s="7"/>
      <c r="AO1000" s="7"/>
      <c r="AP1000" s="7"/>
      <c r="AQ1000" s="7"/>
      <c r="AR1000" s="7"/>
      <c r="AS1000" s="7"/>
      <c r="AT1000" s="7"/>
      <c r="AU1000" s="7"/>
      <c r="AV1000" s="7"/>
      <c r="AW1000" s="7"/>
      <c r="AX1000" s="7"/>
      <c r="AY1000" s="7"/>
      <c r="AZ1000" s="7"/>
      <c r="BA1000" s="7"/>
      <c r="BB1000" s="7"/>
      <c r="BC1000" s="7"/>
      <c r="BD1000" s="7"/>
      <c r="BE1000" s="7"/>
      <c r="BF1000" s="7"/>
      <c r="BG1000" s="7"/>
      <c r="BH1000" s="7"/>
      <c r="BI1000" s="7"/>
      <c r="BJ1000" s="7"/>
      <c r="BK1000" s="7"/>
    </row>
    <row r="1001" ht="22.5" customHeight="1">
      <c r="A1001" s="4">
        <v>46229.7027643287</v>
      </c>
      <c r="B1001" s="5">
        <v>0.0</v>
      </c>
      <c r="C1001" s="6" t="s">
        <v>114</v>
      </c>
      <c r="D1001" s="6" t="s">
        <v>2123</v>
      </c>
      <c r="E1001" s="6" t="s">
        <v>2124</v>
      </c>
      <c r="F1001" s="6">
        <v>6.9070509409E10</v>
      </c>
      <c r="G1001" s="6" t="s">
        <v>122</v>
      </c>
      <c r="H1001" s="7"/>
      <c r="I1001" s="6" t="s">
        <v>10144</v>
      </c>
      <c r="J1001" s="6" t="s">
        <v>10145</v>
      </c>
      <c r="K1001" s="6" t="s">
        <v>4429</v>
      </c>
      <c r="L1001" s="6" t="s">
        <v>6198</v>
      </c>
      <c r="M1001" s="6" t="s">
        <v>10146</v>
      </c>
      <c r="N1001" s="7"/>
      <c r="O1001" s="6" t="s">
        <v>10147</v>
      </c>
      <c r="P1001" s="6" t="s">
        <v>10148</v>
      </c>
      <c r="Q1001" s="6" t="s">
        <v>10149</v>
      </c>
      <c r="R1001" s="6" t="s">
        <v>246</v>
      </c>
      <c r="S1001" s="6" t="s">
        <v>147</v>
      </c>
      <c r="T1001" s="6" t="s">
        <v>250</v>
      </c>
      <c r="U1001" s="6" t="s">
        <v>686</v>
      </c>
      <c r="V1001" s="6" t="s">
        <v>155</v>
      </c>
      <c r="W1001" s="6" t="s">
        <v>158</v>
      </c>
      <c r="X1001" s="6" t="s">
        <v>257</v>
      </c>
      <c r="Y1001" s="6" t="s">
        <v>162</v>
      </c>
      <c r="Z1001" s="6" t="s">
        <v>165</v>
      </c>
      <c r="AA1001" s="6" t="s">
        <v>262</v>
      </c>
      <c r="AB1001" s="6" t="s">
        <v>171</v>
      </c>
      <c r="AC1001" s="6" t="s">
        <v>174</v>
      </c>
      <c r="AD1001" s="6" t="s">
        <v>175</v>
      </c>
      <c r="AE1001" s="6" t="s">
        <v>271</v>
      </c>
      <c r="AF1001" s="6" t="s">
        <v>181</v>
      </c>
      <c r="AG1001" s="6" t="s">
        <v>182</v>
      </c>
      <c r="AH1001" s="7"/>
      <c r="AI1001" s="7"/>
      <c r="AJ1001" s="7"/>
      <c r="AK1001" s="7"/>
      <c r="AL1001" s="7"/>
      <c r="AM1001" s="7"/>
      <c r="AN1001" s="7"/>
      <c r="AO1001" s="7"/>
      <c r="AP1001" s="7"/>
      <c r="AQ1001" s="7"/>
      <c r="AR1001" s="7"/>
      <c r="AS1001" s="7"/>
      <c r="AT1001" s="7"/>
      <c r="AU1001" s="7"/>
      <c r="AV1001" s="7"/>
      <c r="AW1001" s="7"/>
      <c r="AX1001" s="7"/>
      <c r="AY1001" s="7"/>
      <c r="AZ1001" s="7"/>
      <c r="BA1001" s="7"/>
      <c r="BB1001" s="7"/>
      <c r="BC1001" s="7"/>
      <c r="BD1001" s="7"/>
      <c r="BE1001" s="7"/>
      <c r="BF1001" s="7"/>
      <c r="BG1001" s="7"/>
      <c r="BH1001" s="7"/>
      <c r="BI1001" s="7"/>
      <c r="BJ1001" s="7"/>
      <c r="BK1001" s="7"/>
    </row>
    <row r="1002" ht="22.5" customHeight="1">
      <c r="A1002" s="4">
        <v>46229.702787291666</v>
      </c>
      <c r="B1002" s="5">
        <v>0.0</v>
      </c>
      <c r="C1002" s="6" t="s">
        <v>114</v>
      </c>
      <c r="D1002" s="6" t="s">
        <v>2127</v>
      </c>
      <c r="E1002" s="6" t="s">
        <v>826</v>
      </c>
      <c r="F1002" s="6">
        <v>6.9070501829E10</v>
      </c>
      <c r="G1002" s="6" t="s">
        <v>730</v>
      </c>
      <c r="H1002" s="7"/>
      <c r="I1002" s="6" t="s">
        <v>10150</v>
      </c>
      <c r="J1002" s="6" t="s">
        <v>10151</v>
      </c>
      <c r="K1002" s="6" t="s">
        <v>10152</v>
      </c>
      <c r="L1002" s="6" t="s">
        <v>10153</v>
      </c>
      <c r="M1002" s="6" t="s">
        <v>10154</v>
      </c>
      <c r="N1002" s="6" t="s">
        <v>10155</v>
      </c>
      <c r="O1002" s="6" t="s">
        <v>10156</v>
      </c>
      <c r="P1002" s="6" t="s">
        <v>10157</v>
      </c>
      <c r="Q1002" s="6" t="s">
        <v>10158</v>
      </c>
      <c r="R1002" s="6" t="s">
        <v>246</v>
      </c>
      <c r="S1002" s="6" t="s">
        <v>147</v>
      </c>
      <c r="T1002" s="6" t="s">
        <v>250</v>
      </c>
      <c r="U1002" s="6" t="s">
        <v>252</v>
      </c>
      <c r="V1002" s="6" t="s">
        <v>246</v>
      </c>
      <c r="W1002" s="6" t="s">
        <v>158</v>
      </c>
      <c r="X1002" s="6" t="s">
        <v>458</v>
      </c>
      <c r="Y1002" s="6" t="s">
        <v>162</v>
      </c>
      <c r="Z1002" s="6" t="s">
        <v>165</v>
      </c>
      <c r="AA1002" s="6" t="s">
        <v>262</v>
      </c>
      <c r="AB1002" s="6" t="s">
        <v>521</v>
      </c>
      <c r="AC1002" s="6" t="s">
        <v>2718</v>
      </c>
      <c r="AD1002" s="6" t="s">
        <v>635</v>
      </c>
      <c r="AE1002" s="6" t="s">
        <v>178</v>
      </c>
      <c r="AF1002" s="6" t="s">
        <v>181</v>
      </c>
      <c r="AG1002" s="6" t="s">
        <v>182</v>
      </c>
      <c r="AH1002" s="7"/>
      <c r="AI1002" s="7"/>
      <c r="AJ1002" s="7"/>
      <c r="AK1002" s="7"/>
      <c r="AL1002" s="7"/>
      <c r="AM1002" s="7"/>
      <c r="AN1002" s="7"/>
      <c r="AO1002" s="7"/>
      <c r="AP1002" s="7"/>
      <c r="AQ1002" s="7"/>
      <c r="AR1002" s="7"/>
      <c r="AS1002" s="7"/>
      <c r="AT1002" s="7"/>
      <c r="AU1002" s="7"/>
      <c r="AV1002" s="7"/>
      <c r="AW1002" s="7"/>
      <c r="AX1002" s="7"/>
      <c r="AY1002" s="7"/>
      <c r="AZ1002" s="7"/>
      <c r="BA1002" s="7"/>
      <c r="BB1002" s="7"/>
      <c r="BC1002" s="7"/>
      <c r="BD1002" s="7"/>
      <c r="BE1002" s="7"/>
      <c r="BF1002" s="7"/>
      <c r="BG1002" s="7"/>
      <c r="BH1002" s="7"/>
      <c r="BI1002" s="7"/>
      <c r="BJ1002" s="7"/>
      <c r="BK1002" s="7"/>
    </row>
    <row r="1003" ht="22.5" customHeight="1">
      <c r="A1003" s="4">
        <v>46229.70278765046</v>
      </c>
      <c r="B1003" s="5">
        <v>0.0</v>
      </c>
      <c r="C1003" s="6" t="s">
        <v>114</v>
      </c>
      <c r="D1003" s="6" t="s">
        <v>2130</v>
      </c>
      <c r="E1003" s="6" t="s">
        <v>2131</v>
      </c>
      <c r="F1003" s="6">
        <v>6.907050124E10</v>
      </c>
      <c r="G1003" s="6" t="s">
        <v>228</v>
      </c>
      <c r="H1003" s="7"/>
      <c r="I1003" s="6" t="s">
        <v>10159</v>
      </c>
      <c r="J1003" s="6" t="s">
        <v>8938</v>
      </c>
      <c r="K1003" s="6" t="s">
        <v>10160</v>
      </c>
      <c r="L1003" s="6" t="s">
        <v>10161</v>
      </c>
      <c r="M1003" s="6" t="s">
        <v>10162</v>
      </c>
      <c r="N1003" s="7"/>
      <c r="O1003" s="6" t="s">
        <v>10163</v>
      </c>
      <c r="P1003" s="6" t="s">
        <v>10164</v>
      </c>
      <c r="Q1003" s="6" t="s">
        <v>10165</v>
      </c>
      <c r="R1003" s="6" t="s">
        <v>246</v>
      </c>
      <c r="S1003" s="6" t="s">
        <v>147</v>
      </c>
      <c r="T1003" s="6" t="s">
        <v>250</v>
      </c>
      <c r="U1003" s="6" t="s">
        <v>252</v>
      </c>
      <c r="V1003" s="6" t="s">
        <v>246</v>
      </c>
      <c r="W1003" s="6" t="s">
        <v>158</v>
      </c>
      <c r="X1003" s="6" t="s">
        <v>458</v>
      </c>
      <c r="Y1003" s="6" t="s">
        <v>162</v>
      </c>
      <c r="Z1003" s="6" t="s">
        <v>165</v>
      </c>
      <c r="AA1003" s="6" t="s">
        <v>262</v>
      </c>
      <c r="AB1003" s="6" t="s">
        <v>171</v>
      </c>
      <c r="AC1003" s="6" t="s">
        <v>174</v>
      </c>
      <c r="AD1003" s="6" t="s">
        <v>175</v>
      </c>
      <c r="AE1003" s="6" t="s">
        <v>271</v>
      </c>
      <c r="AF1003" s="6" t="s">
        <v>181</v>
      </c>
      <c r="AG1003" s="6" t="s">
        <v>182</v>
      </c>
      <c r="AH1003" s="7"/>
      <c r="AI1003" s="7"/>
      <c r="AJ1003" s="7"/>
      <c r="AK1003" s="7"/>
      <c r="AL1003" s="7"/>
      <c r="AM1003" s="7"/>
      <c r="AN1003" s="7"/>
      <c r="AO1003" s="7"/>
      <c r="AP1003" s="7"/>
      <c r="AQ1003" s="7"/>
      <c r="AR1003" s="7"/>
      <c r="AS1003" s="7"/>
      <c r="AT1003" s="7"/>
      <c r="AU1003" s="7"/>
      <c r="AV1003" s="7"/>
      <c r="AW1003" s="7"/>
      <c r="AX1003" s="7"/>
      <c r="AY1003" s="7"/>
      <c r="AZ1003" s="7"/>
      <c r="BA1003" s="7"/>
      <c r="BB1003" s="7"/>
      <c r="BC1003" s="7"/>
      <c r="BD1003" s="7"/>
      <c r="BE1003" s="7"/>
      <c r="BF1003" s="7"/>
      <c r="BG1003" s="7"/>
      <c r="BH1003" s="7"/>
      <c r="BI1003" s="7"/>
      <c r="BJ1003" s="7"/>
      <c r="BK1003" s="7"/>
    </row>
    <row r="1004" ht="22.5" customHeight="1">
      <c r="A1004" s="4">
        <v>46229.702797199076</v>
      </c>
      <c r="B1004" s="5">
        <v>0.0</v>
      </c>
      <c r="C1004" s="6" t="s">
        <v>114</v>
      </c>
      <c r="D1004" s="6" t="s">
        <v>2133</v>
      </c>
      <c r="E1004" s="6" t="s">
        <v>2134</v>
      </c>
      <c r="F1004" s="6">
        <v>6.9070500694E10</v>
      </c>
      <c r="G1004" s="6" t="s">
        <v>6140</v>
      </c>
      <c r="H1004" s="6" t="s">
        <v>6911</v>
      </c>
      <c r="I1004" s="6" t="s">
        <v>10166</v>
      </c>
      <c r="J1004" s="6" t="s">
        <v>6916</v>
      </c>
      <c r="K1004" s="6" t="s">
        <v>10167</v>
      </c>
      <c r="L1004" s="6" t="s">
        <v>10168</v>
      </c>
      <c r="M1004" s="6" t="s">
        <v>6913</v>
      </c>
      <c r="N1004" s="6" t="s">
        <v>10169</v>
      </c>
      <c r="O1004" s="6" t="s">
        <v>10170</v>
      </c>
      <c r="P1004" s="6" t="s">
        <v>10171</v>
      </c>
      <c r="Q1004" s="6" t="s">
        <v>10172</v>
      </c>
      <c r="R1004" s="6" t="s">
        <v>246</v>
      </c>
      <c r="S1004" s="6" t="s">
        <v>147</v>
      </c>
      <c r="T1004" s="6" t="s">
        <v>250</v>
      </c>
      <c r="U1004" s="6" t="s">
        <v>686</v>
      </c>
      <c r="V1004" s="6" t="s">
        <v>246</v>
      </c>
      <c r="W1004" s="6" t="s">
        <v>158</v>
      </c>
      <c r="X1004" s="6" t="s">
        <v>257</v>
      </c>
      <c r="Y1004" s="6" t="s">
        <v>162</v>
      </c>
      <c r="Z1004" s="6" t="s">
        <v>165</v>
      </c>
      <c r="AA1004" s="6" t="s">
        <v>262</v>
      </c>
      <c r="AB1004" s="6" t="s">
        <v>171</v>
      </c>
      <c r="AC1004" s="6" t="s">
        <v>174</v>
      </c>
      <c r="AD1004" s="6" t="s">
        <v>175</v>
      </c>
      <c r="AE1004" s="6" t="s">
        <v>271</v>
      </c>
      <c r="AF1004" s="6" t="s">
        <v>181</v>
      </c>
      <c r="AG1004" s="6" t="s">
        <v>182</v>
      </c>
      <c r="AH1004" s="7"/>
      <c r="AI1004" s="7"/>
      <c r="AJ1004" s="7"/>
      <c r="AK1004" s="7"/>
      <c r="AL1004" s="7"/>
      <c r="AM1004" s="7"/>
      <c r="AN1004" s="7"/>
      <c r="AO1004" s="7"/>
      <c r="AP1004" s="7"/>
      <c r="AQ1004" s="7"/>
      <c r="AR1004" s="7"/>
      <c r="AS1004" s="7"/>
      <c r="AT1004" s="7"/>
      <c r="AU1004" s="7"/>
      <c r="AV1004" s="7"/>
      <c r="AW1004" s="7"/>
      <c r="AX1004" s="7"/>
      <c r="AY1004" s="7"/>
      <c r="AZ1004" s="7"/>
      <c r="BA1004" s="7"/>
      <c r="BB1004" s="7"/>
      <c r="BC1004" s="7"/>
      <c r="BD1004" s="7"/>
      <c r="BE1004" s="7"/>
      <c r="BF1004" s="7"/>
      <c r="BG1004" s="7"/>
      <c r="BH1004" s="7"/>
      <c r="BI1004" s="7"/>
      <c r="BJ1004" s="7"/>
      <c r="BK1004" s="7"/>
    </row>
    <row r="1005" ht="22.5" customHeight="1">
      <c r="A1005" s="4">
        <v>46229.70280421297</v>
      </c>
      <c r="B1005" s="5">
        <v>0.0</v>
      </c>
      <c r="C1005" s="6" t="s">
        <v>114</v>
      </c>
      <c r="D1005" s="6" t="s">
        <v>2137</v>
      </c>
      <c r="E1005" s="6" t="s">
        <v>2138</v>
      </c>
      <c r="F1005" s="6">
        <v>6.9070508802E10</v>
      </c>
      <c r="G1005" s="6" t="s">
        <v>5399</v>
      </c>
      <c r="H1005" s="7"/>
      <c r="I1005" s="6" t="s">
        <v>10173</v>
      </c>
      <c r="J1005" s="6" t="s">
        <v>10174</v>
      </c>
      <c r="K1005" s="6" t="s">
        <v>10175</v>
      </c>
      <c r="L1005" s="6" t="s">
        <v>8714</v>
      </c>
      <c r="M1005" s="6" t="s">
        <v>10176</v>
      </c>
      <c r="N1005" s="7"/>
      <c r="O1005" s="6" t="s">
        <v>10177</v>
      </c>
      <c r="P1005" s="6" t="s">
        <v>10178</v>
      </c>
      <c r="Q1005" s="6" t="s">
        <v>10179</v>
      </c>
      <c r="R1005" s="6" t="s">
        <v>246</v>
      </c>
      <c r="S1005" s="6" t="s">
        <v>147</v>
      </c>
      <c r="T1005" s="6" t="s">
        <v>250</v>
      </c>
      <c r="U1005" s="6" t="s">
        <v>686</v>
      </c>
      <c r="V1005" s="6" t="s">
        <v>155</v>
      </c>
      <c r="W1005" s="6" t="s">
        <v>158</v>
      </c>
      <c r="X1005" s="6" t="s">
        <v>257</v>
      </c>
      <c r="Y1005" s="6" t="s">
        <v>162</v>
      </c>
      <c r="Z1005" s="6" t="s">
        <v>165</v>
      </c>
      <c r="AA1005" s="6" t="s">
        <v>262</v>
      </c>
      <c r="AB1005" s="6" t="s">
        <v>171</v>
      </c>
      <c r="AC1005" s="6" t="s">
        <v>174</v>
      </c>
      <c r="AD1005" s="6" t="s">
        <v>175</v>
      </c>
      <c r="AE1005" s="6" t="s">
        <v>271</v>
      </c>
      <c r="AF1005" s="6" t="s">
        <v>181</v>
      </c>
      <c r="AG1005" s="6" t="s">
        <v>182</v>
      </c>
      <c r="AH1005" s="7"/>
      <c r="AI1005" s="7"/>
      <c r="AJ1005" s="7"/>
      <c r="AK1005" s="7"/>
      <c r="AL1005" s="7"/>
      <c r="AM1005" s="7"/>
      <c r="AN1005" s="7"/>
      <c r="AO1005" s="7"/>
      <c r="AP1005" s="7"/>
      <c r="AQ1005" s="7"/>
      <c r="AR1005" s="7"/>
      <c r="AS1005" s="7"/>
      <c r="AT1005" s="7"/>
      <c r="AU1005" s="7"/>
      <c r="AV1005" s="7"/>
      <c r="AW1005" s="7"/>
      <c r="AX1005" s="7"/>
      <c r="AY1005" s="7"/>
      <c r="AZ1005" s="7"/>
      <c r="BA1005" s="7"/>
      <c r="BB1005" s="7"/>
      <c r="BC1005" s="7"/>
      <c r="BD1005" s="7"/>
      <c r="BE1005" s="7"/>
      <c r="BF1005" s="7"/>
      <c r="BG1005" s="7"/>
      <c r="BH1005" s="7"/>
      <c r="BI1005" s="7"/>
      <c r="BJ1005" s="7"/>
      <c r="BK1005" s="7"/>
    </row>
    <row r="1006" ht="22.5" customHeight="1">
      <c r="A1006" s="4">
        <v>46229.70280438657</v>
      </c>
      <c r="B1006" s="5">
        <v>0.0</v>
      </c>
      <c r="C1006" s="6" t="s">
        <v>114</v>
      </c>
      <c r="D1006" s="6" t="s">
        <v>2139</v>
      </c>
      <c r="E1006" s="6" t="s">
        <v>2140</v>
      </c>
      <c r="F1006" s="6">
        <v>6.9070501286E10</v>
      </c>
      <c r="G1006" s="6" t="s">
        <v>228</v>
      </c>
      <c r="H1006" s="7"/>
      <c r="I1006" s="6" t="s">
        <v>10180</v>
      </c>
      <c r="J1006" s="6" t="s">
        <v>10181</v>
      </c>
      <c r="K1006" s="6" t="s">
        <v>10182</v>
      </c>
      <c r="L1006" s="6" t="s">
        <v>10183</v>
      </c>
      <c r="M1006" s="6" t="s">
        <v>10184</v>
      </c>
      <c r="N1006" s="7"/>
      <c r="O1006" s="6" t="s">
        <v>10185</v>
      </c>
      <c r="P1006" s="6" t="s">
        <v>9555</v>
      </c>
      <c r="Q1006" s="6" t="s">
        <v>10186</v>
      </c>
      <c r="R1006" s="6" t="s">
        <v>257</v>
      </c>
      <c r="S1006" s="6" t="s">
        <v>147</v>
      </c>
      <c r="T1006" s="6" t="s">
        <v>250</v>
      </c>
      <c r="U1006" s="6" t="s">
        <v>560</v>
      </c>
      <c r="V1006" s="6" t="s">
        <v>246</v>
      </c>
      <c r="W1006" s="6" t="s">
        <v>158</v>
      </c>
      <c r="X1006" s="6" t="s">
        <v>257</v>
      </c>
      <c r="Y1006" s="6" t="s">
        <v>162</v>
      </c>
      <c r="Z1006" s="6" t="s">
        <v>165</v>
      </c>
      <c r="AA1006" s="6" t="s">
        <v>262</v>
      </c>
      <c r="AB1006" s="6" t="s">
        <v>171</v>
      </c>
      <c r="AC1006" s="6" t="s">
        <v>1669</v>
      </c>
      <c r="AD1006" s="6" t="s">
        <v>175</v>
      </c>
      <c r="AE1006" s="6" t="s">
        <v>271</v>
      </c>
      <c r="AF1006" s="6" t="s">
        <v>181</v>
      </c>
      <c r="AG1006" s="6" t="s">
        <v>182</v>
      </c>
      <c r="AH1006" s="7"/>
      <c r="AI1006" s="7"/>
      <c r="AJ1006" s="7"/>
      <c r="AK1006" s="7"/>
      <c r="AL1006" s="7"/>
      <c r="AM1006" s="7"/>
      <c r="AN1006" s="7"/>
      <c r="AO1006" s="7"/>
      <c r="AP1006" s="7"/>
      <c r="AQ1006" s="7"/>
      <c r="AR1006" s="7"/>
      <c r="AS1006" s="7"/>
      <c r="AT1006" s="7"/>
      <c r="AU1006" s="7"/>
      <c r="AV1006" s="7"/>
      <c r="AW1006" s="7"/>
      <c r="AX1006" s="7"/>
      <c r="AY1006" s="7"/>
      <c r="AZ1006" s="7"/>
      <c r="BA1006" s="7"/>
      <c r="BB1006" s="7"/>
      <c r="BC1006" s="7"/>
      <c r="BD1006" s="7"/>
      <c r="BE1006" s="7"/>
      <c r="BF1006" s="7"/>
      <c r="BG1006" s="7"/>
      <c r="BH1006" s="7"/>
      <c r="BI1006" s="7"/>
      <c r="BJ1006" s="7"/>
      <c r="BK1006" s="7"/>
    </row>
    <row r="1007" ht="22.5" customHeight="1">
      <c r="A1007" s="4">
        <v>46229.70280637732</v>
      </c>
      <c r="B1007" s="5">
        <v>0.0</v>
      </c>
      <c r="C1007" s="6" t="s">
        <v>3296</v>
      </c>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6" t="s">
        <v>2803</v>
      </c>
      <c r="AI1007" s="6" t="s">
        <v>2804</v>
      </c>
      <c r="AJ1007" s="6">
        <v>6.9070509009E10</v>
      </c>
      <c r="AK1007" s="6" t="s">
        <v>5042</v>
      </c>
      <c r="AL1007" s="7"/>
      <c r="AM1007" s="6" t="s">
        <v>10187</v>
      </c>
      <c r="AN1007" s="6" t="s">
        <v>10188</v>
      </c>
      <c r="AO1007" s="6" t="s">
        <v>10189</v>
      </c>
      <c r="AP1007" s="6" t="s">
        <v>10190</v>
      </c>
      <c r="AQ1007" s="6" t="s">
        <v>10191</v>
      </c>
      <c r="AR1007" s="7"/>
      <c r="AS1007" s="6" t="s">
        <v>10192</v>
      </c>
      <c r="AT1007" s="6" t="s">
        <v>10193</v>
      </c>
      <c r="AU1007" s="6" t="s">
        <v>10194</v>
      </c>
      <c r="AV1007" s="6" t="s">
        <v>3306</v>
      </c>
      <c r="AW1007" s="6" t="s">
        <v>3307</v>
      </c>
      <c r="AX1007" s="6" t="s">
        <v>4887</v>
      </c>
      <c r="AY1007" s="6" t="s">
        <v>804</v>
      </c>
      <c r="AZ1007" s="6" t="s">
        <v>3306</v>
      </c>
      <c r="BA1007" s="6" t="s">
        <v>3311</v>
      </c>
      <c r="BB1007" s="6" t="s">
        <v>4693</v>
      </c>
      <c r="BC1007" s="6" t="s">
        <v>3313</v>
      </c>
      <c r="BD1007" s="6" t="s">
        <v>165</v>
      </c>
      <c r="BE1007" s="6" t="s">
        <v>4341</v>
      </c>
      <c r="BF1007" s="6" t="s">
        <v>3889</v>
      </c>
      <c r="BG1007" s="6" t="s">
        <v>5760</v>
      </c>
      <c r="BH1007" s="6" t="s">
        <v>3317</v>
      </c>
      <c r="BI1007" s="6" t="s">
        <v>271</v>
      </c>
      <c r="BJ1007" s="6" t="s">
        <v>3318</v>
      </c>
      <c r="BK1007" s="6" t="s">
        <v>4695</v>
      </c>
    </row>
    <row r="1008" ht="22.5" customHeight="1">
      <c r="A1008" s="4">
        <v>46229.70281715278</v>
      </c>
      <c r="B1008" s="5">
        <v>0.0</v>
      </c>
      <c r="C1008" s="6" t="s">
        <v>114</v>
      </c>
      <c r="D1008" s="6" t="s">
        <v>2141</v>
      </c>
      <c r="E1008" s="6" t="s">
        <v>2142</v>
      </c>
      <c r="F1008" s="6">
        <v>6.9070508848E10</v>
      </c>
      <c r="G1008" s="6" t="s">
        <v>5399</v>
      </c>
      <c r="H1008" s="7"/>
      <c r="I1008" s="6" t="s">
        <v>3773</v>
      </c>
      <c r="J1008" s="6" t="s">
        <v>10195</v>
      </c>
      <c r="K1008" s="6" t="s">
        <v>10196</v>
      </c>
      <c r="L1008" s="6" t="s">
        <v>3774</v>
      </c>
      <c r="M1008" s="6" t="s">
        <v>3771</v>
      </c>
      <c r="N1008" s="6" t="s">
        <v>10197</v>
      </c>
      <c r="O1008" s="6" t="s">
        <v>10198</v>
      </c>
      <c r="P1008" s="6" t="s">
        <v>10199</v>
      </c>
      <c r="Q1008" s="6" t="s">
        <v>10200</v>
      </c>
      <c r="R1008" s="6" t="s">
        <v>246</v>
      </c>
      <c r="S1008" s="6" t="s">
        <v>147</v>
      </c>
      <c r="T1008" s="6" t="s">
        <v>250</v>
      </c>
      <c r="U1008" s="6" t="s">
        <v>686</v>
      </c>
      <c r="V1008" s="6" t="s">
        <v>246</v>
      </c>
      <c r="W1008" s="6" t="s">
        <v>158</v>
      </c>
      <c r="X1008" s="6" t="s">
        <v>257</v>
      </c>
      <c r="Y1008" s="6" t="s">
        <v>162</v>
      </c>
      <c r="Z1008" s="6" t="s">
        <v>165</v>
      </c>
      <c r="AA1008" s="6" t="s">
        <v>262</v>
      </c>
      <c r="AB1008" s="6" t="s">
        <v>171</v>
      </c>
      <c r="AC1008" s="6" t="s">
        <v>174</v>
      </c>
      <c r="AD1008" s="6" t="s">
        <v>175</v>
      </c>
      <c r="AE1008" s="6" t="s">
        <v>271</v>
      </c>
      <c r="AF1008" s="6" t="s">
        <v>181</v>
      </c>
      <c r="AG1008" s="6" t="s">
        <v>182</v>
      </c>
      <c r="AH1008" s="7"/>
      <c r="AI1008" s="7"/>
      <c r="AJ1008" s="7"/>
      <c r="AK1008" s="7"/>
      <c r="AL1008" s="7"/>
      <c r="AM1008" s="7"/>
      <c r="AN1008" s="7"/>
      <c r="AO1008" s="7"/>
      <c r="AP1008" s="7"/>
      <c r="AQ1008" s="7"/>
      <c r="AR1008" s="7"/>
      <c r="AS1008" s="7"/>
      <c r="AT1008" s="7"/>
      <c r="AU1008" s="7"/>
      <c r="AV1008" s="7"/>
      <c r="AW1008" s="7"/>
      <c r="AX1008" s="7"/>
      <c r="AY1008" s="7"/>
      <c r="AZ1008" s="7"/>
      <c r="BA1008" s="7"/>
      <c r="BB1008" s="7"/>
      <c r="BC1008" s="7"/>
      <c r="BD1008" s="7"/>
      <c r="BE1008" s="7"/>
      <c r="BF1008" s="7"/>
      <c r="BG1008" s="7"/>
      <c r="BH1008" s="7"/>
      <c r="BI1008" s="7"/>
      <c r="BJ1008" s="7"/>
      <c r="BK1008" s="7"/>
    </row>
    <row r="1009" ht="22.5" customHeight="1">
      <c r="A1009" s="4">
        <v>46229.70284342593</v>
      </c>
      <c r="B1009" s="5">
        <v>0.0</v>
      </c>
      <c r="C1009" s="6" t="s">
        <v>3296</v>
      </c>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6" t="s">
        <v>2805</v>
      </c>
      <c r="AI1009" s="6" t="s">
        <v>2806</v>
      </c>
      <c r="AJ1009" s="6">
        <v>6.9070508628E10</v>
      </c>
      <c r="AK1009" s="6" t="s">
        <v>9716</v>
      </c>
      <c r="AL1009" s="7"/>
      <c r="AM1009" s="6" t="s">
        <v>10201</v>
      </c>
      <c r="AN1009" s="6" t="s">
        <v>10202</v>
      </c>
      <c r="AO1009" s="6" t="s">
        <v>10203</v>
      </c>
      <c r="AP1009" s="6" t="s">
        <v>10204</v>
      </c>
      <c r="AQ1009" s="6" t="s">
        <v>10205</v>
      </c>
      <c r="AR1009" s="7"/>
      <c r="AS1009" s="6" t="s">
        <v>10206</v>
      </c>
      <c r="AT1009" s="6" t="s">
        <v>10207</v>
      </c>
      <c r="AU1009" s="6" t="s">
        <v>10207</v>
      </c>
      <c r="AV1009" s="6" t="s">
        <v>3306</v>
      </c>
      <c r="AW1009" s="6" t="s">
        <v>3307</v>
      </c>
      <c r="AX1009" s="6" t="s">
        <v>3887</v>
      </c>
      <c r="AY1009" s="6" t="s">
        <v>4067</v>
      </c>
      <c r="AZ1009" s="6" t="s">
        <v>3306</v>
      </c>
      <c r="BA1009" s="6" t="s">
        <v>3311</v>
      </c>
      <c r="BB1009" s="6" t="s">
        <v>3312</v>
      </c>
      <c r="BC1009" s="6" t="s">
        <v>3313</v>
      </c>
      <c r="BD1009" s="6" t="s">
        <v>165</v>
      </c>
      <c r="BE1009" s="6" t="s">
        <v>3888</v>
      </c>
      <c r="BF1009" s="6" t="s">
        <v>3315</v>
      </c>
      <c r="BG1009" s="6" t="s">
        <v>3316</v>
      </c>
      <c r="BH1009" s="6" t="s">
        <v>3317</v>
      </c>
      <c r="BI1009" s="6" t="s">
        <v>271</v>
      </c>
      <c r="BJ1009" s="6" t="s">
        <v>3318</v>
      </c>
      <c r="BK1009" s="6" t="s">
        <v>3319</v>
      </c>
    </row>
    <row r="1010" ht="22.5" customHeight="1">
      <c r="A1010" s="4">
        <v>46229.70285149306</v>
      </c>
      <c r="B1010" s="5">
        <v>0.0</v>
      </c>
      <c r="C1010" s="6" t="s">
        <v>114</v>
      </c>
      <c r="D1010" s="6" t="s">
        <v>2143</v>
      </c>
      <c r="E1010" s="6" t="s">
        <v>2144</v>
      </c>
      <c r="F1010" s="6">
        <v>6.9070508808E10</v>
      </c>
      <c r="G1010" s="6" t="s">
        <v>5399</v>
      </c>
      <c r="H1010" s="7"/>
      <c r="I1010" s="6" t="s">
        <v>10208</v>
      </c>
      <c r="J1010" s="6" t="s">
        <v>5403</v>
      </c>
      <c r="K1010" s="6" t="s">
        <v>6874</v>
      </c>
      <c r="L1010" s="6" t="s">
        <v>10209</v>
      </c>
      <c r="M1010" s="6" t="s">
        <v>10210</v>
      </c>
      <c r="N1010" s="7"/>
      <c r="O1010" s="6" t="s">
        <v>10211</v>
      </c>
      <c r="P1010" s="6" t="s">
        <v>10212</v>
      </c>
      <c r="Q1010" s="6" t="s">
        <v>10212</v>
      </c>
      <c r="R1010" s="6" t="s">
        <v>246</v>
      </c>
      <c r="S1010" s="6" t="s">
        <v>147</v>
      </c>
      <c r="T1010" s="6" t="s">
        <v>250</v>
      </c>
      <c r="U1010" s="6" t="s">
        <v>560</v>
      </c>
      <c r="V1010" s="6" t="s">
        <v>246</v>
      </c>
      <c r="W1010" s="6" t="s">
        <v>158</v>
      </c>
      <c r="X1010" s="6" t="s">
        <v>257</v>
      </c>
      <c r="Y1010" s="6" t="s">
        <v>162</v>
      </c>
      <c r="Z1010" s="6" t="s">
        <v>165</v>
      </c>
      <c r="AA1010" s="6" t="s">
        <v>262</v>
      </c>
      <c r="AB1010" s="6" t="s">
        <v>521</v>
      </c>
      <c r="AC1010" s="6" t="s">
        <v>1669</v>
      </c>
      <c r="AD1010" s="6" t="s">
        <v>175</v>
      </c>
      <c r="AE1010" s="6" t="s">
        <v>271</v>
      </c>
      <c r="AF1010" s="6" t="s">
        <v>181</v>
      </c>
      <c r="AG1010" s="6" t="s">
        <v>182</v>
      </c>
      <c r="AH1010" s="7"/>
      <c r="AI1010" s="7"/>
      <c r="AJ1010" s="7"/>
      <c r="AK1010" s="7"/>
      <c r="AL1010" s="7"/>
      <c r="AM1010" s="7"/>
      <c r="AN1010" s="7"/>
      <c r="AO1010" s="7"/>
      <c r="AP1010" s="7"/>
      <c r="AQ1010" s="7"/>
      <c r="AR1010" s="7"/>
      <c r="AS1010" s="7"/>
      <c r="AT1010" s="7"/>
      <c r="AU1010" s="7"/>
      <c r="AV1010" s="7"/>
      <c r="AW1010" s="7"/>
      <c r="AX1010" s="7"/>
      <c r="AY1010" s="7"/>
      <c r="AZ1010" s="7"/>
      <c r="BA1010" s="7"/>
      <c r="BB1010" s="7"/>
      <c r="BC1010" s="7"/>
      <c r="BD1010" s="7"/>
      <c r="BE1010" s="7"/>
      <c r="BF1010" s="7"/>
      <c r="BG1010" s="7"/>
      <c r="BH1010" s="7"/>
      <c r="BI1010" s="7"/>
      <c r="BJ1010" s="7"/>
      <c r="BK1010" s="7"/>
    </row>
    <row r="1011" ht="22.5" customHeight="1">
      <c r="A1011" s="4">
        <v>46229.70285336806</v>
      </c>
      <c r="B1011" s="5">
        <v>0.0</v>
      </c>
      <c r="C1011" s="6" t="s">
        <v>114</v>
      </c>
      <c r="D1011" s="6" t="s">
        <v>2145</v>
      </c>
      <c r="E1011" s="6" t="s">
        <v>2146</v>
      </c>
      <c r="F1011" s="6">
        <v>6.9070500644E10</v>
      </c>
      <c r="G1011" s="6" t="s">
        <v>6140</v>
      </c>
      <c r="H1011" s="7"/>
      <c r="I1011" s="6" t="s">
        <v>10213</v>
      </c>
      <c r="J1011" s="6" t="s">
        <v>7046</v>
      </c>
      <c r="K1011" s="6" t="s">
        <v>7602</v>
      </c>
      <c r="L1011" s="6" t="s">
        <v>7044</v>
      </c>
      <c r="M1011" s="6" t="s">
        <v>10214</v>
      </c>
      <c r="N1011" s="6" t="s">
        <v>1757</v>
      </c>
      <c r="O1011" s="6" t="s">
        <v>10215</v>
      </c>
      <c r="P1011" s="6" t="s">
        <v>10216</v>
      </c>
      <c r="Q1011" s="6" t="s">
        <v>10217</v>
      </c>
      <c r="R1011" s="6" t="s">
        <v>246</v>
      </c>
      <c r="S1011" s="6" t="s">
        <v>147</v>
      </c>
      <c r="T1011" s="6" t="s">
        <v>246</v>
      </c>
      <c r="U1011" s="6" t="s">
        <v>560</v>
      </c>
      <c r="V1011" s="6" t="s">
        <v>246</v>
      </c>
      <c r="W1011" s="6" t="s">
        <v>158</v>
      </c>
      <c r="X1011" s="6" t="s">
        <v>257</v>
      </c>
      <c r="Y1011" s="6" t="s">
        <v>162</v>
      </c>
      <c r="Z1011" s="6" t="s">
        <v>165</v>
      </c>
      <c r="AA1011" s="6" t="s">
        <v>262</v>
      </c>
      <c r="AB1011" s="6" t="s">
        <v>171</v>
      </c>
      <c r="AC1011" s="6" t="s">
        <v>174</v>
      </c>
      <c r="AD1011" s="6" t="s">
        <v>175</v>
      </c>
      <c r="AE1011" s="6" t="s">
        <v>524</v>
      </c>
      <c r="AF1011" s="6" t="s">
        <v>181</v>
      </c>
      <c r="AG1011" s="6" t="s">
        <v>182</v>
      </c>
      <c r="AH1011" s="7"/>
      <c r="AI1011" s="7"/>
      <c r="AJ1011" s="7"/>
      <c r="AK1011" s="7"/>
      <c r="AL1011" s="7"/>
      <c r="AM1011" s="7"/>
      <c r="AN1011" s="7"/>
      <c r="AO1011" s="7"/>
      <c r="AP1011" s="7"/>
      <c r="AQ1011" s="7"/>
      <c r="AR1011" s="7"/>
      <c r="AS1011" s="7"/>
      <c r="AT1011" s="7"/>
      <c r="AU1011" s="7"/>
      <c r="AV1011" s="7"/>
      <c r="AW1011" s="7"/>
      <c r="AX1011" s="7"/>
      <c r="AY1011" s="7"/>
      <c r="AZ1011" s="7"/>
      <c r="BA1011" s="7"/>
      <c r="BB1011" s="7"/>
      <c r="BC1011" s="7"/>
      <c r="BD1011" s="7"/>
      <c r="BE1011" s="7"/>
      <c r="BF1011" s="7"/>
      <c r="BG1011" s="7"/>
      <c r="BH1011" s="7"/>
      <c r="BI1011" s="7"/>
      <c r="BJ1011" s="7"/>
      <c r="BK1011" s="7"/>
    </row>
    <row r="1012" ht="22.5" customHeight="1">
      <c r="A1012" s="4">
        <v>46229.702853379626</v>
      </c>
      <c r="B1012" s="5">
        <v>0.0</v>
      </c>
      <c r="C1012" s="6" t="s">
        <v>114</v>
      </c>
      <c r="D1012" s="6" t="s">
        <v>338</v>
      </c>
      <c r="E1012" s="6" t="s">
        <v>2147</v>
      </c>
      <c r="F1012" s="6">
        <v>6.9070508823E10</v>
      </c>
      <c r="G1012" s="6" t="s">
        <v>5399</v>
      </c>
      <c r="H1012" s="7"/>
      <c r="I1012" s="6" t="s">
        <v>10218</v>
      </c>
      <c r="J1012" s="6" t="s">
        <v>10219</v>
      </c>
      <c r="K1012" s="6" t="s">
        <v>3681</v>
      </c>
      <c r="L1012" s="6" t="s">
        <v>10108</v>
      </c>
      <c r="M1012" s="6" t="s">
        <v>10220</v>
      </c>
      <c r="N1012" s="6" t="s">
        <v>10221</v>
      </c>
      <c r="O1012" s="6" t="s">
        <v>10222</v>
      </c>
      <c r="P1012" s="6" t="s">
        <v>10212</v>
      </c>
      <c r="Q1012" s="6" t="s">
        <v>10212</v>
      </c>
      <c r="R1012" s="6" t="s">
        <v>246</v>
      </c>
      <c r="S1012" s="6" t="s">
        <v>147</v>
      </c>
      <c r="T1012" s="6" t="s">
        <v>250</v>
      </c>
      <c r="U1012" s="6" t="s">
        <v>560</v>
      </c>
      <c r="V1012" s="6" t="s">
        <v>246</v>
      </c>
      <c r="W1012" s="6" t="s">
        <v>158</v>
      </c>
      <c r="X1012" s="6" t="s">
        <v>257</v>
      </c>
      <c r="Y1012" s="6" t="s">
        <v>162</v>
      </c>
      <c r="Z1012" s="6" t="s">
        <v>165</v>
      </c>
      <c r="AA1012" s="6" t="s">
        <v>262</v>
      </c>
      <c r="AB1012" s="6" t="s">
        <v>521</v>
      </c>
      <c r="AC1012" s="6" t="s">
        <v>1669</v>
      </c>
      <c r="AD1012" s="6" t="s">
        <v>175</v>
      </c>
      <c r="AE1012" s="6" t="s">
        <v>271</v>
      </c>
      <c r="AF1012" s="6" t="s">
        <v>181</v>
      </c>
      <c r="AG1012" s="6" t="s">
        <v>182</v>
      </c>
      <c r="AH1012" s="7"/>
      <c r="AI1012" s="7"/>
      <c r="AJ1012" s="7"/>
      <c r="AK1012" s="7"/>
      <c r="AL1012" s="7"/>
      <c r="AM1012" s="7"/>
      <c r="AN1012" s="7"/>
      <c r="AO1012" s="7"/>
      <c r="AP1012" s="7"/>
      <c r="AQ1012" s="7"/>
      <c r="AR1012" s="7"/>
      <c r="AS1012" s="7"/>
      <c r="AT1012" s="7"/>
      <c r="AU1012" s="7"/>
      <c r="AV1012" s="7"/>
      <c r="AW1012" s="7"/>
      <c r="AX1012" s="7"/>
      <c r="AY1012" s="7"/>
      <c r="AZ1012" s="7"/>
      <c r="BA1012" s="7"/>
      <c r="BB1012" s="7"/>
      <c r="BC1012" s="7"/>
      <c r="BD1012" s="7"/>
      <c r="BE1012" s="7"/>
      <c r="BF1012" s="7"/>
      <c r="BG1012" s="7"/>
      <c r="BH1012" s="7"/>
      <c r="BI1012" s="7"/>
      <c r="BJ1012" s="7"/>
      <c r="BK1012" s="7"/>
    </row>
    <row r="1013" ht="22.5" customHeight="1">
      <c r="A1013" s="4">
        <v>46229.70285385416</v>
      </c>
      <c r="B1013" s="5">
        <v>0.0</v>
      </c>
      <c r="C1013" s="6" t="s">
        <v>3296</v>
      </c>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c r="AF1013" s="7"/>
      <c r="AG1013" s="7"/>
      <c r="AH1013" s="6" t="s">
        <v>2757</v>
      </c>
      <c r="AI1013" s="6" t="s">
        <v>2807</v>
      </c>
      <c r="AJ1013" s="6">
        <v>6.9070508616E10</v>
      </c>
      <c r="AK1013" s="6" t="s">
        <v>9716</v>
      </c>
      <c r="AL1013" s="7"/>
      <c r="AM1013" s="6" t="s">
        <v>3883</v>
      </c>
      <c r="AN1013" s="6" t="s">
        <v>10223</v>
      </c>
      <c r="AO1013" s="6" t="s">
        <v>10224</v>
      </c>
      <c r="AP1013" s="6" t="s">
        <v>10225</v>
      </c>
      <c r="AQ1013" s="6" t="s">
        <v>10226</v>
      </c>
      <c r="AR1013" s="7"/>
      <c r="AS1013" s="6" t="s">
        <v>10227</v>
      </c>
      <c r="AT1013" s="6" t="s">
        <v>10228</v>
      </c>
      <c r="AU1013" s="6" t="s">
        <v>10229</v>
      </c>
      <c r="AV1013" s="6" t="s">
        <v>3312</v>
      </c>
      <c r="AW1013" s="6" t="s">
        <v>3307</v>
      </c>
      <c r="AX1013" s="6" t="s">
        <v>3887</v>
      </c>
      <c r="AY1013" s="6" t="s">
        <v>4067</v>
      </c>
      <c r="AZ1013" s="6" t="s">
        <v>3306</v>
      </c>
      <c r="BA1013" s="6" t="s">
        <v>3311</v>
      </c>
      <c r="BB1013" s="6" t="s">
        <v>4693</v>
      </c>
      <c r="BC1013" s="6" t="s">
        <v>3313</v>
      </c>
      <c r="BD1013" s="6" t="s">
        <v>165</v>
      </c>
      <c r="BE1013" s="6" t="s">
        <v>3888</v>
      </c>
      <c r="BF1013" s="6" t="s">
        <v>3315</v>
      </c>
      <c r="BG1013" s="6" t="s">
        <v>4068</v>
      </c>
      <c r="BH1013" s="6" t="s">
        <v>3317</v>
      </c>
      <c r="BI1013" s="6" t="s">
        <v>271</v>
      </c>
      <c r="BJ1013" s="6" t="s">
        <v>3318</v>
      </c>
      <c r="BK1013" s="6" t="s">
        <v>4695</v>
      </c>
    </row>
    <row r="1014" ht="22.5" customHeight="1">
      <c r="A1014" s="4">
        <v>46229.70285822917</v>
      </c>
      <c r="B1014" s="5">
        <v>0.0</v>
      </c>
      <c r="C1014" s="6" t="s">
        <v>3296</v>
      </c>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c r="AD1014" s="7"/>
      <c r="AE1014" s="7"/>
      <c r="AF1014" s="7"/>
      <c r="AG1014" s="7"/>
      <c r="AH1014" s="6" t="s">
        <v>2808</v>
      </c>
      <c r="AI1014" s="6" t="s">
        <v>2809</v>
      </c>
      <c r="AJ1014" s="6">
        <v>6.9070508606E10</v>
      </c>
      <c r="AK1014" s="6" t="s">
        <v>9716</v>
      </c>
      <c r="AL1014" s="7"/>
      <c r="AM1014" s="6" t="s">
        <v>10230</v>
      </c>
      <c r="AN1014" s="6" t="s">
        <v>10231</v>
      </c>
      <c r="AO1014" s="6" t="s">
        <v>10232</v>
      </c>
      <c r="AP1014" s="6" t="s">
        <v>10233</v>
      </c>
      <c r="AQ1014" s="6" t="s">
        <v>10234</v>
      </c>
      <c r="AR1014" s="7"/>
      <c r="AS1014" s="6" t="s">
        <v>10235</v>
      </c>
      <c r="AT1014" s="6" t="s">
        <v>10236</v>
      </c>
      <c r="AU1014" s="6" t="s">
        <v>10237</v>
      </c>
      <c r="AV1014" s="6" t="s">
        <v>3312</v>
      </c>
      <c r="AW1014" s="6" t="s">
        <v>3307</v>
      </c>
      <c r="AX1014" s="6" t="s">
        <v>3306</v>
      </c>
      <c r="AY1014" s="6" t="s">
        <v>4067</v>
      </c>
      <c r="AZ1014" s="6" t="s">
        <v>3306</v>
      </c>
      <c r="BA1014" s="6" t="s">
        <v>3311</v>
      </c>
      <c r="BB1014" s="6" t="s">
        <v>4693</v>
      </c>
      <c r="BC1014" s="6" t="s">
        <v>3313</v>
      </c>
      <c r="BD1014" s="6" t="s">
        <v>165</v>
      </c>
      <c r="BE1014" s="6" t="s">
        <v>3888</v>
      </c>
      <c r="BF1014" s="6" t="s">
        <v>3315</v>
      </c>
      <c r="BG1014" s="6" t="s">
        <v>4068</v>
      </c>
      <c r="BH1014" s="6" t="s">
        <v>3317</v>
      </c>
      <c r="BI1014" s="6" t="s">
        <v>271</v>
      </c>
      <c r="BJ1014" s="6" t="s">
        <v>3318</v>
      </c>
      <c r="BK1014" s="6" t="s">
        <v>3319</v>
      </c>
    </row>
    <row r="1015" ht="22.5" customHeight="1">
      <c r="A1015" s="4">
        <v>46229.702877476855</v>
      </c>
      <c r="B1015" s="5">
        <v>0.0</v>
      </c>
      <c r="C1015" s="6" t="s">
        <v>3296</v>
      </c>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c r="AD1015" s="7"/>
      <c r="AE1015" s="7"/>
      <c r="AF1015" s="7"/>
      <c r="AG1015" s="7"/>
      <c r="AH1015" s="6" t="s">
        <v>2810</v>
      </c>
      <c r="AI1015" s="6" t="s">
        <v>2811</v>
      </c>
      <c r="AJ1015" s="6">
        <v>6.9070504008E10</v>
      </c>
      <c r="AK1015" s="6" t="s">
        <v>4331</v>
      </c>
      <c r="AL1015" s="6" t="s">
        <v>10238</v>
      </c>
      <c r="AM1015" s="6" t="s">
        <v>8920</v>
      </c>
      <c r="AN1015" s="6" t="s">
        <v>8919</v>
      </c>
      <c r="AO1015" s="6" t="s">
        <v>10239</v>
      </c>
      <c r="AP1015" s="6" t="s">
        <v>10240</v>
      </c>
      <c r="AQ1015" s="6" t="s">
        <v>10241</v>
      </c>
      <c r="AR1015" s="7"/>
      <c r="AS1015" s="6" t="s">
        <v>10242</v>
      </c>
      <c r="AT1015" s="6" t="s">
        <v>10243</v>
      </c>
      <c r="AU1015" s="6" t="s">
        <v>10244</v>
      </c>
      <c r="AV1015" s="6" t="s">
        <v>3306</v>
      </c>
      <c r="AW1015" s="6" t="s">
        <v>3307</v>
      </c>
      <c r="AX1015" s="6" t="s">
        <v>3887</v>
      </c>
      <c r="AY1015" s="6" t="s">
        <v>3309</v>
      </c>
      <c r="AZ1015" s="6" t="s">
        <v>3306</v>
      </c>
      <c r="BA1015" s="6" t="s">
        <v>3311</v>
      </c>
      <c r="BB1015" s="6" t="s">
        <v>4693</v>
      </c>
      <c r="BC1015" s="6" t="s">
        <v>3313</v>
      </c>
      <c r="BD1015" s="6" t="s">
        <v>165</v>
      </c>
      <c r="BE1015" s="6" t="s">
        <v>3888</v>
      </c>
      <c r="BF1015" s="6" t="s">
        <v>3315</v>
      </c>
      <c r="BG1015" s="6" t="s">
        <v>4068</v>
      </c>
      <c r="BH1015" s="6" t="s">
        <v>3317</v>
      </c>
      <c r="BI1015" s="6" t="s">
        <v>271</v>
      </c>
      <c r="BJ1015" s="6" t="s">
        <v>3318</v>
      </c>
      <c r="BK1015" s="6" t="s">
        <v>4695</v>
      </c>
    </row>
    <row r="1016" ht="22.5" customHeight="1">
      <c r="A1016" s="4">
        <v>46229.7028883912</v>
      </c>
      <c r="B1016" s="5">
        <v>0.0</v>
      </c>
      <c r="C1016" s="6" t="s">
        <v>114</v>
      </c>
      <c r="D1016" s="6" t="s">
        <v>2148</v>
      </c>
      <c r="E1016" s="6" t="s">
        <v>2149</v>
      </c>
      <c r="F1016" s="6">
        <v>6.9070509844E10</v>
      </c>
      <c r="G1016" s="6" t="s">
        <v>496</v>
      </c>
      <c r="H1016" s="7"/>
      <c r="I1016" s="6" t="s">
        <v>10245</v>
      </c>
      <c r="J1016" s="6" t="s">
        <v>10246</v>
      </c>
      <c r="K1016" s="6" t="s">
        <v>10247</v>
      </c>
      <c r="L1016" s="6" t="s">
        <v>10248</v>
      </c>
      <c r="M1016" s="6" t="s">
        <v>10249</v>
      </c>
      <c r="N1016" s="6" t="s">
        <v>10250</v>
      </c>
      <c r="O1016" s="6" t="s">
        <v>10251</v>
      </c>
      <c r="P1016" s="6" t="s">
        <v>10252</v>
      </c>
      <c r="Q1016" s="6" t="s">
        <v>10253</v>
      </c>
      <c r="R1016" s="6" t="s">
        <v>861</v>
      </c>
      <c r="S1016" s="6" t="s">
        <v>147</v>
      </c>
      <c r="T1016" s="6" t="s">
        <v>250</v>
      </c>
      <c r="U1016" s="6" t="s">
        <v>686</v>
      </c>
      <c r="V1016" s="6" t="s">
        <v>246</v>
      </c>
      <c r="W1016" s="6" t="s">
        <v>158</v>
      </c>
      <c r="X1016" s="6" t="s">
        <v>257</v>
      </c>
      <c r="Y1016" s="6" t="s">
        <v>162</v>
      </c>
      <c r="Z1016" s="6" t="s">
        <v>165</v>
      </c>
      <c r="AA1016" s="6" t="s">
        <v>262</v>
      </c>
      <c r="AB1016" s="6" t="s">
        <v>171</v>
      </c>
      <c r="AC1016" s="6" t="s">
        <v>174</v>
      </c>
      <c r="AD1016" s="6" t="s">
        <v>175</v>
      </c>
      <c r="AE1016" s="6" t="s">
        <v>271</v>
      </c>
      <c r="AF1016" s="6" t="s">
        <v>181</v>
      </c>
      <c r="AG1016" s="6" t="s">
        <v>182</v>
      </c>
      <c r="AH1016" s="7"/>
      <c r="AI1016" s="7"/>
      <c r="AJ1016" s="7"/>
      <c r="AK1016" s="7"/>
      <c r="AL1016" s="7"/>
      <c r="AM1016" s="7"/>
      <c r="AN1016" s="7"/>
      <c r="AO1016" s="7"/>
      <c r="AP1016" s="7"/>
      <c r="AQ1016" s="7"/>
      <c r="AR1016" s="7"/>
      <c r="AS1016" s="7"/>
      <c r="AT1016" s="7"/>
      <c r="AU1016" s="7"/>
      <c r="AV1016" s="7"/>
      <c r="AW1016" s="7"/>
      <c r="AX1016" s="7"/>
      <c r="AY1016" s="7"/>
      <c r="AZ1016" s="7"/>
      <c r="BA1016" s="7"/>
      <c r="BB1016" s="7"/>
      <c r="BC1016" s="7"/>
      <c r="BD1016" s="7"/>
      <c r="BE1016" s="7"/>
      <c r="BF1016" s="7"/>
      <c r="BG1016" s="7"/>
      <c r="BH1016" s="7"/>
      <c r="BI1016" s="7"/>
      <c r="BJ1016" s="7"/>
      <c r="BK1016" s="7"/>
    </row>
    <row r="1017" ht="22.5" customHeight="1">
      <c r="A1017" s="4">
        <v>46229.702899537035</v>
      </c>
      <c r="B1017" s="5">
        <v>0.0</v>
      </c>
      <c r="C1017" s="6" t="s">
        <v>114</v>
      </c>
      <c r="D1017" s="6" t="s">
        <v>2150</v>
      </c>
      <c r="E1017" s="6" t="s">
        <v>2151</v>
      </c>
      <c r="F1017" s="6">
        <v>6.9070501847E10</v>
      </c>
      <c r="G1017" s="6" t="s">
        <v>730</v>
      </c>
      <c r="H1017" s="6" t="s">
        <v>10254</v>
      </c>
      <c r="I1017" s="6" t="s">
        <v>10255</v>
      </c>
      <c r="J1017" s="6" t="s">
        <v>5981</v>
      </c>
      <c r="K1017" s="6" t="s">
        <v>5477</v>
      </c>
      <c r="L1017" s="6" t="s">
        <v>10256</v>
      </c>
      <c r="M1017" s="6" t="s">
        <v>10257</v>
      </c>
      <c r="N1017" s="6" t="s">
        <v>3115</v>
      </c>
      <c r="O1017" s="6" t="s">
        <v>10258</v>
      </c>
      <c r="P1017" s="6" t="s">
        <v>10259</v>
      </c>
      <c r="Q1017" s="6" t="s">
        <v>10260</v>
      </c>
      <c r="R1017" s="6" t="s">
        <v>257</v>
      </c>
      <c r="S1017" s="6" t="s">
        <v>147</v>
      </c>
      <c r="T1017" s="6" t="s">
        <v>250</v>
      </c>
      <c r="U1017" s="6" t="s">
        <v>152</v>
      </c>
      <c r="V1017" s="6" t="s">
        <v>246</v>
      </c>
      <c r="W1017" s="6" t="s">
        <v>158</v>
      </c>
      <c r="X1017" s="6" t="s">
        <v>257</v>
      </c>
      <c r="Y1017" s="6" t="s">
        <v>162</v>
      </c>
      <c r="Z1017" s="6" t="s">
        <v>165</v>
      </c>
      <c r="AA1017" s="6" t="s">
        <v>262</v>
      </c>
      <c r="AB1017" s="6" t="s">
        <v>521</v>
      </c>
      <c r="AC1017" s="6" t="s">
        <v>174</v>
      </c>
      <c r="AD1017" s="6" t="s">
        <v>175</v>
      </c>
      <c r="AE1017" s="6" t="s">
        <v>271</v>
      </c>
      <c r="AF1017" s="6" t="s">
        <v>181</v>
      </c>
      <c r="AG1017" s="6" t="s">
        <v>182</v>
      </c>
      <c r="AH1017" s="7"/>
      <c r="AI1017" s="7"/>
      <c r="AJ1017" s="7"/>
      <c r="AK1017" s="7"/>
      <c r="AL1017" s="7"/>
      <c r="AM1017" s="7"/>
      <c r="AN1017" s="7"/>
      <c r="AO1017" s="7"/>
      <c r="AP1017" s="7"/>
      <c r="AQ1017" s="7"/>
      <c r="AR1017" s="7"/>
      <c r="AS1017" s="7"/>
      <c r="AT1017" s="7"/>
      <c r="AU1017" s="7"/>
      <c r="AV1017" s="7"/>
      <c r="AW1017" s="7"/>
      <c r="AX1017" s="7"/>
      <c r="AY1017" s="7"/>
      <c r="AZ1017" s="7"/>
      <c r="BA1017" s="7"/>
      <c r="BB1017" s="7"/>
      <c r="BC1017" s="7"/>
      <c r="BD1017" s="7"/>
      <c r="BE1017" s="7"/>
      <c r="BF1017" s="7"/>
      <c r="BG1017" s="7"/>
      <c r="BH1017" s="7"/>
      <c r="BI1017" s="7"/>
      <c r="BJ1017" s="7"/>
      <c r="BK1017" s="7"/>
    </row>
    <row r="1018" ht="22.5" customHeight="1">
      <c r="A1018" s="4">
        <v>46229.702900625</v>
      </c>
      <c r="B1018" s="5">
        <v>0.0</v>
      </c>
      <c r="C1018" s="6" t="s">
        <v>114</v>
      </c>
      <c r="D1018" s="6" t="s">
        <v>2152</v>
      </c>
      <c r="E1018" s="6" t="s">
        <v>2153</v>
      </c>
      <c r="F1018" s="6">
        <v>6.9070501031E10</v>
      </c>
      <c r="G1018" s="6" t="s">
        <v>1470</v>
      </c>
      <c r="H1018" s="7"/>
      <c r="I1018" s="6" t="s">
        <v>10261</v>
      </c>
      <c r="J1018" s="6" t="s">
        <v>10262</v>
      </c>
      <c r="K1018" s="6" t="s">
        <v>10263</v>
      </c>
      <c r="L1018" s="6" t="s">
        <v>10264</v>
      </c>
      <c r="M1018" s="6" t="s">
        <v>10265</v>
      </c>
      <c r="N1018" s="7"/>
      <c r="O1018" s="6" t="s">
        <v>10266</v>
      </c>
      <c r="P1018" s="6" t="s">
        <v>10267</v>
      </c>
      <c r="Q1018" s="6" t="s">
        <v>10268</v>
      </c>
      <c r="R1018" s="6" t="s">
        <v>246</v>
      </c>
      <c r="S1018" s="6" t="s">
        <v>147</v>
      </c>
      <c r="T1018" s="6" t="s">
        <v>246</v>
      </c>
      <c r="U1018" s="6" t="s">
        <v>686</v>
      </c>
      <c r="V1018" s="6" t="s">
        <v>246</v>
      </c>
      <c r="W1018" s="6" t="s">
        <v>158</v>
      </c>
      <c r="X1018" s="6" t="s">
        <v>458</v>
      </c>
      <c r="Y1018" s="6" t="s">
        <v>162</v>
      </c>
      <c r="Z1018" s="6" t="s">
        <v>165</v>
      </c>
      <c r="AA1018" s="6" t="s">
        <v>1322</v>
      </c>
      <c r="AB1018" s="6" t="s">
        <v>521</v>
      </c>
      <c r="AC1018" s="6" t="s">
        <v>174</v>
      </c>
      <c r="AD1018" s="6" t="s">
        <v>1723</v>
      </c>
      <c r="AE1018" s="6" t="s">
        <v>178</v>
      </c>
      <c r="AF1018" s="6" t="s">
        <v>181</v>
      </c>
      <c r="AG1018" s="6" t="s">
        <v>182</v>
      </c>
      <c r="AH1018" s="7"/>
      <c r="AI1018" s="7"/>
      <c r="AJ1018" s="7"/>
      <c r="AK1018" s="7"/>
      <c r="AL1018" s="7"/>
      <c r="AM1018" s="7"/>
      <c r="AN1018" s="7"/>
      <c r="AO1018" s="7"/>
      <c r="AP1018" s="7"/>
      <c r="AQ1018" s="7"/>
      <c r="AR1018" s="7"/>
      <c r="AS1018" s="7"/>
      <c r="AT1018" s="7"/>
      <c r="AU1018" s="7"/>
      <c r="AV1018" s="7"/>
      <c r="AW1018" s="7"/>
      <c r="AX1018" s="7"/>
      <c r="AY1018" s="7"/>
      <c r="AZ1018" s="7"/>
      <c r="BA1018" s="7"/>
      <c r="BB1018" s="7"/>
      <c r="BC1018" s="7"/>
      <c r="BD1018" s="7"/>
      <c r="BE1018" s="7"/>
      <c r="BF1018" s="7"/>
      <c r="BG1018" s="7"/>
      <c r="BH1018" s="7"/>
      <c r="BI1018" s="7"/>
      <c r="BJ1018" s="7"/>
      <c r="BK1018" s="7"/>
    </row>
    <row r="1019" ht="22.5" customHeight="1">
      <c r="A1019" s="4">
        <v>46229.70290682871</v>
      </c>
      <c r="B1019" s="5">
        <v>0.0</v>
      </c>
      <c r="C1019" s="6" t="s">
        <v>3296</v>
      </c>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7"/>
      <c r="AD1019" s="7"/>
      <c r="AE1019" s="7"/>
      <c r="AF1019" s="7"/>
      <c r="AG1019" s="7"/>
      <c r="AH1019" s="6" t="s">
        <v>2812</v>
      </c>
      <c r="AI1019" s="6" t="s">
        <v>2813</v>
      </c>
      <c r="AJ1019" s="6">
        <v>6.9070508626E10</v>
      </c>
      <c r="AK1019" s="6" t="s">
        <v>9716</v>
      </c>
      <c r="AL1019" s="7"/>
      <c r="AM1019" s="6" t="s">
        <v>10269</v>
      </c>
      <c r="AN1019" s="6" t="s">
        <v>10270</v>
      </c>
      <c r="AO1019" s="6" t="s">
        <v>10271</v>
      </c>
      <c r="AP1019" s="6" t="s">
        <v>10272</v>
      </c>
      <c r="AQ1019" s="6" t="s">
        <v>10273</v>
      </c>
      <c r="AR1019" s="7"/>
      <c r="AS1019" s="6" t="s">
        <v>10274</v>
      </c>
      <c r="AT1019" s="6" t="s">
        <v>10275</v>
      </c>
      <c r="AU1019" s="6" t="s">
        <v>10276</v>
      </c>
      <c r="AV1019" s="6" t="s">
        <v>3312</v>
      </c>
      <c r="AW1019" s="6" t="s">
        <v>3307</v>
      </c>
      <c r="AX1019" s="6" t="s">
        <v>3887</v>
      </c>
      <c r="AY1019" s="6" t="s">
        <v>4067</v>
      </c>
      <c r="AZ1019" s="6" t="s">
        <v>3306</v>
      </c>
      <c r="BA1019" s="6" t="s">
        <v>3311</v>
      </c>
      <c r="BB1019" s="6" t="s">
        <v>4693</v>
      </c>
      <c r="BC1019" s="6" t="s">
        <v>3313</v>
      </c>
      <c r="BD1019" s="6" t="s">
        <v>165</v>
      </c>
      <c r="BE1019" s="6" t="s">
        <v>3888</v>
      </c>
      <c r="BF1019" s="6" t="s">
        <v>3315</v>
      </c>
      <c r="BG1019" s="6" t="s">
        <v>4068</v>
      </c>
      <c r="BH1019" s="6" t="s">
        <v>3317</v>
      </c>
      <c r="BI1019" s="6" t="s">
        <v>271</v>
      </c>
      <c r="BJ1019" s="6" t="s">
        <v>3318</v>
      </c>
      <c r="BK1019" s="6" t="s">
        <v>3319</v>
      </c>
    </row>
    <row r="1020" ht="22.5" customHeight="1">
      <c r="A1020" s="4">
        <v>46229.7029103588</v>
      </c>
      <c r="B1020" s="5">
        <v>0.0</v>
      </c>
      <c r="C1020" s="6" t="s">
        <v>114</v>
      </c>
      <c r="D1020" s="6" t="s">
        <v>323</v>
      </c>
      <c r="E1020" s="6" t="s">
        <v>2154</v>
      </c>
      <c r="F1020" s="6">
        <v>6.9070500623E10</v>
      </c>
      <c r="G1020" s="6" t="s">
        <v>6140</v>
      </c>
      <c r="H1020" s="6" t="s">
        <v>2633</v>
      </c>
      <c r="I1020" s="6" t="s">
        <v>9023</v>
      </c>
      <c r="J1020" s="6" t="s">
        <v>10277</v>
      </c>
      <c r="K1020" s="6" t="s">
        <v>10278</v>
      </c>
      <c r="L1020" s="6" t="s">
        <v>10279</v>
      </c>
      <c r="M1020" s="6" t="s">
        <v>10280</v>
      </c>
      <c r="N1020" s="6" t="s">
        <v>10281</v>
      </c>
      <c r="O1020" s="6" t="s">
        <v>10282</v>
      </c>
      <c r="P1020" s="6" t="s">
        <v>10283</v>
      </c>
      <c r="Q1020" s="6" t="s">
        <v>10284</v>
      </c>
      <c r="R1020" s="6" t="s">
        <v>861</v>
      </c>
      <c r="S1020" s="6" t="s">
        <v>147</v>
      </c>
      <c r="T1020" s="6" t="s">
        <v>516</v>
      </c>
      <c r="U1020" s="6" t="s">
        <v>686</v>
      </c>
      <c r="V1020" s="6" t="s">
        <v>246</v>
      </c>
      <c r="W1020" s="6" t="s">
        <v>158</v>
      </c>
      <c r="X1020" s="6" t="s">
        <v>257</v>
      </c>
      <c r="Y1020" s="6" t="s">
        <v>4287</v>
      </c>
      <c r="Z1020" s="6" t="s">
        <v>804</v>
      </c>
      <c r="AA1020" s="6" t="s">
        <v>262</v>
      </c>
      <c r="AB1020" s="6" t="s">
        <v>521</v>
      </c>
      <c r="AC1020" s="6" t="s">
        <v>1669</v>
      </c>
      <c r="AD1020" s="6" t="s">
        <v>175</v>
      </c>
      <c r="AE1020" s="6" t="s">
        <v>271</v>
      </c>
      <c r="AF1020" s="6" t="s">
        <v>181</v>
      </c>
      <c r="AG1020" s="6" t="s">
        <v>182</v>
      </c>
      <c r="AH1020" s="7"/>
      <c r="AI1020" s="7"/>
      <c r="AJ1020" s="7"/>
      <c r="AK1020" s="7"/>
      <c r="AL1020" s="7"/>
      <c r="AM1020" s="7"/>
      <c r="AN1020" s="7"/>
      <c r="AO1020" s="7"/>
      <c r="AP1020" s="7"/>
      <c r="AQ1020" s="7"/>
      <c r="AR1020" s="7"/>
      <c r="AS1020" s="7"/>
      <c r="AT1020" s="7"/>
      <c r="AU1020" s="7"/>
      <c r="AV1020" s="7"/>
      <c r="AW1020" s="7"/>
      <c r="AX1020" s="7"/>
      <c r="AY1020" s="7"/>
      <c r="AZ1020" s="7"/>
      <c r="BA1020" s="7"/>
      <c r="BB1020" s="7"/>
      <c r="BC1020" s="7"/>
      <c r="BD1020" s="7"/>
      <c r="BE1020" s="7"/>
      <c r="BF1020" s="7"/>
      <c r="BG1020" s="7"/>
      <c r="BH1020" s="7"/>
      <c r="BI1020" s="7"/>
      <c r="BJ1020" s="7"/>
      <c r="BK1020" s="7"/>
    </row>
    <row r="1021" ht="22.5" customHeight="1">
      <c r="A1021" s="4">
        <v>46229.702952569445</v>
      </c>
      <c r="B1021" s="5">
        <v>0.0</v>
      </c>
      <c r="C1021" s="6" t="s">
        <v>3296</v>
      </c>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7"/>
      <c r="AD1021" s="7"/>
      <c r="AE1021" s="7"/>
      <c r="AF1021" s="7"/>
      <c r="AG1021" s="7"/>
      <c r="AH1021" s="6" t="s">
        <v>2814</v>
      </c>
      <c r="AI1021" s="6" t="s">
        <v>2815</v>
      </c>
      <c r="AJ1021" s="6">
        <v>6.9070507815E10</v>
      </c>
      <c r="AK1021" s="6" t="s">
        <v>5236</v>
      </c>
      <c r="AL1021" s="6">
        <v>5.0</v>
      </c>
      <c r="AM1021" s="6" t="s">
        <v>10285</v>
      </c>
      <c r="AN1021" s="6" t="s">
        <v>10286</v>
      </c>
      <c r="AO1021" s="6" t="s">
        <v>10287</v>
      </c>
      <c r="AP1021" s="6" t="s">
        <v>10288</v>
      </c>
      <c r="AQ1021" s="6" t="s">
        <v>10289</v>
      </c>
      <c r="AR1021" s="7"/>
      <c r="AS1021" s="6" t="s">
        <v>10290</v>
      </c>
      <c r="AT1021" s="6" t="s">
        <v>10291</v>
      </c>
      <c r="AU1021" s="6" t="s">
        <v>10292</v>
      </c>
      <c r="AV1021" s="6" t="s">
        <v>3312</v>
      </c>
      <c r="AW1021" s="6" t="s">
        <v>3307</v>
      </c>
      <c r="AX1021" s="6" t="s">
        <v>4887</v>
      </c>
      <c r="AY1021" s="6" t="s">
        <v>3309</v>
      </c>
      <c r="AZ1021" s="6" t="s">
        <v>3306</v>
      </c>
      <c r="BA1021" s="6" t="s">
        <v>3311</v>
      </c>
      <c r="BB1021" s="6" t="s">
        <v>3306</v>
      </c>
      <c r="BC1021" s="6" t="s">
        <v>3313</v>
      </c>
      <c r="BD1021" s="6" t="s">
        <v>165</v>
      </c>
      <c r="BE1021" s="6" t="s">
        <v>5761</v>
      </c>
      <c r="BF1021" s="6" t="s">
        <v>3315</v>
      </c>
      <c r="BG1021" s="6" t="s">
        <v>4694</v>
      </c>
      <c r="BH1021" s="6" t="s">
        <v>8124</v>
      </c>
      <c r="BI1021" s="6" t="s">
        <v>271</v>
      </c>
      <c r="BJ1021" s="6" t="s">
        <v>8499</v>
      </c>
      <c r="BK1021" s="6" t="s">
        <v>4695</v>
      </c>
    </row>
    <row r="1022" ht="22.5" customHeight="1">
      <c r="A1022" s="4">
        <v>46229.70298210648</v>
      </c>
      <c r="B1022" s="5">
        <v>0.0</v>
      </c>
      <c r="C1022" s="6" t="s">
        <v>114</v>
      </c>
      <c r="D1022" s="6" t="s">
        <v>2155</v>
      </c>
      <c r="E1022" s="6" t="s">
        <v>2156</v>
      </c>
      <c r="F1022" s="6">
        <v>6.9070502409E10</v>
      </c>
      <c r="G1022" s="6" t="s">
        <v>122</v>
      </c>
      <c r="H1022" s="7"/>
      <c r="I1022" s="6" t="s">
        <v>10293</v>
      </c>
      <c r="J1022" s="6" t="s">
        <v>10294</v>
      </c>
      <c r="K1022" s="6" t="s">
        <v>10295</v>
      </c>
      <c r="L1022" s="6" t="s">
        <v>10296</v>
      </c>
      <c r="M1022" s="6" t="s">
        <v>10297</v>
      </c>
      <c r="N1022" s="7"/>
      <c r="O1022" s="6" t="s">
        <v>10298</v>
      </c>
      <c r="P1022" s="6" t="s">
        <v>10299</v>
      </c>
      <c r="Q1022" s="6" t="s">
        <v>10300</v>
      </c>
      <c r="R1022" s="6" t="s">
        <v>246</v>
      </c>
      <c r="S1022" s="6" t="s">
        <v>147</v>
      </c>
      <c r="T1022" s="6" t="s">
        <v>250</v>
      </c>
      <c r="U1022" s="6" t="s">
        <v>560</v>
      </c>
      <c r="V1022" s="6" t="s">
        <v>246</v>
      </c>
      <c r="W1022" s="6" t="s">
        <v>158</v>
      </c>
      <c r="X1022" s="6" t="s">
        <v>257</v>
      </c>
      <c r="Y1022" s="6" t="s">
        <v>162</v>
      </c>
      <c r="Z1022" s="6" t="s">
        <v>165</v>
      </c>
      <c r="AA1022" s="6" t="s">
        <v>262</v>
      </c>
      <c r="AB1022" s="6" t="s">
        <v>171</v>
      </c>
      <c r="AC1022" s="6" t="s">
        <v>174</v>
      </c>
      <c r="AD1022" s="6" t="s">
        <v>175</v>
      </c>
      <c r="AE1022" s="6" t="s">
        <v>271</v>
      </c>
      <c r="AF1022" s="6" t="s">
        <v>181</v>
      </c>
      <c r="AG1022" s="6" t="s">
        <v>182</v>
      </c>
      <c r="AH1022" s="7"/>
      <c r="AI1022" s="7"/>
      <c r="AJ1022" s="7"/>
      <c r="AK1022" s="7"/>
      <c r="AL1022" s="7"/>
      <c r="AM1022" s="7"/>
      <c r="AN1022" s="7"/>
      <c r="AO1022" s="7"/>
      <c r="AP1022" s="7"/>
      <c r="AQ1022" s="7"/>
      <c r="AR1022" s="7"/>
      <c r="AS1022" s="7"/>
      <c r="AT1022" s="7"/>
      <c r="AU1022" s="7"/>
      <c r="AV1022" s="7"/>
      <c r="AW1022" s="7"/>
      <c r="AX1022" s="7"/>
      <c r="AY1022" s="7"/>
      <c r="AZ1022" s="7"/>
      <c r="BA1022" s="7"/>
      <c r="BB1022" s="7"/>
      <c r="BC1022" s="7"/>
      <c r="BD1022" s="7"/>
      <c r="BE1022" s="7"/>
      <c r="BF1022" s="7"/>
      <c r="BG1022" s="7"/>
      <c r="BH1022" s="7"/>
      <c r="BI1022" s="7"/>
      <c r="BJ1022" s="7"/>
      <c r="BK1022" s="7"/>
    </row>
    <row r="1023" ht="22.5" customHeight="1">
      <c r="A1023" s="4">
        <v>46229.70298484954</v>
      </c>
      <c r="B1023" s="5">
        <v>0.0</v>
      </c>
      <c r="C1023" s="6" t="s">
        <v>114</v>
      </c>
      <c r="D1023" s="6" t="s">
        <v>2157</v>
      </c>
      <c r="E1023" s="6" t="s">
        <v>2158</v>
      </c>
      <c r="F1023" s="6">
        <v>6.9070500662E10</v>
      </c>
      <c r="G1023" s="6" t="s">
        <v>6140</v>
      </c>
      <c r="H1023" s="7"/>
      <c r="I1023" s="6" t="s">
        <v>8973</v>
      </c>
      <c r="J1023" s="6" t="s">
        <v>4108</v>
      </c>
      <c r="K1023" s="6" t="s">
        <v>8974</v>
      </c>
      <c r="L1023" s="6" t="s">
        <v>10301</v>
      </c>
      <c r="M1023" s="6" t="s">
        <v>10302</v>
      </c>
      <c r="N1023" s="7"/>
      <c r="O1023" s="6" t="s">
        <v>10303</v>
      </c>
      <c r="P1023" s="6" t="s">
        <v>10304</v>
      </c>
      <c r="Q1023" s="6" t="s">
        <v>10305</v>
      </c>
      <c r="R1023" s="6" t="s">
        <v>246</v>
      </c>
      <c r="S1023" s="6" t="s">
        <v>1148</v>
      </c>
      <c r="T1023" s="6" t="s">
        <v>250</v>
      </c>
      <c r="U1023" s="6" t="s">
        <v>152</v>
      </c>
      <c r="V1023" s="6" t="s">
        <v>246</v>
      </c>
      <c r="W1023" s="6" t="s">
        <v>158</v>
      </c>
      <c r="X1023" s="6" t="s">
        <v>257</v>
      </c>
      <c r="Y1023" s="6" t="s">
        <v>162</v>
      </c>
      <c r="Z1023" s="6" t="s">
        <v>165</v>
      </c>
      <c r="AA1023" s="6" t="s">
        <v>262</v>
      </c>
      <c r="AB1023" s="6" t="s">
        <v>521</v>
      </c>
      <c r="AC1023" s="6" t="s">
        <v>174</v>
      </c>
      <c r="AD1023" s="6" t="s">
        <v>175</v>
      </c>
      <c r="AE1023" s="6" t="s">
        <v>271</v>
      </c>
      <c r="AF1023" s="6" t="s">
        <v>181</v>
      </c>
      <c r="AG1023" s="6" t="s">
        <v>182</v>
      </c>
      <c r="AH1023" s="7"/>
      <c r="AI1023" s="7"/>
      <c r="AJ1023" s="7"/>
      <c r="AK1023" s="7"/>
      <c r="AL1023" s="7"/>
      <c r="AM1023" s="7"/>
      <c r="AN1023" s="7"/>
      <c r="AO1023" s="7"/>
      <c r="AP1023" s="7"/>
      <c r="AQ1023" s="7"/>
      <c r="AR1023" s="7"/>
      <c r="AS1023" s="7"/>
      <c r="AT1023" s="7"/>
      <c r="AU1023" s="7"/>
      <c r="AV1023" s="7"/>
      <c r="AW1023" s="7"/>
      <c r="AX1023" s="7"/>
      <c r="AY1023" s="7"/>
      <c r="AZ1023" s="7"/>
      <c r="BA1023" s="7"/>
      <c r="BB1023" s="7"/>
      <c r="BC1023" s="7"/>
      <c r="BD1023" s="7"/>
      <c r="BE1023" s="7"/>
      <c r="BF1023" s="7"/>
      <c r="BG1023" s="7"/>
      <c r="BH1023" s="7"/>
      <c r="BI1023" s="7"/>
      <c r="BJ1023" s="7"/>
      <c r="BK1023" s="7"/>
    </row>
    <row r="1024" ht="22.5" customHeight="1">
      <c r="A1024" s="4">
        <v>46229.70298913194</v>
      </c>
      <c r="B1024" s="5">
        <v>0.0</v>
      </c>
      <c r="C1024" s="6" t="s">
        <v>3296</v>
      </c>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7"/>
      <c r="AD1024" s="7"/>
      <c r="AE1024" s="7"/>
      <c r="AF1024" s="7"/>
      <c r="AG1024" s="7"/>
      <c r="AH1024" s="6" t="s">
        <v>2816</v>
      </c>
      <c r="AI1024" s="6" t="s">
        <v>2817</v>
      </c>
      <c r="AJ1024" s="6">
        <v>6.9070504014E10</v>
      </c>
      <c r="AK1024" s="6" t="s">
        <v>4331</v>
      </c>
      <c r="AL1024" s="6" t="s">
        <v>10306</v>
      </c>
      <c r="AM1024" s="6" t="s">
        <v>10307</v>
      </c>
      <c r="AN1024" s="6" t="s">
        <v>10308</v>
      </c>
      <c r="AO1024" s="6" t="s">
        <v>10309</v>
      </c>
      <c r="AP1024" s="6" t="s">
        <v>10310</v>
      </c>
      <c r="AQ1024" s="6" t="s">
        <v>10311</v>
      </c>
      <c r="AR1024" s="6" t="s">
        <v>10312</v>
      </c>
      <c r="AS1024" s="6" t="s">
        <v>10313</v>
      </c>
      <c r="AT1024" s="6" t="s">
        <v>10314</v>
      </c>
      <c r="AU1024" s="6" t="s">
        <v>10315</v>
      </c>
      <c r="AV1024" s="6" t="s">
        <v>3306</v>
      </c>
      <c r="AW1024" s="6" t="s">
        <v>8122</v>
      </c>
      <c r="AX1024" s="6" t="s">
        <v>3887</v>
      </c>
      <c r="AY1024" s="6" t="s">
        <v>5759</v>
      </c>
      <c r="AZ1024" s="6" t="s">
        <v>3310</v>
      </c>
      <c r="BA1024" s="6" t="s">
        <v>3311</v>
      </c>
      <c r="BB1024" s="6" t="s">
        <v>6098</v>
      </c>
      <c r="BC1024" s="6" t="s">
        <v>3313</v>
      </c>
      <c r="BD1024" s="6" t="s">
        <v>165</v>
      </c>
      <c r="BE1024" s="6" t="s">
        <v>5631</v>
      </c>
      <c r="BF1024" s="6" t="s">
        <v>3889</v>
      </c>
      <c r="BG1024" s="6" t="s">
        <v>4068</v>
      </c>
      <c r="BH1024" s="6" t="s">
        <v>3317</v>
      </c>
      <c r="BI1024" s="6" t="s">
        <v>271</v>
      </c>
      <c r="BJ1024" s="6" t="s">
        <v>3318</v>
      </c>
      <c r="BK1024" s="6" t="s">
        <v>4695</v>
      </c>
    </row>
    <row r="1025" ht="22.5" customHeight="1">
      <c r="A1025" s="4">
        <v>46229.70301612269</v>
      </c>
      <c r="B1025" s="5">
        <v>0.0</v>
      </c>
      <c r="C1025" s="6" t="s">
        <v>3296</v>
      </c>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7"/>
      <c r="AD1025" s="7"/>
      <c r="AE1025" s="7"/>
      <c r="AF1025" s="7"/>
      <c r="AG1025" s="7"/>
      <c r="AH1025" s="6" t="s">
        <v>2818</v>
      </c>
      <c r="AI1025" s="6" t="s">
        <v>2819</v>
      </c>
      <c r="AJ1025" s="6">
        <v>6.907050922E10</v>
      </c>
      <c r="AK1025" s="6" t="s">
        <v>4331</v>
      </c>
      <c r="AL1025" s="6" t="s">
        <v>10316</v>
      </c>
      <c r="AM1025" s="6" t="s">
        <v>10317</v>
      </c>
      <c r="AN1025" s="6" t="s">
        <v>10318</v>
      </c>
      <c r="AO1025" s="6" t="s">
        <v>10319</v>
      </c>
      <c r="AP1025" s="6" t="s">
        <v>10320</v>
      </c>
      <c r="AQ1025" s="6" t="s">
        <v>10321</v>
      </c>
      <c r="AR1025" s="6" t="s">
        <v>10322</v>
      </c>
      <c r="AS1025" s="6" t="s">
        <v>10323</v>
      </c>
      <c r="AT1025" s="6" t="s">
        <v>10324</v>
      </c>
      <c r="AU1025" s="6" t="s">
        <v>10325</v>
      </c>
      <c r="AV1025" s="6" t="s">
        <v>3312</v>
      </c>
      <c r="AW1025" s="6" t="s">
        <v>3307</v>
      </c>
      <c r="AX1025" s="6" t="s">
        <v>3887</v>
      </c>
      <c r="AY1025" s="6" t="s">
        <v>3309</v>
      </c>
      <c r="AZ1025" s="6" t="s">
        <v>3306</v>
      </c>
      <c r="BA1025" s="6" t="s">
        <v>3311</v>
      </c>
      <c r="BB1025" s="6" t="s">
        <v>4693</v>
      </c>
      <c r="BC1025" s="6" t="s">
        <v>3313</v>
      </c>
      <c r="BD1025" s="6" t="s">
        <v>165</v>
      </c>
      <c r="BE1025" s="6" t="s">
        <v>3314</v>
      </c>
      <c r="BF1025" s="6" t="s">
        <v>3889</v>
      </c>
      <c r="BG1025" s="6" t="s">
        <v>3316</v>
      </c>
      <c r="BH1025" s="6" t="s">
        <v>3317</v>
      </c>
      <c r="BI1025" s="6" t="s">
        <v>271</v>
      </c>
      <c r="BJ1025" s="6" t="s">
        <v>5247</v>
      </c>
      <c r="BK1025" s="6" t="s">
        <v>3319</v>
      </c>
    </row>
    <row r="1026" ht="22.5" customHeight="1">
      <c r="A1026" s="4">
        <v>46229.70304910879</v>
      </c>
      <c r="B1026" s="5">
        <v>0.0</v>
      </c>
      <c r="C1026" s="6" t="s">
        <v>114</v>
      </c>
      <c r="D1026" s="6" t="s">
        <v>107</v>
      </c>
      <c r="E1026" s="6" t="s">
        <v>2159</v>
      </c>
      <c r="F1026" s="6">
        <v>6.9070500031E10</v>
      </c>
      <c r="G1026" s="6" t="s">
        <v>4580</v>
      </c>
      <c r="H1026" s="7"/>
      <c r="I1026" s="6" t="s">
        <v>10326</v>
      </c>
      <c r="J1026" s="6" t="s">
        <v>10327</v>
      </c>
      <c r="K1026" s="6" t="s">
        <v>10328</v>
      </c>
      <c r="L1026" s="6" t="s">
        <v>10329</v>
      </c>
      <c r="M1026" s="6" t="s">
        <v>10328</v>
      </c>
      <c r="N1026" s="6" t="s">
        <v>10330</v>
      </c>
      <c r="O1026" s="6" t="s">
        <v>10331</v>
      </c>
      <c r="P1026" s="6" t="s">
        <v>10332</v>
      </c>
      <c r="Q1026" s="6" t="s">
        <v>10333</v>
      </c>
      <c r="R1026" s="6" t="s">
        <v>246</v>
      </c>
      <c r="S1026" s="6" t="s">
        <v>147</v>
      </c>
      <c r="T1026" s="6" t="s">
        <v>250</v>
      </c>
      <c r="U1026" s="6" t="s">
        <v>560</v>
      </c>
      <c r="V1026" s="6" t="s">
        <v>246</v>
      </c>
      <c r="W1026" s="6" t="s">
        <v>158</v>
      </c>
      <c r="X1026" s="6" t="s">
        <v>257</v>
      </c>
      <c r="Y1026" s="6" t="s">
        <v>162</v>
      </c>
      <c r="Z1026" s="6" t="s">
        <v>4804</v>
      </c>
      <c r="AA1026" s="6" t="s">
        <v>262</v>
      </c>
      <c r="AB1026" s="6" t="s">
        <v>171</v>
      </c>
      <c r="AC1026" s="6" t="s">
        <v>174</v>
      </c>
      <c r="AD1026" s="6" t="s">
        <v>175</v>
      </c>
      <c r="AE1026" s="6" t="s">
        <v>271</v>
      </c>
      <c r="AF1026" s="6" t="s">
        <v>181</v>
      </c>
      <c r="AG1026" s="6" t="s">
        <v>182</v>
      </c>
      <c r="AH1026" s="7"/>
      <c r="AI1026" s="7"/>
      <c r="AJ1026" s="7"/>
      <c r="AK1026" s="7"/>
      <c r="AL1026" s="7"/>
      <c r="AM1026" s="7"/>
      <c r="AN1026" s="7"/>
      <c r="AO1026" s="7"/>
      <c r="AP1026" s="7"/>
      <c r="AQ1026" s="7"/>
      <c r="AR1026" s="7"/>
      <c r="AS1026" s="7"/>
      <c r="AT1026" s="7"/>
      <c r="AU1026" s="7"/>
      <c r="AV1026" s="7"/>
      <c r="AW1026" s="7"/>
      <c r="AX1026" s="7"/>
      <c r="AY1026" s="7"/>
      <c r="AZ1026" s="7"/>
      <c r="BA1026" s="7"/>
      <c r="BB1026" s="7"/>
      <c r="BC1026" s="7"/>
      <c r="BD1026" s="7"/>
      <c r="BE1026" s="7"/>
      <c r="BF1026" s="7"/>
      <c r="BG1026" s="7"/>
      <c r="BH1026" s="7"/>
      <c r="BI1026" s="7"/>
      <c r="BJ1026" s="7"/>
      <c r="BK1026" s="7"/>
    </row>
    <row r="1027" ht="22.5" customHeight="1">
      <c r="A1027" s="4">
        <v>46229.70307030092</v>
      </c>
      <c r="B1027" s="5">
        <v>0.0</v>
      </c>
      <c r="C1027" s="6" t="s">
        <v>114</v>
      </c>
      <c r="D1027" s="6" t="s">
        <v>284</v>
      </c>
      <c r="E1027" s="6" t="s">
        <v>2160</v>
      </c>
      <c r="F1027" s="6">
        <v>6.907050981E10</v>
      </c>
      <c r="G1027" s="6" t="s">
        <v>496</v>
      </c>
      <c r="H1027" s="6" t="s">
        <v>10334</v>
      </c>
      <c r="I1027" s="6" t="s">
        <v>10335</v>
      </c>
      <c r="J1027" s="6" t="s">
        <v>10336</v>
      </c>
      <c r="K1027" s="6" t="s">
        <v>10337</v>
      </c>
      <c r="L1027" s="6" t="s">
        <v>4602</v>
      </c>
      <c r="M1027" s="6" t="s">
        <v>4207</v>
      </c>
      <c r="N1027" s="6" t="s">
        <v>10338</v>
      </c>
      <c r="O1027" s="6" t="s">
        <v>10339</v>
      </c>
      <c r="P1027" s="6" t="s">
        <v>10340</v>
      </c>
      <c r="Q1027" s="6" t="s">
        <v>10341</v>
      </c>
      <c r="R1027" s="6" t="s">
        <v>246</v>
      </c>
      <c r="S1027" s="6" t="s">
        <v>147</v>
      </c>
      <c r="T1027" s="6" t="s">
        <v>250</v>
      </c>
      <c r="U1027" s="6" t="s">
        <v>560</v>
      </c>
      <c r="V1027" s="6" t="s">
        <v>246</v>
      </c>
      <c r="W1027" s="6" t="s">
        <v>158</v>
      </c>
      <c r="X1027" s="6" t="s">
        <v>257</v>
      </c>
      <c r="Y1027" s="6" t="s">
        <v>162</v>
      </c>
      <c r="Z1027" s="6" t="s">
        <v>165</v>
      </c>
      <c r="AA1027" s="6" t="s">
        <v>262</v>
      </c>
      <c r="AB1027" s="6" t="s">
        <v>171</v>
      </c>
      <c r="AC1027" s="6" t="s">
        <v>174</v>
      </c>
      <c r="AD1027" s="6" t="s">
        <v>175</v>
      </c>
      <c r="AE1027" s="6" t="s">
        <v>271</v>
      </c>
      <c r="AF1027" s="6" t="s">
        <v>181</v>
      </c>
      <c r="AG1027" s="6" t="s">
        <v>182</v>
      </c>
      <c r="AH1027" s="7"/>
      <c r="AI1027" s="7"/>
      <c r="AJ1027" s="7"/>
      <c r="AK1027" s="7"/>
      <c r="AL1027" s="7"/>
      <c r="AM1027" s="7"/>
      <c r="AN1027" s="7"/>
      <c r="AO1027" s="7"/>
      <c r="AP1027" s="7"/>
      <c r="AQ1027" s="7"/>
      <c r="AR1027" s="7"/>
      <c r="AS1027" s="7"/>
      <c r="AT1027" s="7"/>
      <c r="AU1027" s="7"/>
      <c r="AV1027" s="7"/>
      <c r="AW1027" s="7"/>
      <c r="AX1027" s="7"/>
      <c r="AY1027" s="7"/>
      <c r="AZ1027" s="7"/>
      <c r="BA1027" s="7"/>
      <c r="BB1027" s="7"/>
      <c r="BC1027" s="7"/>
      <c r="BD1027" s="7"/>
      <c r="BE1027" s="7"/>
      <c r="BF1027" s="7"/>
      <c r="BG1027" s="7"/>
      <c r="BH1027" s="7"/>
      <c r="BI1027" s="7"/>
      <c r="BJ1027" s="7"/>
      <c r="BK1027" s="7"/>
    </row>
    <row r="1028" ht="22.5" customHeight="1">
      <c r="A1028" s="4">
        <v>46229.703077060185</v>
      </c>
      <c r="B1028" s="5">
        <v>0.0</v>
      </c>
      <c r="C1028" s="6" t="s">
        <v>114</v>
      </c>
      <c r="D1028" s="6" t="s">
        <v>2161</v>
      </c>
      <c r="E1028" s="6" t="s">
        <v>2162</v>
      </c>
      <c r="F1028" s="6">
        <v>6.9070508836E10</v>
      </c>
      <c r="G1028" s="6" t="s">
        <v>5399</v>
      </c>
      <c r="H1028" s="7"/>
      <c r="I1028" s="6" t="s">
        <v>10342</v>
      </c>
      <c r="J1028" s="6" t="s">
        <v>4324</v>
      </c>
      <c r="K1028" s="6" t="s">
        <v>10343</v>
      </c>
      <c r="L1028" s="6" t="s">
        <v>10344</v>
      </c>
      <c r="M1028" s="6" t="s">
        <v>10345</v>
      </c>
      <c r="N1028" s="7"/>
      <c r="O1028" s="6" t="s">
        <v>10346</v>
      </c>
      <c r="P1028" s="6" t="s">
        <v>10347</v>
      </c>
      <c r="Q1028" s="6" t="s">
        <v>10348</v>
      </c>
      <c r="R1028" s="6" t="s">
        <v>246</v>
      </c>
      <c r="S1028" s="6" t="s">
        <v>147</v>
      </c>
      <c r="T1028" s="6" t="s">
        <v>250</v>
      </c>
      <c r="U1028" s="6" t="s">
        <v>560</v>
      </c>
      <c r="V1028" s="6" t="s">
        <v>155</v>
      </c>
      <c r="W1028" s="6" t="s">
        <v>158</v>
      </c>
      <c r="X1028" s="6" t="s">
        <v>257</v>
      </c>
      <c r="Y1028" s="6" t="s">
        <v>162</v>
      </c>
      <c r="Z1028" s="6" t="s">
        <v>165</v>
      </c>
      <c r="AA1028" s="6" t="s">
        <v>262</v>
      </c>
      <c r="AB1028" s="6" t="s">
        <v>521</v>
      </c>
      <c r="AC1028" s="6" t="s">
        <v>174</v>
      </c>
      <c r="AD1028" s="6" t="s">
        <v>175</v>
      </c>
      <c r="AE1028" s="6" t="s">
        <v>524</v>
      </c>
      <c r="AF1028" s="6" t="s">
        <v>181</v>
      </c>
      <c r="AG1028" s="6" t="s">
        <v>182</v>
      </c>
      <c r="AH1028" s="7"/>
      <c r="AI1028" s="7"/>
      <c r="AJ1028" s="7"/>
      <c r="AK1028" s="7"/>
      <c r="AL1028" s="7"/>
      <c r="AM1028" s="7"/>
      <c r="AN1028" s="7"/>
      <c r="AO1028" s="7"/>
      <c r="AP1028" s="7"/>
      <c r="AQ1028" s="7"/>
      <c r="AR1028" s="7"/>
      <c r="AS1028" s="7"/>
      <c r="AT1028" s="7"/>
      <c r="AU1028" s="7"/>
      <c r="AV1028" s="7"/>
      <c r="AW1028" s="7"/>
      <c r="AX1028" s="7"/>
      <c r="AY1028" s="7"/>
      <c r="AZ1028" s="7"/>
      <c r="BA1028" s="7"/>
      <c r="BB1028" s="7"/>
      <c r="BC1028" s="7"/>
      <c r="BD1028" s="7"/>
      <c r="BE1028" s="7"/>
      <c r="BF1028" s="7"/>
      <c r="BG1028" s="7"/>
      <c r="BH1028" s="7"/>
      <c r="BI1028" s="7"/>
      <c r="BJ1028" s="7"/>
      <c r="BK1028" s="7"/>
    </row>
    <row r="1029" ht="22.5" customHeight="1">
      <c r="A1029" s="4">
        <v>46229.70308508102</v>
      </c>
      <c r="B1029" s="5">
        <v>0.0</v>
      </c>
      <c r="C1029" s="6" t="s">
        <v>3296</v>
      </c>
      <c r="D1029" s="7"/>
      <c r="E1029" s="7"/>
      <c r="F1029" s="7"/>
      <c r="G1029" s="7"/>
      <c r="H1029" s="7"/>
      <c r="I1029" s="7"/>
      <c r="J1029" s="7"/>
      <c r="K1029" s="7"/>
      <c r="L1029" s="7"/>
      <c r="M1029" s="7"/>
      <c r="N1029" s="7"/>
      <c r="O1029" s="7"/>
      <c r="P1029" s="7"/>
      <c r="Q1029" s="7"/>
      <c r="R1029" s="7"/>
      <c r="S1029" s="7"/>
      <c r="T1029" s="7"/>
      <c r="U1029" s="7"/>
      <c r="V1029" s="7"/>
      <c r="W1029" s="7"/>
      <c r="X1029" s="7"/>
      <c r="Y1029" s="7"/>
      <c r="Z1029" s="7"/>
      <c r="AA1029" s="7"/>
      <c r="AB1029" s="7"/>
      <c r="AC1029" s="7"/>
      <c r="AD1029" s="7"/>
      <c r="AE1029" s="7"/>
      <c r="AF1029" s="7"/>
      <c r="AG1029" s="7"/>
      <c r="AH1029" s="6" t="s">
        <v>2820</v>
      </c>
      <c r="AI1029" s="6" t="s">
        <v>2821</v>
      </c>
      <c r="AJ1029" s="6">
        <v>6.9070503472E10</v>
      </c>
      <c r="AK1029" s="6" t="s">
        <v>3297</v>
      </c>
      <c r="AL1029" s="7"/>
      <c r="AM1029" s="6" t="s">
        <v>10349</v>
      </c>
      <c r="AN1029" s="6" t="s">
        <v>10350</v>
      </c>
      <c r="AO1029" s="6" t="s">
        <v>10351</v>
      </c>
      <c r="AP1029" s="6" t="s">
        <v>10352</v>
      </c>
      <c r="AQ1029" s="6" t="s">
        <v>10353</v>
      </c>
      <c r="AR1029" s="7"/>
      <c r="AS1029" s="6" t="s">
        <v>10354</v>
      </c>
      <c r="AT1029" s="6" t="s">
        <v>10355</v>
      </c>
      <c r="AU1029" s="6" t="s">
        <v>10356</v>
      </c>
      <c r="AV1029" s="6" t="s">
        <v>3306</v>
      </c>
      <c r="AW1029" s="6" t="s">
        <v>3307</v>
      </c>
      <c r="AX1029" s="6" t="s">
        <v>3887</v>
      </c>
      <c r="AY1029" s="6" t="s">
        <v>4067</v>
      </c>
      <c r="AZ1029" s="6" t="s">
        <v>3306</v>
      </c>
      <c r="BA1029" s="6" t="s">
        <v>3311</v>
      </c>
      <c r="BB1029" s="6" t="s">
        <v>6098</v>
      </c>
      <c r="BC1029" s="6" t="s">
        <v>3313</v>
      </c>
      <c r="BD1029" s="6" t="s">
        <v>165</v>
      </c>
      <c r="BE1029" s="6" t="s">
        <v>3314</v>
      </c>
      <c r="BF1029" s="6" t="s">
        <v>3315</v>
      </c>
      <c r="BG1029" s="6" t="s">
        <v>5760</v>
      </c>
      <c r="BH1029" s="6" t="s">
        <v>8124</v>
      </c>
      <c r="BI1029" s="6" t="s">
        <v>3105</v>
      </c>
      <c r="BJ1029" s="6" t="s">
        <v>4068</v>
      </c>
      <c r="BK1029" s="6" t="s">
        <v>5248</v>
      </c>
    </row>
    <row r="1030" ht="22.5" customHeight="1">
      <c r="A1030" s="4">
        <v>46229.70308627315</v>
      </c>
      <c r="B1030" s="5">
        <v>0.0</v>
      </c>
      <c r="C1030" s="6" t="s">
        <v>114</v>
      </c>
      <c r="D1030" s="6" t="s">
        <v>2163</v>
      </c>
      <c r="E1030" s="6" t="s">
        <v>2164</v>
      </c>
      <c r="F1030" s="6">
        <v>6.9070508824E10</v>
      </c>
      <c r="G1030" s="6" t="s">
        <v>5399</v>
      </c>
      <c r="H1030" s="7"/>
      <c r="I1030" s="6" t="s">
        <v>10357</v>
      </c>
      <c r="J1030" s="6" t="s">
        <v>10358</v>
      </c>
      <c r="K1030" s="6" t="s">
        <v>10359</v>
      </c>
      <c r="L1030" s="6" t="s">
        <v>10208</v>
      </c>
      <c r="M1030" s="6" t="s">
        <v>10360</v>
      </c>
      <c r="N1030" s="6" t="s">
        <v>10361</v>
      </c>
      <c r="O1030" s="6" t="s">
        <v>10362</v>
      </c>
      <c r="P1030" s="6" t="s">
        <v>10363</v>
      </c>
      <c r="Q1030" s="6" t="s">
        <v>10364</v>
      </c>
      <c r="R1030" s="6" t="s">
        <v>246</v>
      </c>
      <c r="S1030" s="6" t="s">
        <v>147</v>
      </c>
      <c r="T1030" s="6" t="s">
        <v>516</v>
      </c>
      <c r="U1030" s="6" t="s">
        <v>560</v>
      </c>
      <c r="V1030" s="6" t="s">
        <v>246</v>
      </c>
      <c r="W1030" s="6" t="s">
        <v>158</v>
      </c>
      <c r="X1030" s="6" t="s">
        <v>257</v>
      </c>
      <c r="Y1030" s="6" t="s">
        <v>162</v>
      </c>
      <c r="Z1030" s="6" t="s">
        <v>165</v>
      </c>
      <c r="AA1030" s="6" t="s">
        <v>262</v>
      </c>
      <c r="AB1030" s="6" t="s">
        <v>171</v>
      </c>
      <c r="AC1030" s="6" t="s">
        <v>174</v>
      </c>
      <c r="AD1030" s="6" t="s">
        <v>175</v>
      </c>
      <c r="AE1030" s="6" t="s">
        <v>178</v>
      </c>
      <c r="AF1030" s="6" t="s">
        <v>181</v>
      </c>
      <c r="AG1030" s="6" t="s">
        <v>182</v>
      </c>
      <c r="AH1030" s="7"/>
      <c r="AI1030" s="7"/>
      <c r="AJ1030" s="7"/>
      <c r="AK1030" s="7"/>
      <c r="AL1030" s="7"/>
      <c r="AM1030" s="7"/>
      <c r="AN1030" s="7"/>
      <c r="AO1030" s="7"/>
      <c r="AP1030" s="7"/>
      <c r="AQ1030" s="7"/>
      <c r="AR1030" s="7"/>
      <c r="AS1030" s="7"/>
      <c r="AT1030" s="7"/>
      <c r="AU1030" s="7"/>
      <c r="AV1030" s="7"/>
      <c r="AW1030" s="7"/>
      <c r="AX1030" s="7"/>
      <c r="AY1030" s="7"/>
      <c r="AZ1030" s="7"/>
      <c r="BA1030" s="7"/>
      <c r="BB1030" s="7"/>
      <c r="BC1030" s="7"/>
      <c r="BD1030" s="7"/>
      <c r="BE1030" s="7"/>
      <c r="BF1030" s="7"/>
      <c r="BG1030" s="7"/>
      <c r="BH1030" s="7"/>
      <c r="BI1030" s="7"/>
      <c r="BJ1030" s="7"/>
      <c r="BK1030" s="7"/>
    </row>
    <row r="1031" ht="22.5" customHeight="1">
      <c r="A1031" s="4">
        <v>46229.70310960648</v>
      </c>
      <c r="B1031" s="5">
        <v>0.0</v>
      </c>
      <c r="C1031" s="6" t="s">
        <v>114</v>
      </c>
      <c r="D1031" s="6" t="s">
        <v>2165</v>
      </c>
      <c r="E1031" s="6" t="s">
        <v>2166</v>
      </c>
      <c r="F1031" s="6">
        <v>6.9070500046E10</v>
      </c>
      <c r="G1031" s="6" t="s">
        <v>4580</v>
      </c>
      <c r="H1031" s="7"/>
      <c r="I1031" s="6" t="s">
        <v>10365</v>
      </c>
      <c r="J1031" s="6" t="s">
        <v>10366</v>
      </c>
      <c r="K1031" s="6" t="s">
        <v>10367</v>
      </c>
      <c r="L1031" s="6" t="s">
        <v>10368</v>
      </c>
      <c r="M1031" s="6" t="s">
        <v>4582</v>
      </c>
      <c r="N1031" s="6" t="s">
        <v>10368</v>
      </c>
      <c r="O1031" s="6" t="s">
        <v>10369</v>
      </c>
      <c r="P1031" s="6" t="s">
        <v>10370</v>
      </c>
      <c r="Q1031" s="6" t="s">
        <v>10371</v>
      </c>
      <c r="R1031" s="6" t="s">
        <v>246</v>
      </c>
      <c r="S1031" s="6" t="s">
        <v>147</v>
      </c>
      <c r="T1031" s="6" t="s">
        <v>250</v>
      </c>
      <c r="U1031" s="6" t="s">
        <v>686</v>
      </c>
      <c r="V1031" s="6" t="s">
        <v>246</v>
      </c>
      <c r="W1031" s="6" t="s">
        <v>158</v>
      </c>
      <c r="X1031" s="6" t="s">
        <v>161</v>
      </c>
      <c r="Y1031" s="6" t="s">
        <v>162</v>
      </c>
      <c r="Z1031" s="6" t="s">
        <v>165</v>
      </c>
      <c r="AA1031" s="6" t="s">
        <v>262</v>
      </c>
      <c r="AB1031" s="6" t="s">
        <v>171</v>
      </c>
      <c r="AC1031" s="6" t="s">
        <v>174</v>
      </c>
      <c r="AD1031" s="6" t="s">
        <v>175</v>
      </c>
      <c r="AE1031" s="6" t="s">
        <v>271</v>
      </c>
      <c r="AF1031" s="6" t="s">
        <v>181</v>
      </c>
      <c r="AG1031" s="6" t="s">
        <v>182</v>
      </c>
      <c r="AH1031" s="7"/>
      <c r="AI1031" s="7"/>
      <c r="AJ1031" s="7"/>
      <c r="AK1031" s="7"/>
      <c r="AL1031" s="7"/>
      <c r="AM1031" s="7"/>
      <c r="AN1031" s="7"/>
      <c r="AO1031" s="7"/>
      <c r="AP1031" s="7"/>
      <c r="AQ1031" s="7"/>
      <c r="AR1031" s="7"/>
      <c r="AS1031" s="7"/>
      <c r="AT1031" s="7"/>
      <c r="AU1031" s="7"/>
      <c r="AV1031" s="7"/>
      <c r="AW1031" s="7"/>
      <c r="AX1031" s="7"/>
      <c r="AY1031" s="7"/>
      <c r="AZ1031" s="7"/>
      <c r="BA1031" s="7"/>
      <c r="BB1031" s="7"/>
      <c r="BC1031" s="7"/>
      <c r="BD1031" s="7"/>
      <c r="BE1031" s="7"/>
      <c r="BF1031" s="7"/>
      <c r="BG1031" s="7"/>
      <c r="BH1031" s="7"/>
      <c r="BI1031" s="7"/>
      <c r="BJ1031" s="7"/>
      <c r="BK1031" s="7"/>
    </row>
    <row r="1032" ht="22.5" customHeight="1">
      <c r="A1032" s="4">
        <v>46229.70311311343</v>
      </c>
      <c r="B1032" s="5">
        <v>0.0</v>
      </c>
      <c r="C1032" s="6" t="s">
        <v>114</v>
      </c>
      <c r="D1032" s="6" t="s">
        <v>2167</v>
      </c>
      <c r="E1032" s="6" t="s">
        <v>2168</v>
      </c>
      <c r="F1032" s="6">
        <v>6.9070509465E10</v>
      </c>
      <c r="G1032" s="6" t="s">
        <v>122</v>
      </c>
      <c r="H1032" s="6" t="s">
        <v>10372</v>
      </c>
      <c r="I1032" s="6" t="s">
        <v>10373</v>
      </c>
      <c r="J1032" s="6" t="s">
        <v>10373</v>
      </c>
      <c r="K1032" s="6" t="s">
        <v>10373</v>
      </c>
      <c r="L1032" s="6" t="s">
        <v>10373</v>
      </c>
      <c r="M1032" s="6" t="s">
        <v>10373</v>
      </c>
      <c r="N1032" s="7"/>
      <c r="O1032" s="6" t="s">
        <v>10374</v>
      </c>
      <c r="P1032" s="6" t="s">
        <v>10375</v>
      </c>
      <c r="Q1032" s="6" t="s">
        <v>10376</v>
      </c>
      <c r="R1032" s="6" t="s">
        <v>246</v>
      </c>
      <c r="S1032" s="6" t="s">
        <v>147</v>
      </c>
      <c r="T1032" s="6" t="s">
        <v>250</v>
      </c>
      <c r="U1032" s="6" t="s">
        <v>2254</v>
      </c>
      <c r="V1032" s="6" t="s">
        <v>246</v>
      </c>
      <c r="W1032" s="6" t="s">
        <v>158</v>
      </c>
      <c r="X1032" s="6" t="s">
        <v>257</v>
      </c>
      <c r="Y1032" s="6" t="s">
        <v>162</v>
      </c>
      <c r="Z1032" s="6" t="s">
        <v>165</v>
      </c>
      <c r="AA1032" s="6" t="s">
        <v>262</v>
      </c>
      <c r="AB1032" s="6" t="s">
        <v>521</v>
      </c>
      <c r="AC1032" s="6" t="s">
        <v>174</v>
      </c>
      <c r="AD1032" s="6" t="s">
        <v>175</v>
      </c>
      <c r="AE1032" s="6" t="s">
        <v>271</v>
      </c>
      <c r="AF1032" s="6" t="s">
        <v>181</v>
      </c>
      <c r="AG1032" s="6" t="s">
        <v>182</v>
      </c>
      <c r="AH1032" s="7"/>
      <c r="AI1032" s="7"/>
      <c r="AJ1032" s="7"/>
      <c r="AK1032" s="7"/>
      <c r="AL1032" s="7"/>
      <c r="AM1032" s="7"/>
      <c r="AN1032" s="7"/>
      <c r="AO1032" s="7"/>
      <c r="AP1032" s="7"/>
      <c r="AQ1032" s="7"/>
      <c r="AR1032" s="7"/>
      <c r="AS1032" s="7"/>
      <c r="AT1032" s="7"/>
      <c r="AU1032" s="7"/>
      <c r="AV1032" s="7"/>
      <c r="AW1032" s="7"/>
      <c r="AX1032" s="7"/>
      <c r="AY1032" s="7"/>
      <c r="AZ1032" s="7"/>
      <c r="BA1032" s="7"/>
      <c r="BB1032" s="7"/>
      <c r="BC1032" s="7"/>
      <c r="BD1032" s="7"/>
      <c r="BE1032" s="7"/>
      <c r="BF1032" s="7"/>
      <c r="BG1032" s="7"/>
      <c r="BH1032" s="7"/>
      <c r="BI1032" s="7"/>
      <c r="BJ1032" s="7"/>
      <c r="BK1032" s="7"/>
    </row>
    <row r="1033" ht="22.5" customHeight="1">
      <c r="A1033" s="4">
        <v>46229.70312521991</v>
      </c>
      <c r="B1033" s="5">
        <v>0.0</v>
      </c>
      <c r="C1033" s="6" t="s">
        <v>3296</v>
      </c>
      <c r="D1033" s="7"/>
      <c r="E1033" s="7"/>
      <c r="F1033" s="7"/>
      <c r="G1033" s="7"/>
      <c r="H1033" s="7"/>
      <c r="I1033" s="7"/>
      <c r="J1033" s="7"/>
      <c r="K1033" s="7"/>
      <c r="L1033" s="7"/>
      <c r="M1033" s="7"/>
      <c r="N1033" s="7"/>
      <c r="O1033" s="7"/>
      <c r="P1033" s="7"/>
      <c r="Q1033" s="7"/>
      <c r="R1033" s="7"/>
      <c r="S1033" s="7"/>
      <c r="T1033" s="7"/>
      <c r="U1033" s="7"/>
      <c r="V1033" s="7"/>
      <c r="W1033" s="7"/>
      <c r="X1033" s="7"/>
      <c r="Y1033" s="7"/>
      <c r="Z1033" s="7"/>
      <c r="AA1033" s="7"/>
      <c r="AB1033" s="7"/>
      <c r="AC1033" s="7"/>
      <c r="AD1033" s="7"/>
      <c r="AE1033" s="7"/>
      <c r="AF1033" s="7"/>
      <c r="AG1033" s="7"/>
      <c r="AH1033" s="6" t="s">
        <v>2822</v>
      </c>
      <c r="AI1033" s="6" t="s">
        <v>2823</v>
      </c>
      <c r="AJ1033" s="6">
        <v>6.9070503428E10</v>
      </c>
      <c r="AK1033" s="6" t="s">
        <v>3297</v>
      </c>
      <c r="AL1033" s="7"/>
      <c r="AM1033" s="6" t="s">
        <v>10377</v>
      </c>
      <c r="AN1033" s="6" t="s">
        <v>10378</v>
      </c>
      <c r="AO1033" s="6" t="s">
        <v>10379</v>
      </c>
      <c r="AP1033" s="6" t="s">
        <v>10380</v>
      </c>
      <c r="AQ1033" s="6" t="s">
        <v>7542</v>
      </c>
      <c r="AR1033" s="7"/>
      <c r="AS1033" s="6" t="s">
        <v>10381</v>
      </c>
      <c r="AT1033" s="6" t="s">
        <v>10382</v>
      </c>
      <c r="AU1033" s="6" t="s">
        <v>10382</v>
      </c>
      <c r="AV1033" s="6" t="s">
        <v>3306</v>
      </c>
      <c r="AW1033" s="6" t="s">
        <v>3307</v>
      </c>
      <c r="AX1033" s="6" t="s">
        <v>3887</v>
      </c>
      <c r="AY1033" s="6" t="s">
        <v>3309</v>
      </c>
      <c r="AZ1033" s="6" t="s">
        <v>3306</v>
      </c>
      <c r="BA1033" s="6" t="s">
        <v>3311</v>
      </c>
      <c r="BB1033" s="6" t="s">
        <v>3312</v>
      </c>
      <c r="BC1033" s="6" t="s">
        <v>3313</v>
      </c>
      <c r="BD1033" s="6" t="s">
        <v>165</v>
      </c>
      <c r="BE1033" s="6" t="s">
        <v>3888</v>
      </c>
      <c r="BF1033" s="6" t="s">
        <v>3315</v>
      </c>
      <c r="BG1033" s="6" t="s">
        <v>3316</v>
      </c>
      <c r="BH1033" s="6" t="s">
        <v>3317</v>
      </c>
      <c r="BI1033" s="6" t="s">
        <v>271</v>
      </c>
      <c r="BJ1033" s="6" t="s">
        <v>3318</v>
      </c>
      <c r="BK1033" s="6" t="s">
        <v>3319</v>
      </c>
    </row>
    <row r="1034" ht="22.5" customHeight="1">
      <c r="A1034" s="4">
        <v>46229.703126886576</v>
      </c>
      <c r="B1034" s="5">
        <v>0.0</v>
      </c>
      <c r="C1034" s="6" t="s">
        <v>114</v>
      </c>
      <c r="D1034" s="6" t="s">
        <v>2169</v>
      </c>
      <c r="E1034" s="6" t="s">
        <v>2170</v>
      </c>
      <c r="F1034" s="6">
        <v>6.9070500605E10</v>
      </c>
      <c r="G1034" s="6" t="s">
        <v>6140</v>
      </c>
      <c r="H1034" s="6" t="s">
        <v>10383</v>
      </c>
      <c r="I1034" s="6" t="s">
        <v>10384</v>
      </c>
      <c r="J1034" s="6" t="s">
        <v>10385</v>
      </c>
      <c r="K1034" s="6" t="s">
        <v>10386</v>
      </c>
      <c r="L1034" s="6" t="s">
        <v>9590</v>
      </c>
      <c r="M1034" s="6" t="s">
        <v>10387</v>
      </c>
      <c r="N1034" s="6" t="s">
        <v>4755</v>
      </c>
      <c r="O1034" s="6" t="s">
        <v>10388</v>
      </c>
      <c r="P1034" s="6" t="s">
        <v>10389</v>
      </c>
      <c r="Q1034" s="6" t="s">
        <v>10390</v>
      </c>
      <c r="R1034" s="6" t="s">
        <v>246</v>
      </c>
      <c r="S1034" s="6" t="s">
        <v>147</v>
      </c>
      <c r="T1034" s="6" t="s">
        <v>246</v>
      </c>
      <c r="U1034" s="6" t="s">
        <v>2254</v>
      </c>
      <c r="V1034" s="6" t="s">
        <v>246</v>
      </c>
      <c r="W1034" s="6" t="s">
        <v>158</v>
      </c>
      <c r="X1034" s="6" t="s">
        <v>257</v>
      </c>
      <c r="Y1034" s="6" t="s">
        <v>162</v>
      </c>
      <c r="Z1034" s="6" t="s">
        <v>165</v>
      </c>
      <c r="AA1034" s="6" t="s">
        <v>262</v>
      </c>
      <c r="AB1034" s="6" t="s">
        <v>4010</v>
      </c>
      <c r="AC1034" s="6" t="s">
        <v>1669</v>
      </c>
      <c r="AD1034" s="6" t="s">
        <v>641</v>
      </c>
      <c r="AE1034" s="6" t="s">
        <v>178</v>
      </c>
      <c r="AF1034" s="6" t="s">
        <v>181</v>
      </c>
      <c r="AG1034" s="6" t="s">
        <v>182</v>
      </c>
      <c r="AH1034" s="7"/>
      <c r="AI1034" s="7"/>
      <c r="AJ1034" s="7"/>
      <c r="AK1034" s="7"/>
      <c r="AL1034" s="7"/>
      <c r="AM1034" s="7"/>
      <c r="AN1034" s="7"/>
      <c r="AO1034" s="7"/>
      <c r="AP1034" s="7"/>
      <c r="AQ1034" s="7"/>
      <c r="AR1034" s="7"/>
      <c r="AS1034" s="7"/>
      <c r="AT1034" s="7"/>
      <c r="AU1034" s="7"/>
      <c r="AV1034" s="7"/>
      <c r="AW1034" s="7"/>
      <c r="AX1034" s="7"/>
      <c r="AY1034" s="7"/>
      <c r="AZ1034" s="7"/>
      <c r="BA1034" s="7"/>
      <c r="BB1034" s="7"/>
      <c r="BC1034" s="7"/>
      <c r="BD1034" s="7"/>
      <c r="BE1034" s="7"/>
      <c r="BF1034" s="7"/>
      <c r="BG1034" s="7"/>
      <c r="BH1034" s="7"/>
      <c r="BI1034" s="7"/>
      <c r="BJ1034" s="7"/>
      <c r="BK1034" s="7"/>
    </row>
    <row r="1035" ht="22.5" customHeight="1">
      <c r="A1035" s="4">
        <v>46229.70312881944</v>
      </c>
      <c r="B1035" s="5">
        <v>0.0</v>
      </c>
      <c r="C1035" s="6" t="s">
        <v>3296</v>
      </c>
      <c r="D1035" s="7"/>
      <c r="E1035" s="7"/>
      <c r="F1035" s="7"/>
      <c r="G1035" s="7"/>
      <c r="H1035" s="7"/>
      <c r="I1035" s="7"/>
      <c r="J1035" s="7"/>
      <c r="K1035" s="7"/>
      <c r="L1035" s="7"/>
      <c r="M1035" s="7"/>
      <c r="N1035" s="7"/>
      <c r="O1035" s="7"/>
      <c r="P1035" s="7"/>
      <c r="Q1035" s="7"/>
      <c r="R1035" s="7"/>
      <c r="S1035" s="7"/>
      <c r="T1035" s="7"/>
      <c r="U1035" s="7"/>
      <c r="V1035" s="7"/>
      <c r="W1035" s="7"/>
      <c r="X1035" s="7"/>
      <c r="Y1035" s="7"/>
      <c r="Z1035" s="7"/>
      <c r="AA1035" s="7"/>
      <c r="AB1035" s="7"/>
      <c r="AC1035" s="7"/>
      <c r="AD1035" s="7"/>
      <c r="AE1035" s="7"/>
      <c r="AF1035" s="7"/>
      <c r="AG1035" s="7"/>
      <c r="AH1035" s="6" t="s">
        <v>2824</v>
      </c>
      <c r="AI1035" s="6" t="s">
        <v>2825</v>
      </c>
      <c r="AJ1035" s="6">
        <v>6.9070503488E10</v>
      </c>
      <c r="AK1035" s="6" t="s">
        <v>3297</v>
      </c>
      <c r="AL1035" s="7"/>
      <c r="AM1035" s="6" t="s">
        <v>10391</v>
      </c>
      <c r="AN1035" s="6" t="s">
        <v>10378</v>
      </c>
      <c r="AO1035" s="6" t="s">
        <v>10392</v>
      </c>
      <c r="AP1035" s="6" t="s">
        <v>10393</v>
      </c>
      <c r="AQ1035" s="6" t="s">
        <v>10379</v>
      </c>
      <c r="AR1035" s="7"/>
      <c r="AS1035" s="6" t="s">
        <v>10394</v>
      </c>
      <c r="AT1035" s="6" t="s">
        <v>10395</v>
      </c>
      <c r="AU1035" s="6" t="s">
        <v>10395</v>
      </c>
      <c r="AV1035" s="6" t="s">
        <v>3306</v>
      </c>
      <c r="AW1035" s="6" t="s">
        <v>3307</v>
      </c>
      <c r="AX1035" s="6" t="s">
        <v>3887</v>
      </c>
      <c r="AY1035" s="6" t="s">
        <v>3309</v>
      </c>
      <c r="AZ1035" s="6" t="s">
        <v>3306</v>
      </c>
      <c r="BA1035" s="6" t="s">
        <v>3311</v>
      </c>
      <c r="BB1035" s="6" t="s">
        <v>3312</v>
      </c>
      <c r="BC1035" s="6" t="s">
        <v>3313</v>
      </c>
      <c r="BD1035" s="6" t="s">
        <v>165</v>
      </c>
      <c r="BE1035" s="6" t="s">
        <v>3888</v>
      </c>
      <c r="BF1035" s="6" t="s">
        <v>3315</v>
      </c>
      <c r="BG1035" s="6" t="s">
        <v>3316</v>
      </c>
      <c r="BH1035" s="6" t="s">
        <v>3317</v>
      </c>
      <c r="BI1035" s="6" t="s">
        <v>271</v>
      </c>
      <c r="BJ1035" s="6" t="s">
        <v>3318</v>
      </c>
      <c r="BK1035" s="6" t="s">
        <v>3319</v>
      </c>
    </row>
    <row r="1036" ht="22.5" customHeight="1">
      <c r="A1036" s="4">
        <v>46229.70313135417</v>
      </c>
      <c r="B1036" s="5">
        <v>0.0</v>
      </c>
      <c r="C1036" s="6" t="s">
        <v>114</v>
      </c>
      <c r="D1036" s="6" t="s">
        <v>2171</v>
      </c>
      <c r="E1036" s="6" t="s">
        <v>2172</v>
      </c>
      <c r="F1036" s="6">
        <v>6.9070502417E10</v>
      </c>
      <c r="G1036" s="6" t="s">
        <v>122</v>
      </c>
      <c r="H1036" s="7"/>
      <c r="I1036" s="6" t="s">
        <v>9385</v>
      </c>
      <c r="J1036" s="6" t="s">
        <v>10396</v>
      </c>
      <c r="K1036" s="6" t="s">
        <v>10208</v>
      </c>
      <c r="L1036" s="6" t="s">
        <v>3635</v>
      </c>
      <c r="M1036" s="6" t="s">
        <v>10397</v>
      </c>
      <c r="N1036" s="7"/>
      <c r="O1036" s="6" t="s">
        <v>10398</v>
      </c>
      <c r="P1036" s="6" t="s">
        <v>10399</v>
      </c>
      <c r="Q1036" s="6" t="s">
        <v>10400</v>
      </c>
      <c r="R1036" s="6" t="s">
        <v>246</v>
      </c>
      <c r="S1036" s="6" t="s">
        <v>147</v>
      </c>
      <c r="T1036" s="6" t="s">
        <v>250</v>
      </c>
      <c r="U1036" s="6" t="s">
        <v>560</v>
      </c>
      <c r="V1036" s="6" t="s">
        <v>246</v>
      </c>
      <c r="W1036" s="6" t="s">
        <v>158</v>
      </c>
      <c r="X1036" s="6" t="s">
        <v>257</v>
      </c>
      <c r="Y1036" s="6" t="s">
        <v>162</v>
      </c>
      <c r="Z1036" s="6" t="s">
        <v>165</v>
      </c>
      <c r="AA1036" s="6" t="s">
        <v>262</v>
      </c>
      <c r="AB1036" s="6" t="s">
        <v>171</v>
      </c>
      <c r="AC1036" s="6" t="s">
        <v>174</v>
      </c>
      <c r="AD1036" s="6" t="s">
        <v>175</v>
      </c>
      <c r="AE1036" s="6" t="s">
        <v>271</v>
      </c>
      <c r="AF1036" s="6" t="s">
        <v>181</v>
      </c>
      <c r="AG1036" s="6" t="s">
        <v>182</v>
      </c>
      <c r="AH1036" s="7"/>
      <c r="AI1036" s="7"/>
      <c r="AJ1036" s="7"/>
      <c r="AK1036" s="7"/>
      <c r="AL1036" s="7"/>
      <c r="AM1036" s="7"/>
      <c r="AN1036" s="7"/>
      <c r="AO1036" s="7"/>
      <c r="AP1036" s="7"/>
      <c r="AQ1036" s="7"/>
      <c r="AR1036" s="7"/>
      <c r="AS1036" s="7"/>
      <c r="AT1036" s="7"/>
      <c r="AU1036" s="7"/>
      <c r="AV1036" s="7"/>
      <c r="AW1036" s="7"/>
      <c r="AX1036" s="7"/>
      <c r="AY1036" s="7"/>
      <c r="AZ1036" s="7"/>
      <c r="BA1036" s="7"/>
      <c r="BB1036" s="7"/>
      <c r="BC1036" s="7"/>
      <c r="BD1036" s="7"/>
      <c r="BE1036" s="7"/>
      <c r="BF1036" s="7"/>
      <c r="BG1036" s="7"/>
      <c r="BH1036" s="7"/>
      <c r="BI1036" s="7"/>
      <c r="BJ1036" s="7"/>
      <c r="BK1036" s="7"/>
    </row>
    <row r="1037" ht="22.5" customHeight="1">
      <c r="A1037" s="4">
        <v>46229.70313165509</v>
      </c>
      <c r="B1037" s="5">
        <v>0.0</v>
      </c>
      <c r="C1037" s="6" t="s">
        <v>114</v>
      </c>
      <c r="D1037" s="6" t="s">
        <v>2173</v>
      </c>
      <c r="E1037" s="6" t="s">
        <v>2174</v>
      </c>
      <c r="F1037" s="6">
        <v>6.9070500027E10</v>
      </c>
      <c r="G1037" s="6" t="s">
        <v>4580</v>
      </c>
      <c r="H1037" s="7"/>
      <c r="I1037" s="6" t="s">
        <v>10401</v>
      </c>
      <c r="J1037" s="6" t="s">
        <v>10402</v>
      </c>
      <c r="K1037" s="6" t="s">
        <v>5140</v>
      </c>
      <c r="L1037" s="6" t="s">
        <v>10403</v>
      </c>
      <c r="M1037" s="6" t="s">
        <v>10404</v>
      </c>
      <c r="N1037" s="7"/>
      <c r="O1037" s="6" t="s">
        <v>10405</v>
      </c>
      <c r="P1037" s="6" t="s">
        <v>10406</v>
      </c>
      <c r="Q1037" s="6" t="s">
        <v>10407</v>
      </c>
      <c r="R1037" s="6" t="s">
        <v>246</v>
      </c>
      <c r="S1037" s="6" t="s">
        <v>147</v>
      </c>
      <c r="T1037" s="6" t="s">
        <v>250</v>
      </c>
      <c r="U1037" s="6" t="s">
        <v>2254</v>
      </c>
      <c r="V1037" s="6" t="s">
        <v>246</v>
      </c>
      <c r="W1037" s="6" t="s">
        <v>158</v>
      </c>
      <c r="X1037" s="6" t="s">
        <v>257</v>
      </c>
      <c r="Y1037" s="6" t="s">
        <v>162</v>
      </c>
      <c r="Z1037" s="6" t="s">
        <v>165</v>
      </c>
      <c r="AA1037" s="6" t="s">
        <v>262</v>
      </c>
      <c r="AB1037" s="6" t="s">
        <v>1266</v>
      </c>
      <c r="AC1037" s="6" t="s">
        <v>174</v>
      </c>
      <c r="AD1037" s="6" t="s">
        <v>1723</v>
      </c>
      <c r="AE1037" s="6" t="s">
        <v>271</v>
      </c>
      <c r="AF1037" s="6" t="s">
        <v>811</v>
      </c>
      <c r="AG1037" s="6" t="s">
        <v>182</v>
      </c>
      <c r="AH1037" s="7"/>
      <c r="AI1037" s="7"/>
      <c r="AJ1037" s="7"/>
      <c r="AK1037" s="7"/>
      <c r="AL1037" s="7"/>
      <c r="AM1037" s="7"/>
      <c r="AN1037" s="7"/>
      <c r="AO1037" s="7"/>
      <c r="AP1037" s="7"/>
      <c r="AQ1037" s="7"/>
      <c r="AR1037" s="7"/>
      <c r="AS1037" s="7"/>
      <c r="AT1037" s="7"/>
      <c r="AU1037" s="7"/>
      <c r="AV1037" s="7"/>
      <c r="AW1037" s="7"/>
      <c r="AX1037" s="7"/>
      <c r="AY1037" s="7"/>
      <c r="AZ1037" s="7"/>
      <c r="BA1037" s="7"/>
      <c r="BB1037" s="7"/>
      <c r="BC1037" s="7"/>
      <c r="BD1037" s="7"/>
      <c r="BE1037" s="7"/>
      <c r="BF1037" s="7"/>
      <c r="BG1037" s="7"/>
      <c r="BH1037" s="7"/>
      <c r="BI1037" s="7"/>
      <c r="BJ1037" s="7"/>
      <c r="BK1037" s="7"/>
    </row>
    <row r="1038" ht="22.5" customHeight="1">
      <c r="A1038" s="4">
        <v>46229.70313887732</v>
      </c>
      <c r="B1038" s="5">
        <v>0.0</v>
      </c>
      <c r="C1038" s="6" t="s">
        <v>3296</v>
      </c>
      <c r="D1038" s="7"/>
      <c r="E1038" s="7"/>
      <c r="F1038" s="7"/>
      <c r="G1038" s="7"/>
      <c r="H1038" s="7"/>
      <c r="I1038" s="7"/>
      <c r="J1038" s="7"/>
      <c r="K1038" s="7"/>
      <c r="L1038" s="7"/>
      <c r="M1038" s="7"/>
      <c r="N1038" s="7"/>
      <c r="O1038" s="7"/>
      <c r="P1038" s="7"/>
      <c r="Q1038" s="7"/>
      <c r="R1038" s="7"/>
      <c r="S1038" s="7"/>
      <c r="T1038" s="7"/>
      <c r="U1038" s="7"/>
      <c r="V1038" s="7"/>
      <c r="W1038" s="7"/>
      <c r="X1038" s="7"/>
      <c r="Y1038" s="7"/>
      <c r="Z1038" s="7"/>
      <c r="AA1038" s="7"/>
      <c r="AB1038" s="7"/>
      <c r="AC1038" s="7"/>
      <c r="AD1038" s="7"/>
      <c r="AE1038" s="7"/>
      <c r="AF1038" s="7"/>
      <c r="AG1038" s="7"/>
      <c r="AH1038" s="6" t="s">
        <v>2826</v>
      </c>
      <c r="AI1038" s="6" t="s">
        <v>2827</v>
      </c>
      <c r="AJ1038" s="6">
        <v>6.9070503254E10</v>
      </c>
      <c r="AK1038" s="6" t="s">
        <v>9323</v>
      </c>
      <c r="AL1038" s="7"/>
      <c r="AM1038" s="6" t="s">
        <v>10408</v>
      </c>
      <c r="AN1038" s="6" t="s">
        <v>10409</v>
      </c>
      <c r="AO1038" s="6" t="s">
        <v>10410</v>
      </c>
      <c r="AP1038" s="6" t="s">
        <v>10411</v>
      </c>
      <c r="AQ1038" s="6" t="s">
        <v>10412</v>
      </c>
      <c r="AR1038" s="7"/>
      <c r="AS1038" s="6" t="s">
        <v>10413</v>
      </c>
      <c r="AT1038" s="6" t="s">
        <v>10414</v>
      </c>
      <c r="AU1038" s="6" t="s">
        <v>10415</v>
      </c>
      <c r="AV1038" s="6" t="s">
        <v>4861</v>
      </c>
      <c r="AW1038" s="6" t="s">
        <v>3307</v>
      </c>
      <c r="AX1038" s="6" t="s">
        <v>3887</v>
      </c>
      <c r="AY1038" s="6" t="s">
        <v>804</v>
      </c>
      <c r="AZ1038" s="6" t="s">
        <v>3310</v>
      </c>
      <c r="BA1038" s="6" t="s">
        <v>3311</v>
      </c>
      <c r="BB1038" s="6" t="s">
        <v>3306</v>
      </c>
      <c r="BC1038" s="6" t="s">
        <v>3313</v>
      </c>
      <c r="BD1038" s="6" t="s">
        <v>165</v>
      </c>
      <c r="BE1038" s="6" t="s">
        <v>3888</v>
      </c>
      <c r="BF1038" s="6" t="s">
        <v>3889</v>
      </c>
      <c r="BG1038" s="6" t="s">
        <v>4068</v>
      </c>
      <c r="BH1038" s="6" t="s">
        <v>3317</v>
      </c>
      <c r="BI1038" s="6" t="s">
        <v>271</v>
      </c>
      <c r="BJ1038" s="6" t="s">
        <v>3318</v>
      </c>
      <c r="BK1038" s="6" t="s">
        <v>3319</v>
      </c>
    </row>
    <row r="1039" ht="22.5" customHeight="1">
      <c r="A1039" s="4">
        <v>46229.70321054399</v>
      </c>
      <c r="B1039" s="5">
        <v>0.0</v>
      </c>
      <c r="C1039" s="6" t="s">
        <v>114</v>
      </c>
      <c r="D1039" s="6" t="s">
        <v>722</v>
      </c>
      <c r="E1039" s="6" t="s">
        <v>2175</v>
      </c>
      <c r="F1039" s="6">
        <v>6.9070508843E10</v>
      </c>
      <c r="G1039" s="6" t="s">
        <v>5399</v>
      </c>
      <c r="H1039" s="7"/>
      <c r="I1039" s="6" t="s">
        <v>6715</v>
      </c>
      <c r="J1039" s="6" t="s">
        <v>6377</v>
      </c>
      <c r="K1039" s="6" t="s">
        <v>10416</v>
      </c>
      <c r="L1039" s="6" t="s">
        <v>10417</v>
      </c>
      <c r="M1039" s="6" t="s">
        <v>3108</v>
      </c>
      <c r="N1039" s="6" t="s">
        <v>10418</v>
      </c>
      <c r="O1039" s="6" t="s">
        <v>10419</v>
      </c>
      <c r="P1039" s="6" t="s">
        <v>10420</v>
      </c>
      <c r="Q1039" s="6" t="s">
        <v>10421</v>
      </c>
      <c r="R1039" s="6" t="s">
        <v>257</v>
      </c>
      <c r="S1039" s="6" t="s">
        <v>147</v>
      </c>
      <c r="T1039" s="6" t="s">
        <v>516</v>
      </c>
      <c r="U1039" s="6" t="s">
        <v>2254</v>
      </c>
      <c r="V1039" s="6" t="s">
        <v>155</v>
      </c>
      <c r="W1039" s="6" t="s">
        <v>158</v>
      </c>
      <c r="X1039" s="6" t="s">
        <v>458</v>
      </c>
      <c r="Y1039" s="6" t="s">
        <v>162</v>
      </c>
      <c r="Z1039" s="6" t="s">
        <v>165</v>
      </c>
      <c r="AA1039" s="6" t="s">
        <v>262</v>
      </c>
      <c r="AB1039" s="6" t="s">
        <v>521</v>
      </c>
      <c r="AC1039" s="6" t="s">
        <v>2718</v>
      </c>
      <c r="AD1039" s="6" t="s">
        <v>175</v>
      </c>
      <c r="AE1039" s="6" t="s">
        <v>271</v>
      </c>
      <c r="AF1039" s="6" t="s">
        <v>811</v>
      </c>
      <c r="AG1039" s="6" t="s">
        <v>182</v>
      </c>
      <c r="AH1039" s="7"/>
      <c r="AI1039" s="7"/>
      <c r="AJ1039" s="7"/>
      <c r="AK1039" s="7"/>
      <c r="AL1039" s="7"/>
      <c r="AM1039" s="7"/>
      <c r="AN1039" s="7"/>
      <c r="AO1039" s="7"/>
      <c r="AP1039" s="7"/>
      <c r="AQ1039" s="7"/>
      <c r="AR1039" s="7"/>
      <c r="AS1039" s="7"/>
      <c r="AT1039" s="7"/>
      <c r="AU1039" s="7"/>
      <c r="AV1039" s="7"/>
      <c r="AW1039" s="7"/>
      <c r="AX1039" s="7"/>
      <c r="AY1039" s="7"/>
      <c r="AZ1039" s="7"/>
      <c r="BA1039" s="7"/>
      <c r="BB1039" s="7"/>
      <c r="BC1039" s="7"/>
      <c r="BD1039" s="7"/>
      <c r="BE1039" s="7"/>
      <c r="BF1039" s="7"/>
      <c r="BG1039" s="7"/>
      <c r="BH1039" s="7"/>
      <c r="BI1039" s="7"/>
      <c r="BJ1039" s="7"/>
      <c r="BK1039" s="7"/>
    </row>
    <row r="1040" ht="22.5" customHeight="1">
      <c r="A1040" s="4">
        <v>46229.70321334491</v>
      </c>
      <c r="B1040" s="5">
        <v>0.0</v>
      </c>
      <c r="C1040" s="6" t="s">
        <v>114</v>
      </c>
      <c r="D1040" s="6" t="s">
        <v>2176</v>
      </c>
      <c r="E1040" s="6" t="s">
        <v>2177</v>
      </c>
      <c r="F1040" s="6">
        <v>6.9070500638E10</v>
      </c>
      <c r="G1040" s="6" t="s">
        <v>6140</v>
      </c>
      <c r="H1040" s="6" t="s">
        <v>2633</v>
      </c>
      <c r="I1040" s="6" t="s">
        <v>10422</v>
      </c>
      <c r="J1040" s="6" t="s">
        <v>10423</v>
      </c>
      <c r="K1040" s="6" t="s">
        <v>10424</v>
      </c>
      <c r="L1040" s="6" t="s">
        <v>10425</v>
      </c>
      <c r="M1040" s="6" t="s">
        <v>2122</v>
      </c>
      <c r="N1040" s="7"/>
      <c r="O1040" s="6" t="s">
        <v>10426</v>
      </c>
      <c r="P1040" s="6" t="s">
        <v>10427</v>
      </c>
      <c r="Q1040" s="6" t="s">
        <v>10428</v>
      </c>
      <c r="R1040" s="6" t="s">
        <v>246</v>
      </c>
      <c r="S1040" s="6" t="s">
        <v>147</v>
      </c>
      <c r="T1040" s="6" t="s">
        <v>246</v>
      </c>
      <c r="U1040" s="6" t="s">
        <v>2254</v>
      </c>
      <c r="V1040" s="6" t="s">
        <v>246</v>
      </c>
      <c r="W1040" s="6" t="s">
        <v>158</v>
      </c>
      <c r="X1040" s="6" t="s">
        <v>257</v>
      </c>
      <c r="Y1040" s="6" t="s">
        <v>162</v>
      </c>
      <c r="Z1040" s="6" t="s">
        <v>165</v>
      </c>
      <c r="AA1040" s="6" t="s">
        <v>262</v>
      </c>
      <c r="AB1040" s="6" t="s">
        <v>171</v>
      </c>
      <c r="AC1040" s="6" t="s">
        <v>174</v>
      </c>
      <c r="AD1040" s="6" t="s">
        <v>175</v>
      </c>
      <c r="AE1040" s="6" t="s">
        <v>271</v>
      </c>
      <c r="AF1040" s="6" t="s">
        <v>181</v>
      </c>
      <c r="AG1040" s="6" t="s">
        <v>182</v>
      </c>
      <c r="AH1040" s="7"/>
      <c r="AI1040" s="7"/>
      <c r="AJ1040" s="7"/>
      <c r="AK1040" s="7"/>
      <c r="AL1040" s="7"/>
      <c r="AM1040" s="7"/>
      <c r="AN1040" s="7"/>
      <c r="AO1040" s="7"/>
      <c r="AP1040" s="7"/>
      <c r="AQ1040" s="7"/>
      <c r="AR1040" s="7"/>
      <c r="AS1040" s="7"/>
      <c r="AT1040" s="7"/>
      <c r="AU1040" s="7"/>
      <c r="AV1040" s="7"/>
      <c r="AW1040" s="7"/>
      <c r="AX1040" s="7"/>
      <c r="AY1040" s="7"/>
      <c r="AZ1040" s="7"/>
      <c r="BA1040" s="7"/>
      <c r="BB1040" s="7"/>
      <c r="BC1040" s="7"/>
      <c r="BD1040" s="7"/>
      <c r="BE1040" s="7"/>
      <c r="BF1040" s="7"/>
      <c r="BG1040" s="7"/>
      <c r="BH1040" s="7"/>
      <c r="BI1040" s="7"/>
      <c r="BJ1040" s="7"/>
      <c r="BK1040" s="7"/>
    </row>
    <row r="1041" ht="22.5" customHeight="1">
      <c r="A1041" s="4">
        <v>46229.70322675926</v>
      </c>
      <c r="B1041" s="5">
        <v>0.0</v>
      </c>
      <c r="C1041" s="6" t="s">
        <v>114</v>
      </c>
      <c r="D1041" s="6" t="s">
        <v>2178</v>
      </c>
      <c r="E1041" s="6" t="s">
        <v>2179</v>
      </c>
      <c r="F1041" s="6">
        <v>6.9070508837E10</v>
      </c>
      <c r="G1041" s="6" t="s">
        <v>5399</v>
      </c>
      <c r="H1041" s="7"/>
      <c r="I1041" s="6" t="s">
        <v>10219</v>
      </c>
      <c r="J1041" s="6" t="s">
        <v>10220</v>
      </c>
      <c r="K1041" s="6" t="s">
        <v>3681</v>
      </c>
      <c r="L1041" s="6" t="s">
        <v>10110</v>
      </c>
      <c r="M1041" s="6" t="s">
        <v>10429</v>
      </c>
      <c r="N1041" s="7"/>
      <c r="O1041" s="6" t="s">
        <v>10430</v>
      </c>
      <c r="P1041" s="6" t="s">
        <v>10431</v>
      </c>
      <c r="Q1041" s="6" t="s">
        <v>10432</v>
      </c>
      <c r="R1041" s="6" t="s">
        <v>246</v>
      </c>
      <c r="S1041" s="6" t="s">
        <v>147</v>
      </c>
      <c r="T1041" s="6" t="s">
        <v>250</v>
      </c>
      <c r="U1041" s="6" t="s">
        <v>686</v>
      </c>
      <c r="V1041" s="6" t="s">
        <v>246</v>
      </c>
      <c r="W1041" s="6" t="s">
        <v>158</v>
      </c>
      <c r="X1041" s="6" t="s">
        <v>257</v>
      </c>
      <c r="Y1041" s="6" t="s">
        <v>162</v>
      </c>
      <c r="Z1041" s="6" t="s">
        <v>165</v>
      </c>
      <c r="AA1041" s="6" t="s">
        <v>262</v>
      </c>
      <c r="AB1041" s="6" t="s">
        <v>521</v>
      </c>
      <c r="AC1041" s="6" t="s">
        <v>174</v>
      </c>
      <c r="AD1041" s="6" t="s">
        <v>175</v>
      </c>
      <c r="AE1041" s="6" t="s">
        <v>271</v>
      </c>
      <c r="AF1041" s="6" t="s">
        <v>181</v>
      </c>
      <c r="AG1041" s="6" t="s">
        <v>182</v>
      </c>
      <c r="AH1041" s="7"/>
      <c r="AI1041" s="7"/>
      <c r="AJ1041" s="7"/>
      <c r="AK1041" s="7"/>
      <c r="AL1041" s="7"/>
      <c r="AM1041" s="7"/>
      <c r="AN1041" s="7"/>
      <c r="AO1041" s="7"/>
      <c r="AP1041" s="7"/>
      <c r="AQ1041" s="7"/>
      <c r="AR1041" s="7"/>
      <c r="AS1041" s="7"/>
      <c r="AT1041" s="7"/>
      <c r="AU1041" s="7"/>
      <c r="AV1041" s="7"/>
      <c r="AW1041" s="7"/>
      <c r="AX1041" s="7"/>
      <c r="AY1041" s="7"/>
      <c r="AZ1041" s="7"/>
      <c r="BA1041" s="7"/>
      <c r="BB1041" s="7"/>
      <c r="BC1041" s="7"/>
      <c r="BD1041" s="7"/>
      <c r="BE1041" s="7"/>
      <c r="BF1041" s="7"/>
      <c r="BG1041" s="7"/>
      <c r="BH1041" s="7"/>
      <c r="BI1041" s="7"/>
      <c r="BJ1041" s="7"/>
      <c r="BK1041" s="7"/>
    </row>
    <row r="1042" ht="22.5" customHeight="1">
      <c r="A1042" s="4">
        <v>46229.703244131946</v>
      </c>
      <c r="B1042" s="5">
        <v>0.0</v>
      </c>
      <c r="C1042" s="6" t="s">
        <v>3296</v>
      </c>
      <c r="D1042" s="7"/>
      <c r="E1042" s="7"/>
      <c r="F1042" s="7"/>
      <c r="G1042" s="7"/>
      <c r="H1042" s="7"/>
      <c r="I1042" s="7"/>
      <c r="J1042" s="7"/>
      <c r="K1042" s="7"/>
      <c r="L1042" s="7"/>
      <c r="M1042" s="7"/>
      <c r="N1042" s="7"/>
      <c r="O1042" s="7"/>
      <c r="P1042" s="7"/>
      <c r="Q1042" s="7"/>
      <c r="R1042" s="7"/>
      <c r="S1042" s="7"/>
      <c r="T1042" s="7"/>
      <c r="U1042" s="7"/>
      <c r="V1042" s="7"/>
      <c r="W1042" s="7"/>
      <c r="X1042" s="7"/>
      <c r="Y1042" s="7"/>
      <c r="Z1042" s="7"/>
      <c r="AA1042" s="7"/>
      <c r="AB1042" s="7"/>
      <c r="AC1042" s="7"/>
      <c r="AD1042" s="7"/>
      <c r="AE1042" s="7"/>
      <c r="AF1042" s="7"/>
      <c r="AG1042" s="7"/>
      <c r="AH1042" s="6" t="s">
        <v>2828</v>
      </c>
      <c r="AI1042" s="6" t="s">
        <v>2829</v>
      </c>
      <c r="AJ1042" s="6">
        <v>6.9070503444E10</v>
      </c>
      <c r="AK1042" s="6" t="s">
        <v>3297</v>
      </c>
      <c r="AL1042" s="6" t="s">
        <v>10433</v>
      </c>
      <c r="AM1042" s="6" t="s">
        <v>9254</v>
      </c>
      <c r="AN1042" s="6" t="s">
        <v>10434</v>
      </c>
      <c r="AO1042" s="6" t="s">
        <v>10435</v>
      </c>
      <c r="AP1042" s="6" t="s">
        <v>10436</v>
      </c>
      <c r="AQ1042" s="6" t="s">
        <v>10437</v>
      </c>
      <c r="AR1042" s="6" t="s">
        <v>10438</v>
      </c>
      <c r="AS1042" s="6" t="s">
        <v>10439</v>
      </c>
      <c r="AT1042" s="6" t="s">
        <v>10440</v>
      </c>
      <c r="AU1042" s="6" t="s">
        <v>10441</v>
      </c>
      <c r="AV1042" s="6" t="s">
        <v>3306</v>
      </c>
      <c r="AW1042" s="6" t="s">
        <v>3307</v>
      </c>
      <c r="AX1042" s="6" t="s">
        <v>3887</v>
      </c>
      <c r="AY1042" s="6" t="s">
        <v>4067</v>
      </c>
      <c r="AZ1042" s="6" t="s">
        <v>3306</v>
      </c>
      <c r="BA1042" s="6" t="s">
        <v>3311</v>
      </c>
      <c r="BB1042" s="6" t="s">
        <v>3312</v>
      </c>
      <c r="BC1042" s="6" t="s">
        <v>3313</v>
      </c>
      <c r="BD1042" s="6" t="s">
        <v>165</v>
      </c>
      <c r="BE1042" s="6" t="s">
        <v>3888</v>
      </c>
      <c r="BF1042" s="6" t="s">
        <v>4862</v>
      </c>
      <c r="BG1042" s="6" t="s">
        <v>4068</v>
      </c>
      <c r="BH1042" s="6" t="s">
        <v>3317</v>
      </c>
      <c r="BI1042" s="6" t="s">
        <v>271</v>
      </c>
      <c r="BJ1042" s="6" t="s">
        <v>3318</v>
      </c>
      <c r="BK1042" s="6" t="s">
        <v>8803</v>
      </c>
    </row>
    <row r="1043" ht="22.5" customHeight="1">
      <c r="A1043" s="4">
        <v>46229.70326313657</v>
      </c>
      <c r="B1043" s="5">
        <v>0.0</v>
      </c>
      <c r="C1043" s="6" t="s">
        <v>3296</v>
      </c>
      <c r="D1043" s="7"/>
      <c r="E1043" s="7"/>
      <c r="F1043" s="7"/>
      <c r="G1043" s="7"/>
      <c r="H1043" s="7"/>
      <c r="I1043" s="7"/>
      <c r="J1043" s="7"/>
      <c r="K1043" s="7"/>
      <c r="L1043" s="7"/>
      <c r="M1043" s="7"/>
      <c r="N1043" s="7"/>
      <c r="O1043" s="7"/>
      <c r="P1043" s="7"/>
      <c r="Q1043" s="7"/>
      <c r="R1043" s="7"/>
      <c r="S1043" s="7"/>
      <c r="T1043" s="7"/>
      <c r="U1043" s="7"/>
      <c r="V1043" s="7"/>
      <c r="W1043" s="7"/>
      <c r="X1043" s="7"/>
      <c r="Y1043" s="7"/>
      <c r="Z1043" s="7"/>
      <c r="AA1043" s="7"/>
      <c r="AB1043" s="7"/>
      <c r="AC1043" s="7"/>
      <c r="AD1043" s="7"/>
      <c r="AE1043" s="7"/>
      <c r="AF1043" s="7"/>
      <c r="AG1043" s="7"/>
      <c r="AH1043" s="6" t="s">
        <v>2830</v>
      </c>
      <c r="AI1043" s="6" t="s">
        <v>2831</v>
      </c>
      <c r="AJ1043" s="6">
        <v>6.9070503485E10</v>
      </c>
      <c r="AK1043" s="6" t="s">
        <v>3297</v>
      </c>
      <c r="AL1043" s="7"/>
      <c r="AM1043" s="6" t="s">
        <v>10442</v>
      </c>
      <c r="AN1043" s="6" t="s">
        <v>10443</v>
      </c>
      <c r="AO1043" s="6" t="s">
        <v>8260</v>
      </c>
      <c r="AP1043" s="6" t="s">
        <v>10444</v>
      </c>
      <c r="AQ1043" s="6" t="s">
        <v>7541</v>
      </c>
      <c r="AR1043" s="7"/>
      <c r="AS1043" s="6" t="s">
        <v>10445</v>
      </c>
      <c r="AT1043" s="6" t="s">
        <v>10446</v>
      </c>
      <c r="AU1043" s="6" t="s">
        <v>10447</v>
      </c>
      <c r="AV1043" s="6" t="s">
        <v>3306</v>
      </c>
      <c r="AW1043" s="6" t="s">
        <v>3307</v>
      </c>
      <c r="AX1043" s="6" t="s">
        <v>3306</v>
      </c>
      <c r="AY1043" s="6" t="s">
        <v>804</v>
      </c>
      <c r="AZ1043" s="6" t="s">
        <v>3306</v>
      </c>
      <c r="BA1043" s="6" t="s">
        <v>3311</v>
      </c>
      <c r="BB1043" s="6" t="s">
        <v>4693</v>
      </c>
      <c r="BC1043" s="6" t="s">
        <v>3313</v>
      </c>
      <c r="BD1043" s="6" t="s">
        <v>165</v>
      </c>
      <c r="BE1043" s="6" t="s">
        <v>5631</v>
      </c>
      <c r="BF1043" s="6" t="s">
        <v>3315</v>
      </c>
      <c r="BG1043" s="6" t="s">
        <v>3316</v>
      </c>
      <c r="BH1043" s="6" t="s">
        <v>3317</v>
      </c>
      <c r="BI1043" s="6" t="s">
        <v>271</v>
      </c>
      <c r="BJ1043" s="6" t="s">
        <v>3318</v>
      </c>
      <c r="BK1043" s="6" t="s">
        <v>4695</v>
      </c>
    </row>
    <row r="1044" ht="22.5" customHeight="1">
      <c r="A1044" s="4">
        <v>46229.70326635416</v>
      </c>
      <c r="B1044" s="5">
        <v>0.0</v>
      </c>
      <c r="C1044" s="6" t="s">
        <v>114</v>
      </c>
      <c r="D1044" s="6" t="s">
        <v>2181</v>
      </c>
      <c r="E1044" s="6" t="s">
        <v>2182</v>
      </c>
      <c r="F1044" s="6">
        <v>6.9070500633E10</v>
      </c>
      <c r="G1044" s="6" t="s">
        <v>6140</v>
      </c>
      <c r="H1044" s="7"/>
      <c r="I1044" s="6" t="s">
        <v>10448</v>
      </c>
      <c r="J1044" s="6" t="s">
        <v>10449</v>
      </c>
      <c r="K1044" s="6" t="s">
        <v>5739</v>
      </c>
      <c r="L1044" s="6" t="s">
        <v>10450</v>
      </c>
      <c r="M1044" s="6" t="s">
        <v>10451</v>
      </c>
      <c r="N1044" s="7"/>
      <c r="O1044" s="6" t="s">
        <v>10452</v>
      </c>
      <c r="P1044" s="6" t="s">
        <v>10453</v>
      </c>
      <c r="Q1044" s="6" t="s">
        <v>10454</v>
      </c>
      <c r="R1044" s="6" t="s">
        <v>145</v>
      </c>
      <c r="S1044" s="6" t="s">
        <v>147</v>
      </c>
      <c r="T1044" s="6" t="s">
        <v>250</v>
      </c>
      <c r="U1044" s="6" t="s">
        <v>2254</v>
      </c>
      <c r="V1044" s="6" t="s">
        <v>155</v>
      </c>
      <c r="W1044" s="6" t="s">
        <v>158</v>
      </c>
      <c r="X1044" s="6" t="s">
        <v>246</v>
      </c>
      <c r="Y1044" s="6" t="s">
        <v>162</v>
      </c>
      <c r="Z1044" s="6" t="s">
        <v>165</v>
      </c>
      <c r="AA1044" s="6" t="s">
        <v>262</v>
      </c>
      <c r="AB1044" s="6" t="s">
        <v>171</v>
      </c>
      <c r="AC1044" s="6" t="s">
        <v>174</v>
      </c>
      <c r="AD1044" s="6" t="s">
        <v>175</v>
      </c>
      <c r="AE1044" s="6" t="s">
        <v>271</v>
      </c>
      <c r="AF1044" s="6" t="s">
        <v>181</v>
      </c>
      <c r="AG1044" s="6" t="s">
        <v>182</v>
      </c>
      <c r="AH1044" s="7"/>
      <c r="AI1044" s="7"/>
      <c r="AJ1044" s="7"/>
      <c r="AK1044" s="7"/>
      <c r="AL1044" s="7"/>
      <c r="AM1044" s="7"/>
      <c r="AN1044" s="7"/>
      <c r="AO1044" s="7"/>
      <c r="AP1044" s="7"/>
      <c r="AQ1044" s="7"/>
      <c r="AR1044" s="7"/>
      <c r="AS1044" s="7"/>
      <c r="AT1044" s="7"/>
      <c r="AU1044" s="7"/>
      <c r="AV1044" s="7"/>
      <c r="AW1044" s="7"/>
      <c r="AX1044" s="7"/>
      <c r="AY1044" s="7"/>
      <c r="AZ1044" s="7"/>
      <c r="BA1044" s="7"/>
      <c r="BB1044" s="7"/>
      <c r="BC1044" s="7"/>
      <c r="BD1044" s="7"/>
      <c r="BE1044" s="7"/>
      <c r="BF1044" s="7"/>
      <c r="BG1044" s="7"/>
      <c r="BH1044" s="7"/>
      <c r="BI1044" s="7"/>
      <c r="BJ1044" s="7"/>
      <c r="BK1044" s="7"/>
    </row>
    <row r="1045" ht="22.5" customHeight="1">
      <c r="A1045" s="4">
        <v>46229.703300497684</v>
      </c>
      <c r="B1045" s="5">
        <v>0.0</v>
      </c>
      <c r="C1045" s="6" t="s">
        <v>114</v>
      </c>
      <c r="D1045" s="6" t="s">
        <v>197</v>
      </c>
      <c r="E1045" s="6" t="s">
        <v>2186</v>
      </c>
      <c r="F1045" s="6">
        <v>6.9070501267E10</v>
      </c>
      <c r="G1045" s="6" t="s">
        <v>228</v>
      </c>
      <c r="H1045" s="7"/>
      <c r="I1045" s="6" t="s">
        <v>10455</v>
      </c>
      <c r="J1045" s="6" t="s">
        <v>10456</v>
      </c>
      <c r="K1045" s="6" t="s">
        <v>10457</v>
      </c>
      <c r="L1045" s="6" t="s">
        <v>10458</v>
      </c>
      <c r="M1045" s="6" t="s">
        <v>10459</v>
      </c>
      <c r="N1045" s="7"/>
      <c r="O1045" s="6" t="s">
        <v>10460</v>
      </c>
      <c r="P1045" s="6" t="s">
        <v>10461</v>
      </c>
      <c r="Q1045" s="6" t="s">
        <v>10462</v>
      </c>
      <c r="R1045" s="6" t="s">
        <v>246</v>
      </c>
      <c r="S1045" s="6" t="s">
        <v>147</v>
      </c>
      <c r="T1045" s="6" t="s">
        <v>250</v>
      </c>
      <c r="U1045" s="6" t="s">
        <v>252</v>
      </c>
      <c r="V1045" s="6" t="s">
        <v>246</v>
      </c>
      <c r="W1045" s="6" t="s">
        <v>158</v>
      </c>
      <c r="X1045" s="6" t="s">
        <v>257</v>
      </c>
      <c r="Y1045" s="6" t="s">
        <v>162</v>
      </c>
      <c r="Z1045" s="6" t="s">
        <v>165</v>
      </c>
      <c r="AA1045" s="6" t="s">
        <v>262</v>
      </c>
      <c r="AB1045" s="6" t="s">
        <v>521</v>
      </c>
      <c r="AC1045" s="6" t="s">
        <v>174</v>
      </c>
      <c r="AD1045" s="6" t="s">
        <v>175</v>
      </c>
      <c r="AE1045" s="6" t="s">
        <v>271</v>
      </c>
      <c r="AF1045" s="6" t="s">
        <v>181</v>
      </c>
      <c r="AG1045" s="6" t="s">
        <v>182</v>
      </c>
      <c r="AH1045" s="7"/>
      <c r="AI1045" s="7"/>
      <c r="AJ1045" s="7"/>
      <c r="AK1045" s="7"/>
      <c r="AL1045" s="7"/>
      <c r="AM1045" s="7"/>
      <c r="AN1045" s="7"/>
      <c r="AO1045" s="7"/>
      <c r="AP1045" s="7"/>
      <c r="AQ1045" s="7"/>
      <c r="AR1045" s="7"/>
      <c r="AS1045" s="7"/>
      <c r="AT1045" s="7"/>
      <c r="AU1045" s="7"/>
      <c r="AV1045" s="7"/>
      <c r="AW1045" s="7"/>
      <c r="AX1045" s="7"/>
      <c r="AY1045" s="7"/>
      <c r="AZ1045" s="7"/>
      <c r="BA1045" s="7"/>
      <c r="BB1045" s="7"/>
      <c r="BC1045" s="7"/>
      <c r="BD1045" s="7"/>
      <c r="BE1045" s="7"/>
      <c r="BF1045" s="7"/>
      <c r="BG1045" s="7"/>
      <c r="BH1045" s="7"/>
      <c r="BI1045" s="7"/>
      <c r="BJ1045" s="7"/>
      <c r="BK1045" s="7"/>
    </row>
    <row r="1046" ht="22.5" customHeight="1">
      <c r="A1046" s="4">
        <v>46229.7033140162</v>
      </c>
      <c r="B1046" s="5">
        <v>0.0</v>
      </c>
      <c r="C1046" s="6" t="s">
        <v>114</v>
      </c>
      <c r="D1046" s="6" t="s">
        <v>2188</v>
      </c>
      <c r="E1046" s="6" t="s">
        <v>2190</v>
      </c>
      <c r="F1046" s="6">
        <v>6.9070500273E10</v>
      </c>
      <c r="G1046" s="6" t="s">
        <v>599</v>
      </c>
      <c r="H1046" s="6" t="s">
        <v>10463</v>
      </c>
      <c r="I1046" s="6" t="s">
        <v>3523</v>
      </c>
      <c r="J1046" s="6" t="s">
        <v>4004</v>
      </c>
      <c r="K1046" s="6" t="s">
        <v>4003</v>
      </c>
      <c r="L1046" s="6" t="s">
        <v>4371</v>
      </c>
      <c r="M1046" s="6" t="s">
        <v>4002</v>
      </c>
      <c r="N1046" s="7"/>
      <c r="O1046" s="6" t="s">
        <v>10464</v>
      </c>
      <c r="P1046" s="6" t="s">
        <v>10465</v>
      </c>
      <c r="Q1046" s="6" t="s">
        <v>10466</v>
      </c>
      <c r="R1046" s="6" t="s">
        <v>246</v>
      </c>
      <c r="S1046" s="6" t="s">
        <v>147</v>
      </c>
      <c r="T1046" s="6" t="s">
        <v>250</v>
      </c>
      <c r="U1046" s="6" t="s">
        <v>252</v>
      </c>
      <c r="V1046" s="6" t="s">
        <v>246</v>
      </c>
      <c r="W1046" s="6" t="s">
        <v>158</v>
      </c>
      <c r="X1046" s="6" t="s">
        <v>458</v>
      </c>
      <c r="Y1046" s="6" t="s">
        <v>162</v>
      </c>
      <c r="Z1046" s="6" t="s">
        <v>165</v>
      </c>
      <c r="AA1046" s="6" t="s">
        <v>262</v>
      </c>
      <c r="AB1046" s="6" t="s">
        <v>171</v>
      </c>
      <c r="AC1046" s="6" t="s">
        <v>174</v>
      </c>
      <c r="AD1046" s="6" t="s">
        <v>175</v>
      </c>
      <c r="AE1046" s="6" t="s">
        <v>271</v>
      </c>
      <c r="AF1046" s="6" t="s">
        <v>181</v>
      </c>
      <c r="AG1046" s="6" t="s">
        <v>182</v>
      </c>
      <c r="AH1046" s="7"/>
      <c r="AI1046" s="7"/>
      <c r="AJ1046" s="7"/>
      <c r="AK1046" s="7"/>
      <c r="AL1046" s="7"/>
      <c r="AM1046" s="7"/>
      <c r="AN1046" s="7"/>
      <c r="AO1046" s="7"/>
      <c r="AP1046" s="7"/>
      <c r="AQ1046" s="7"/>
      <c r="AR1046" s="7"/>
      <c r="AS1046" s="7"/>
      <c r="AT1046" s="7"/>
      <c r="AU1046" s="7"/>
      <c r="AV1046" s="7"/>
      <c r="AW1046" s="7"/>
      <c r="AX1046" s="7"/>
      <c r="AY1046" s="7"/>
      <c r="AZ1046" s="7"/>
      <c r="BA1046" s="7"/>
      <c r="BB1046" s="7"/>
      <c r="BC1046" s="7"/>
      <c r="BD1046" s="7"/>
      <c r="BE1046" s="7"/>
      <c r="BF1046" s="7"/>
      <c r="BG1046" s="7"/>
      <c r="BH1046" s="7"/>
      <c r="BI1046" s="7"/>
      <c r="BJ1046" s="7"/>
      <c r="BK1046" s="7"/>
    </row>
    <row r="1047" ht="22.5" customHeight="1">
      <c r="A1047" s="4">
        <v>46229.70331769676</v>
      </c>
      <c r="B1047" s="5">
        <v>0.0</v>
      </c>
      <c r="C1047" s="6" t="s">
        <v>114</v>
      </c>
      <c r="D1047" s="6" t="s">
        <v>2193</v>
      </c>
      <c r="E1047" s="6" t="s">
        <v>2194</v>
      </c>
      <c r="F1047" s="6">
        <v>6.9070502209E10</v>
      </c>
      <c r="G1047" s="6" t="s">
        <v>496</v>
      </c>
      <c r="H1047" s="7"/>
      <c r="I1047" s="6" t="s">
        <v>10467</v>
      </c>
      <c r="J1047" s="6" t="s">
        <v>10468</v>
      </c>
      <c r="K1047" s="6" t="s">
        <v>10469</v>
      </c>
      <c r="L1047" s="6" t="s">
        <v>10470</v>
      </c>
      <c r="M1047" s="6" t="s">
        <v>10471</v>
      </c>
      <c r="N1047" s="7"/>
      <c r="O1047" s="6" t="s">
        <v>10472</v>
      </c>
      <c r="P1047" s="6" t="s">
        <v>10473</v>
      </c>
      <c r="Q1047" s="6" t="s">
        <v>10474</v>
      </c>
      <c r="R1047" s="6" t="s">
        <v>246</v>
      </c>
      <c r="S1047" s="6" t="s">
        <v>147</v>
      </c>
      <c r="T1047" s="6" t="s">
        <v>250</v>
      </c>
      <c r="U1047" s="6" t="s">
        <v>252</v>
      </c>
      <c r="V1047" s="6" t="s">
        <v>246</v>
      </c>
      <c r="W1047" s="6" t="s">
        <v>158</v>
      </c>
      <c r="X1047" s="6" t="s">
        <v>458</v>
      </c>
      <c r="Y1047" s="6" t="s">
        <v>162</v>
      </c>
      <c r="Z1047" s="6" t="s">
        <v>165</v>
      </c>
      <c r="AA1047" s="6" t="s">
        <v>262</v>
      </c>
      <c r="AB1047" s="6" t="s">
        <v>521</v>
      </c>
      <c r="AC1047" s="6" t="s">
        <v>1669</v>
      </c>
      <c r="AD1047" s="6" t="s">
        <v>175</v>
      </c>
      <c r="AE1047" s="6" t="s">
        <v>271</v>
      </c>
      <c r="AF1047" s="6" t="s">
        <v>181</v>
      </c>
      <c r="AG1047" s="6" t="s">
        <v>182</v>
      </c>
      <c r="AH1047" s="7"/>
      <c r="AI1047" s="7"/>
      <c r="AJ1047" s="7"/>
      <c r="AK1047" s="7"/>
      <c r="AL1047" s="7"/>
      <c r="AM1047" s="7"/>
      <c r="AN1047" s="7"/>
      <c r="AO1047" s="7"/>
      <c r="AP1047" s="7"/>
      <c r="AQ1047" s="7"/>
      <c r="AR1047" s="7"/>
      <c r="AS1047" s="7"/>
      <c r="AT1047" s="7"/>
      <c r="AU1047" s="7"/>
      <c r="AV1047" s="7"/>
      <c r="AW1047" s="7"/>
      <c r="AX1047" s="7"/>
      <c r="AY1047" s="7"/>
      <c r="AZ1047" s="7"/>
      <c r="BA1047" s="7"/>
      <c r="BB1047" s="7"/>
      <c r="BC1047" s="7"/>
      <c r="BD1047" s="7"/>
      <c r="BE1047" s="7"/>
      <c r="BF1047" s="7"/>
      <c r="BG1047" s="7"/>
      <c r="BH1047" s="7"/>
      <c r="BI1047" s="7"/>
      <c r="BJ1047" s="7"/>
      <c r="BK1047" s="7"/>
    </row>
    <row r="1048" ht="22.5" customHeight="1">
      <c r="A1048" s="4">
        <v>46229.703319872686</v>
      </c>
      <c r="B1048" s="5">
        <v>0.0</v>
      </c>
      <c r="C1048" s="6" t="s">
        <v>114</v>
      </c>
      <c r="D1048" s="6" t="s">
        <v>2195</v>
      </c>
      <c r="E1048" s="6" t="s">
        <v>2196</v>
      </c>
      <c r="F1048" s="6">
        <v>6.9070509839E10</v>
      </c>
      <c r="G1048" s="6" t="s">
        <v>496</v>
      </c>
      <c r="H1048" s="7"/>
      <c r="I1048" s="6" t="s">
        <v>10475</v>
      </c>
      <c r="J1048" s="6" t="s">
        <v>10476</v>
      </c>
      <c r="K1048" s="6" t="s">
        <v>7056</v>
      </c>
      <c r="L1048" s="6" t="s">
        <v>10477</v>
      </c>
      <c r="M1048" s="6" t="s">
        <v>10478</v>
      </c>
      <c r="N1048" s="6" t="s">
        <v>10479</v>
      </c>
      <c r="O1048" s="6" t="s">
        <v>10480</v>
      </c>
      <c r="P1048" s="6" t="s">
        <v>10481</v>
      </c>
      <c r="Q1048" s="6" t="s">
        <v>10482</v>
      </c>
      <c r="R1048" s="6" t="s">
        <v>4653</v>
      </c>
      <c r="S1048" s="6" t="s">
        <v>147</v>
      </c>
      <c r="T1048" s="6" t="s">
        <v>250</v>
      </c>
      <c r="U1048" s="6" t="s">
        <v>252</v>
      </c>
      <c r="V1048" s="6" t="s">
        <v>155</v>
      </c>
      <c r="W1048" s="6" t="s">
        <v>158</v>
      </c>
      <c r="X1048" s="6" t="s">
        <v>161</v>
      </c>
      <c r="Y1048" s="6" t="s">
        <v>162</v>
      </c>
      <c r="Z1048" s="6" t="s">
        <v>165</v>
      </c>
      <c r="AA1048" s="6" t="s">
        <v>262</v>
      </c>
      <c r="AB1048" s="6" t="s">
        <v>521</v>
      </c>
      <c r="AC1048" s="6" t="s">
        <v>174</v>
      </c>
      <c r="AD1048" s="6" t="s">
        <v>175</v>
      </c>
      <c r="AE1048" s="6" t="s">
        <v>178</v>
      </c>
      <c r="AF1048" s="6" t="s">
        <v>811</v>
      </c>
      <c r="AG1048" s="6" t="s">
        <v>182</v>
      </c>
      <c r="AH1048" s="7"/>
      <c r="AI1048" s="7"/>
      <c r="AJ1048" s="7"/>
      <c r="AK1048" s="7"/>
      <c r="AL1048" s="7"/>
      <c r="AM1048" s="7"/>
      <c r="AN1048" s="7"/>
      <c r="AO1048" s="7"/>
      <c r="AP1048" s="7"/>
      <c r="AQ1048" s="7"/>
      <c r="AR1048" s="7"/>
      <c r="AS1048" s="7"/>
      <c r="AT1048" s="7"/>
      <c r="AU1048" s="7"/>
      <c r="AV1048" s="7"/>
      <c r="AW1048" s="7"/>
      <c r="AX1048" s="7"/>
      <c r="AY1048" s="7"/>
      <c r="AZ1048" s="7"/>
      <c r="BA1048" s="7"/>
      <c r="BB1048" s="7"/>
      <c r="BC1048" s="7"/>
      <c r="BD1048" s="7"/>
      <c r="BE1048" s="7"/>
      <c r="BF1048" s="7"/>
      <c r="BG1048" s="7"/>
      <c r="BH1048" s="7"/>
      <c r="BI1048" s="7"/>
      <c r="BJ1048" s="7"/>
      <c r="BK1048" s="7"/>
    </row>
    <row r="1049" ht="22.5" customHeight="1">
      <c r="A1049" s="4">
        <v>46229.7033325</v>
      </c>
      <c r="B1049" s="5">
        <v>0.0</v>
      </c>
      <c r="C1049" s="6" t="s">
        <v>114</v>
      </c>
      <c r="D1049" s="6" t="s">
        <v>2197</v>
      </c>
      <c r="E1049" s="6" t="s">
        <v>2198</v>
      </c>
      <c r="F1049" s="6">
        <v>6.9070506439E10</v>
      </c>
      <c r="G1049" s="6" t="s">
        <v>599</v>
      </c>
      <c r="H1049" s="7"/>
      <c r="I1049" s="6" t="s">
        <v>10483</v>
      </c>
      <c r="J1049" s="6" t="s">
        <v>10484</v>
      </c>
      <c r="K1049" s="6" t="s">
        <v>10485</v>
      </c>
      <c r="L1049" s="6" t="s">
        <v>10486</v>
      </c>
      <c r="M1049" s="6" t="s">
        <v>10487</v>
      </c>
      <c r="N1049" s="7"/>
      <c r="O1049" s="6" t="s">
        <v>10488</v>
      </c>
      <c r="P1049" s="6" t="s">
        <v>10489</v>
      </c>
      <c r="Q1049" s="6" t="s">
        <v>10490</v>
      </c>
      <c r="R1049" s="6" t="s">
        <v>246</v>
      </c>
      <c r="S1049" s="6" t="s">
        <v>147</v>
      </c>
      <c r="T1049" s="6" t="s">
        <v>516</v>
      </c>
      <c r="U1049" s="6" t="s">
        <v>686</v>
      </c>
      <c r="V1049" s="6" t="s">
        <v>246</v>
      </c>
      <c r="W1049" s="6" t="s">
        <v>625</v>
      </c>
      <c r="X1049" s="6" t="s">
        <v>250</v>
      </c>
      <c r="Y1049" s="6" t="s">
        <v>9427</v>
      </c>
      <c r="Z1049" s="6" t="s">
        <v>165</v>
      </c>
      <c r="AA1049" s="6" t="s">
        <v>262</v>
      </c>
      <c r="AB1049" s="6" t="s">
        <v>3847</v>
      </c>
      <c r="AC1049" s="6" t="s">
        <v>2718</v>
      </c>
      <c r="AD1049" s="6" t="s">
        <v>641</v>
      </c>
      <c r="AE1049" s="6" t="s">
        <v>524</v>
      </c>
      <c r="AF1049" s="6" t="s">
        <v>174</v>
      </c>
      <c r="AG1049" s="6" t="s">
        <v>182</v>
      </c>
      <c r="AH1049" s="7"/>
      <c r="AI1049" s="7"/>
      <c r="AJ1049" s="7"/>
      <c r="AK1049" s="7"/>
      <c r="AL1049" s="7"/>
      <c r="AM1049" s="7"/>
      <c r="AN1049" s="7"/>
      <c r="AO1049" s="7"/>
      <c r="AP1049" s="7"/>
      <c r="AQ1049" s="7"/>
      <c r="AR1049" s="7"/>
      <c r="AS1049" s="7"/>
      <c r="AT1049" s="7"/>
      <c r="AU1049" s="7"/>
      <c r="AV1049" s="7"/>
      <c r="AW1049" s="7"/>
      <c r="AX1049" s="7"/>
      <c r="AY1049" s="7"/>
      <c r="AZ1049" s="7"/>
      <c r="BA1049" s="7"/>
      <c r="BB1049" s="7"/>
      <c r="BC1049" s="7"/>
      <c r="BD1049" s="7"/>
      <c r="BE1049" s="7"/>
      <c r="BF1049" s="7"/>
      <c r="BG1049" s="7"/>
      <c r="BH1049" s="7"/>
      <c r="BI1049" s="7"/>
      <c r="BJ1049" s="7"/>
      <c r="BK1049" s="7"/>
    </row>
    <row r="1050" ht="22.5" customHeight="1">
      <c r="A1050" s="4">
        <v>46229.703340844906</v>
      </c>
      <c r="B1050" s="5">
        <v>0.0</v>
      </c>
      <c r="C1050" s="6" t="s">
        <v>3296</v>
      </c>
      <c r="D1050" s="7"/>
      <c r="E1050" s="7"/>
      <c r="F1050" s="7"/>
      <c r="G1050" s="7"/>
      <c r="H1050" s="7"/>
      <c r="I1050" s="7"/>
      <c r="J1050" s="7"/>
      <c r="K1050" s="7"/>
      <c r="L1050" s="7"/>
      <c r="M1050" s="7"/>
      <c r="N1050" s="7"/>
      <c r="O1050" s="7"/>
      <c r="P1050" s="7"/>
      <c r="Q1050" s="7"/>
      <c r="R1050" s="7"/>
      <c r="S1050" s="7"/>
      <c r="T1050" s="7"/>
      <c r="U1050" s="7"/>
      <c r="V1050" s="7"/>
      <c r="W1050" s="7"/>
      <c r="X1050" s="7"/>
      <c r="Y1050" s="7"/>
      <c r="Z1050" s="7"/>
      <c r="AA1050" s="7"/>
      <c r="AB1050" s="7"/>
      <c r="AC1050" s="7"/>
      <c r="AD1050" s="7"/>
      <c r="AE1050" s="7"/>
      <c r="AF1050" s="7"/>
      <c r="AG1050" s="7"/>
      <c r="AH1050" s="6" t="s">
        <v>2832</v>
      </c>
      <c r="AI1050" s="6" t="s">
        <v>2833</v>
      </c>
      <c r="AJ1050" s="6">
        <v>6.9070504037E10</v>
      </c>
      <c r="AK1050" s="6" t="s">
        <v>4331</v>
      </c>
      <c r="AL1050" s="6" t="s">
        <v>10491</v>
      </c>
      <c r="AM1050" s="6" t="s">
        <v>10492</v>
      </c>
      <c r="AN1050" s="6" t="s">
        <v>10493</v>
      </c>
      <c r="AO1050" s="6" t="s">
        <v>10494</v>
      </c>
      <c r="AP1050" s="6" t="s">
        <v>10495</v>
      </c>
      <c r="AQ1050" s="6" t="s">
        <v>10496</v>
      </c>
      <c r="AR1050" s="6" t="s">
        <v>2633</v>
      </c>
      <c r="AS1050" s="6" t="s">
        <v>10497</v>
      </c>
      <c r="AT1050" s="6" t="s">
        <v>10498</v>
      </c>
      <c r="AU1050" s="6" t="s">
        <v>10499</v>
      </c>
      <c r="AV1050" s="6" t="s">
        <v>3306</v>
      </c>
      <c r="AW1050" s="6" t="s">
        <v>3307</v>
      </c>
      <c r="AX1050" s="6" t="s">
        <v>3308</v>
      </c>
      <c r="AY1050" s="6" t="s">
        <v>152</v>
      </c>
      <c r="AZ1050" s="6" t="s">
        <v>3310</v>
      </c>
      <c r="BA1050" s="6" t="s">
        <v>3311</v>
      </c>
      <c r="BB1050" s="6" t="s">
        <v>6098</v>
      </c>
      <c r="BC1050" s="6" t="s">
        <v>10500</v>
      </c>
      <c r="BD1050" s="6" t="s">
        <v>165</v>
      </c>
      <c r="BE1050" s="6" t="s">
        <v>3314</v>
      </c>
      <c r="BF1050" s="6" t="s">
        <v>3889</v>
      </c>
      <c r="BG1050" s="6" t="s">
        <v>5760</v>
      </c>
      <c r="BH1050" s="6" t="s">
        <v>5761</v>
      </c>
      <c r="BI1050" s="6" t="s">
        <v>524</v>
      </c>
      <c r="BJ1050" s="6" t="s">
        <v>5247</v>
      </c>
      <c r="BK1050" s="6" t="s">
        <v>3319</v>
      </c>
    </row>
    <row r="1051" ht="22.5" customHeight="1">
      <c r="A1051" s="4">
        <v>46229.70335136574</v>
      </c>
      <c r="B1051" s="5">
        <v>0.0</v>
      </c>
      <c r="C1051" s="6" t="s">
        <v>114</v>
      </c>
      <c r="D1051" s="6" t="s">
        <v>2199</v>
      </c>
      <c r="E1051" s="6" t="s">
        <v>2200</v>
      </c>
      <c r="F1051" s="6">
        <v>6.9070502428E10</v>
      </c>
      <c r="G1051" s="6" t="s">
        <v>122</v>
      </c>
      <c r="H1051" s="7"/>
      <c r="I1051" s="6" t="s">
        <v>10501</v>
      </c>
      <c r="J1051" s="6" t="s">
        <v>10502</v>
      </c>
      <c r="K1051" s="6" t="s">
        <v>10503</v>
      </c>
      <c r="L1051" s="6" t="s">
        <v>10504</v>
      </c>
      <c r="M1051" s="6" t="s">
        <v>10505</v>
      </c>
      <c r="N1051" s="7"/>
      <c r="O1051" s="6" t="s">
        <v>10506</v>
      </c>
      <c r="P1051" s="6" t="s">
        <v>10507</v>
      </c>
      <c r="Q1051" s="6" t="s">
        <v>10508</v>
      </c>
      <c r="R1051" s="6" t="s">
        <v>246</v>
      </c>
      <c r="S1051" s="6" t="s">
        <v>147</v>
      </c>
      <c r="T1051" s="6" t="s">
        <v>250</v>
      </c>
      <c r="U1051" s="6" t="s">
        <v>560</v>
      </c>
      <c r="V1051" s="6" t="s">
        <v>246</v>
      </c>
      <c r="W1051" s="6" t="s">
        <v>158</v>
      </c>
      <c r="X1051" s="6" t="s">
        <v>257</v>
      </c>
      <c r="Y1051" s="6" t="s">
        <v>162</v>
      </c>
      <c r="Z1051" s="6" t="s">
        <v>165</v>
      </c>
      <c r="AA1051" s="6" t="s">
        <v>262</v>
      </c>
      <c r="AB1051" s="6" t="s">
        <v>521</v>
      </c>
      <c r="AC1051" s="6" t="s">
        <v>174</v>
      </c>
      <c r="AD1051" s="6" t="s">
        <v>175</v>
      </c>
      <c r="AE1051" s="6" t="s">
        <v>271</v>
      </c>
      <c r="AF1051" s="6" t="s">
        <v>181</v>
      </c>
      <c r="AG1051" s="6" t="s">
        <v>182</v>
      </c>
      <c r="AH1051" s="7"/>
      <c r="AI1051" s="7"/>
      <c r="AJ1051" s="7"/>
      <c r="AK1051" s="7"/>
      <c r="AL1051" s="7"/>
      <c r="AM1051" s="7"/>
      <c r="AN1051" s="7"/>
      <c r="AO1051" s="7"/>
      <c r="AP1051" s="7"/>
      <c r="AQ1051" s="7"/>
      <c r="AR1051" s="7"/>
      <c r="AS1051" s="7"/>
      <c r="AT1051" s="7"/>
      <c r="AU1051" s="7"/>
      <c r="AV1051" s="7"/>
      <c r="AW1051" s="7"/>
      <c r="AX1051" s="7"/>
      <c r="AY1051" s="7"/>
      <c r="AZ1051" s="7"/>
      <c r="BA1051" s="7"/>
      <c r="BB1051" s="7"/>
      <c r="BC1051" s="7"/>
      <c r="BD1051" s="7"/>
      <c r="BE1051" s="7"/>
      <c r="BF1051" s="7"/>
      <c r="BG1051" s="7"/>
      <c r="BH1051" s="7"/>
      <c r="BI1051" s="7"/>
      <c r="BJ1051" s="7"/>
      <c r="BK1051" s="7"/>
    </row>
    <row r="1052" ht="22.5" customHeight="1">
      <c r="A1052" s="4">
        <v>46229.70335269676</v>
      </c>
      <c r="B1052" s="5">
        <v>0.0</v>
      </c>
      <c r="C1052" s="6" t="s">
        <v>114</v>
      </c>
      <c r="D1052" s="6" t="s">
        <v>1223</v>
      </c>
      <c r="E1052" s="6" t="s">
        <v>2201</v>
      </c>
      <c r="F1052" s="6">
        <v>6.9070501011E10</v>
      </c>
      <c r="G1052" s="6" t="s">
        <v>1470</v>
      </c>
      <c r="H1052" s="6" t="s">
        <v>2633</v>
      </c>
      <c r="I1052" s="6" t="s">
        <v>3627</v>
      </c>
      <c r="J1052" s="6" t="s">
        <v>10509</v>
      </c>
      <c r="K1052" s="6" t="s">
        <v>10510</v>
      </c>
      <c r="L1052" s="6" t="s">
        <v>10511</v>
      </c>
      <c r="M1052" s="6" t="s">
        <v>10512</v>
      </c>
      <c r="N1052" s="7"/>
      <c r="O1052" s="6" t="s">
        <v>10513</v>
      </c>
      <c r="P1052" s="6" t="s">
        <v>10514</v>
      </c>
      <c r="Q1052" s="6" t="s">
        <v>10515</v>
      </c>
      <c r="R1052" s="6" t="s">
        <v>246</v>
      </c>
      <c r="S1052" s="6" t="s">
        <v>147</v>
      </c>
      <c r="T1052" s="6" t="s">
        <v>250</v>
      </c>
      <c r="U1052" s="6" t="s">
        <v>560</v>
      </c>
      <c r="V1052" s="6" t="s">
        <v>246</v>
      </c>
      <c r="W1052" s="6" t="s">
        <v>158</v>
      </c>
      <c r="X1052" s="6" t="s">
        <v>257</v>
      </c>
      <c r="Y1052" s="6" t="s">
        <v>162</v>
      </c>
      <c r="Z1052" s="6" t="s">
        <v>165</v>
      </c>
      <c r="AA1052" s="6" t="s">
        <v>262</v>
      </c>
      <c r="AB1052" s="6" t="s">
        <v>171</v>
      </c>
      <c r="AC1052" s="6" t="s">
        <v>174</v>
      </c>
      <c r="AD1052" s="6" t="s">
        <v>175</v>
      </c>
      <c r="AE1052" s="6" t="s">
        <v>271</v>
      </c>
      <c r="AF1052" s="6" t="s">
        <v>181</v>
      </c>
      <c r="AG1052" s="6" t="s">
        <v>182</v>
      </c>
      <c r="AH1052" s="7"/>
      <c r="AI1052" s="7"/>
      <c r="AJ1052" s="7"/>
      <c r="AK1052" s="7"/>
      <c r="AL1052" s="7"/>
      <c r="AM1052" s="7"/>
      <c r="AN1052" s="7"/>
      <c r="AO1052" s="7"/>
      <c r="AP1052" s="7"/>
      <c r="AQ1052" s="7"/>
      <c r="AR1052" s="7"/>
      <c r="AS1052" s="7"/>
      <c r="AT1052" s="7"/>
      <c r="AU1052" s="7"/>
      <c r="AV1052" s="7"/>
      <c r="AW1052" s="7"/>
      <c r="AX1052" s="7"/>
      <c r="AY1052" s="7"/>
      <c r="AZ1052" s="7"/>
      <c r="BA1052" s="7"/>
      <c r="BB1052" s="7"/>
      <c r="BC1052" s="7"/>
      <c r="BD1052" s="7"/>
      <c r="BE1052" s="7"/>
      <c r="BF1052" s="7"/>
      <c r="BG1052" s="7"/>
      <c r="BH1052" s="7"/>
      <c r="BI1052" s="7"/>
      <c r="BJ1052" s="7"/>
      <c r="BK1052" s="7"/>
    </row>
    <row r="1053" ht="22.5" customHeight="1">
      <c r="A1053" s="4">
        <v>46229.70336032407</v>
      </c>
      <c r="B1053" s="5">
        <v>0.0</v>
      </c>
      <c r="C1053" s="6" t="s">
        <v>3296</v>
      </c>
      <c r="D1053" s="7"/>
      <c r="E1053" s="7"/>
      <c r="F1053" s="7"/>
      <c r="G1053" s="7"/>
      <c r="H1053" s="7"/>
      <c r="I1053" s="7"/>
      <c r="J1053" s="7"/>
      <c r="K1053" s="7"/>
      <c r="L1053" s="7"/>
      <c r="M1053" s="7"/>
      <c r="N1053" s="7"/>
      <c r="O1053" s="7"/>
      <c r="P1053" s="7"/>
      <c r="Q1053" s="7"/>
      <c r="R1053" s="7"/>
      <c r="S1053" s="7"/>
      <c r="T1053" s="7"/>
      <c r="U1053" s="7"/>
      <c r="V1053" s="7"/>
      <c r="W1053" s="7"/>
      <c r="X1053" s="7"/>
      <c r="Y1053" s="7"/>
      <c r="Z1053" s="7"/>
      <c r="AA1053" s="7"/>
      <c r="AB1053" s="7"/>
      <c r="AC1053" s="7"/>
      <c r="AD1053" s="7"/>
      <c r="AE1053" s="7"/>
      <c r="AF1053" s="7"/>
      <c r="AG1053" s="7"/>
      <c r="AH1053" s="6" t="s">
        <v>2834</v>
      </c>
      <c r="AI1053" s="6" t="s">
        <v>2835</v>
      </c>
      <c r="AJ1053" s="6">
        <v>6.9070507833E10</v>
      </c>
      <c r="AK1053" s="6" t="s">
        <v>5236</v>
      </c>
      <c r="AL1053" s="7"/>
      <c r="AM1053" s="6" t="s">
        <v>10516</v>
      </c>
      <c r="AN1053" s="6" t="s">
        <v>10145</v>
      </c>
      <c r="AO1053" s="6" t="s">
        <v>10517</v>
      </c>
      <c r="AP1053" s="6" t="s">
        <v>8824</v>
      </c>
      <c r="AQ1053" s="6" t="s">
        <v>10518</v>
      </c>
      <c r="AR1053" s="7"/>
      <c r="AS1053" s="6" t="s">
        <v>10519</v>
      </c>
      <c r="AT1053" s="6" t="s">
        <v>10520</v>
      </c>
      <c r="AU1053" s="6" t="s">
        <v>10520</v>
      </c>
      <c r="AV1053" s="6" t="s">
        <v>3306</v>
      </c>
      <c r="AW1053" s="6" t="s">
        <v>3307</v>
      </c>
      <c r="AX1053" s="6" t="s">
        <v>3887</v>
      </c>
      <c r="AY1053" s="6" t="s">
        <v>4067</v>
      </c>
      <c r="AZ1053" s="6" t="s">
        <v>3306</v>
      </c>
      <c r="BA1053" s="6" t="s">
        <v>3311</v>
      </c>
      <c r="BB1053" s="6" t="s">
        <v>4693</v>
      </c>
      <c r="BC1053" s="6" t="s">
        <v>3313</v>
      </c>
      <c r="BD1053" s="6" t="s">
        <v>165</v>
      </c>
      <c r="BE1053" s="6" t="s">
        <v>3888</v>
      </c>
      <c r="BF1053" s="6" t="s">
        <v>3889</v>
      </c>
      <c r="BG1053" s="6" t="s">
        <v>4068</v>
      </c>
      <c r="BH1053" s="6" t="s">
        <v>3317</v>
      </c>
      <c r="BI1053" s="6" t="s">
        <v>271</v>
      </c>
      <c r="BJ1053" s="6" t="s">
        <v>3318</v>
      </c>
      <c r="BK1053" s="6" t="s">
        <v>3319</v>
      </c>
    </row>
    <row r="1054" ht="22.5" customHeight="1">
      <c r="A1054" s="4">
        <v>46229.70336438657</v>
      </c>
      <c r="B1054" s="5">
        <v>0.0</v>
      </c>
      <c r="C1054" s="6" t="s">
        <v>114</v>
      </c>
      <c r="D1054" s="6" t="s">
        <v>2202</v>
      </c>
      <c r="E1054" s="6" t="s">
        <v>2203</v>
      </c>
      <c r="F1054" s="6">
        <v>6.9070502461E10</v>
      </c>
      <c r="G1054" s="6" t="s">
        <v>122</v>
      </c>
      <c r="H1054" s="6" t="s">
        <v>10521</v>
      </c>
      <c r="I1054" s="6" t="s">
        <v>10522</v>
      </c>
      <c r="J1054" s="6" t="s">
        <v>10523</v>
      </c>
      <c r="K1054" s="6" t="s">
        <v>10524</v>
      </c>
      <c r="L1054" s="6" t="s">
        <v>10525</v>
      </c>
      <c r="M1054" s="6" t="s">
        <v>10526</v>
      </c>
      <c r="N1054" s="6" t="s">
        <v>2633</v>
      </c>
      <c r="O1054" s="6" t="s">
        <v>10527</v>
      </c>
      <c r="P1054" s="6" t="s">
        <v>10528</v>
      </c>
      <c r="Q1054" s="6" t="s">
        <v>10529</v>
      </c>
      <c r="R1054" s="6" t="s">
        <v>246</v>
      </c>
      <c r="S1054" s="6" t="s">
        <v>147</v>
      </c>
      <c r="T1054" s="6" t="s">
        <v>250</v>
      </c>
      <c r="U1054" s="6" t="s">
        <v>560</v>
      </c>
      <c r="V1054" s="6" t="s">
        <v>246</v>
      </c>
      <c r="W1054" s="6" t="s">
        <v>158</v>
      </c>
      <c r="X1054" s="6" t="s">
        <v>257</v>
      </c>
      <c r="Y1054" s="6" t="s">
        <v>162</v>
      </c>
      <c r="Z1054" s="6" t="s">
        <v>165</v>
      </c>
      <c r="AA1054" s="6" t="s">
        <v>262</v>
      </c>
      <c r="AB1054" s="6" t="s">
        <v>171</v>
      </c>
      <c r="AC1054" s="6" t="s">
        <v>633</v>
      </c>
      <c r="AD1054" s="6" t="s">
        <v>175</v>
      </c>
      <c r="AE1054" s="6" t="s">
        <v>271</v>
      </c>
      <c r="AF1054" s="6" t="s">
        <v>181</v>
      </c>
      <c r="AG1054" s="6" t="s">
        <v>182</v>
      </c>
      <c r="AH1054" s="7"/>
      <c r="AI1054" s="7"/>
      <c r="AJ1054" s="7"/>
      <c r="AK1054" s="7"/>
      <c r="AL1054" s="7"/>
      <c r="AM1054" s="7"/>
      <c r="AN1054" s="7"/>
      <c r="AO1054" s="7"/>
      <c r="AP1054" s="7"/>
      <c r="AQ1054" s="7"/>
      <c r="AR1054" s="7"/>
      <c r="AS1054" s="7"/>
      <c r="AT1054" s="7"/>
      <c r="AU1054" s="7"/>
      <c r="AV1054" s="7"/>
      <c r="AW1054" s="7"/>
      <c r="AX1054" s="7"/>
      <c r="AY1054" s="7"/>
      <c r="AZ1054" s="7"/>
      <c r="BA1054" s="7"/>
      <c r="BB1054" s="7"/>
      <c r="BC1054" s="7"/>
      <c r="BD1054" s="7"/>
      <c r="BE1054" s="7"/>
      <c r="BF1054" s="7"/>
      <c r="BG1054" s="7"/>
      <c r="BH1054" s="7"/>
      <c r="BI1054" s="7"/>
      <c r="BJ1054" s="7"/>
      <c r="BK1054" s="7"/>
    </row>
    <row r="1055" ht="22.5" customHeight="1">
      <c r="A1055" s="4">
        <v>46229.703379756946</v>
      </c>
      <c r="B1055" s="5">
        <v>0.0</v>
      </c>
      <c r="C1055" s="6" t="s">
        <v>114</v>
      </c>
      <c r="D1055" s="6" t="s">
        <v>2204</v>
      </c>
      <c r="E1055" s="6" t="s">
        <v>2205</v>
      </c>
      <c r="F1055" s="6">
        <v>6.9070500239E10</v>
      </c>
      <c r="G1055" s="6" t="s">
        <v>599</v>
      </c>
      <c r="H1055" s="7"/>
      <c r="I1055" s="6" t="s">
        <v>10530</v>
      </c>
      <c r="J1055" s="6" t="s">
        <v>10531</v>
      </c>
      <c r="K1055" s="6" t="s">
        <v>10532</v>
      </c>
      <c r="L1055" s="6" t="s">
        <v>10533</v>
      </c>
      <c r="M1055" s="6" t="s">
        <v>10534</v>
      </c>
      <c r="N1055" s="7"/>
      <c r="O1055" s="6" t="s">
        <v>10535</v>
      </c>
      <c r="P1055" s="6" t="s">
        <v>10536</v>
      </c>
      <c r="Q1055" s="6" t="s">
        <v>10537</v>
      </c>
      <c r="R1055" s="6" t="s">
        <v>246</v>
      </c>
      <c r="S1055" s="6" t="s">
        <v>147</v>
      </c>
      <c r="T1055" s="6" t="s">
        <v>250</v>
      </c>
      <c r="U1055" s="6" t="s">
        <v>560</v>
      </c>
      <c r="V1055" s="6" t="s">
        <v>246</v>
      </c>
      <c r="W1055" s="6" t="s">
        <v>158</v>
      </c>
      <c r="X1055" s="6" t="s">
        <v>257</v>
      </c>
      <c r="Y1055" s="6" t="s">
        <v>162</v>
      </c>
      <c r="Z1055" s="6" t="s">
        <v>165</v>
      </c>
      <c r="AA1055" s="6" t="s">
        <v>262</v>
      </c>
      <c r="AB1055" s="6" t="s">
        <v>1266</v>
      </c>
      <c r="AC1055" s="6" t="s">
        <v>174</v>
      </c>
      <c r="AD1055" s="6" t="s">
        <v>175</v>
      </c>
      <c r="AE1055" s="6" t="s">
        <v>271</v>
      </c>
      <c r="AF1055" s="6" t="s">
        <v>181</v>
      </c>
      <c r="AG1055" s="6" t="s">
        <v>182</v>
      </c>
      <c r="AH1055" s="7"/>
      <c r="AI1055" s="7"/>
      <c r="AJ1055" s="7"/>
      <c r="AK1055" s="7"/>
      <c r="AL1055" s="7"/>
      <c r="AM1055" s="7"/>
      <c r="AN1055" s="7"/>
      <c r="AO1055" s="7"/>
      <c r="AP1055" s="7"/>
      <c r="AQ1055" s="7"/>
      <c r="AR1055" s="7"/>
      <c r="AS1055" s="7"/>
      <c r="AT1055" s="7"/>
      <c r="AU1055" s="7"/>
      <c r="AV1055" s="7"/>
      <c r="AW1055" s="7"/>
      <c r="AX1055" s="7"/>
      <c r="AY1055" s="7"/>
      <c r="AZ1055" s="7"/>
      <c r="BA1055" s="7"/>
      <c r="BB1055" s="7"/>
      <c r="BC1055" s="7"/>
      <c r="BD1055" s="7"/>
      <c r="BE1055" s="7"/>
      <c r="BF1055" s="7"/>
      <c r="BG1055" s="7"/>
      <c r="BH1055" s="7"/>
      <c r="BI1055" s="7"/>
      <c r="BJ1055" s="7"/>
      <c r="BK1055" s="7"/>
    </row>
    <row r="1056" ht="22.5" customHeight="1">
      <c r="A1056" s="4">
        <v>46229.70339568287</v>
      </c>
      <c r="B1056" s="5">
        <v>0.0</v>
      </c>
      <c r="C1056" s="6" t="s">
        <v>114</v>
      </c>
      <c r="D1056" s="6" t="s">
        <v>693</v>
      </c>
      <c r="E1056" s="6" t="s">
        <v>2206</v>
      </c>
      <c r="F1056" s="6">
        <v>6.9070509435E10</v>
      </c>
      <c r="G1056" s="6" t="s">
        <v>122</v>
      </c>
      <c r="H1056" s="7"/>
      <c r="I1056" s="6" t="s">
        <v>10538</v>
      </c>
      <c r="J1056" s="6" t="s">
        <v>10539</v>
      </c>
      <c r="K1056" s="6" t="s">
        <v>10540</v>
      </c>
      <c r="L1056" s="6" t="s">
        <v>10541</v>
      </c>
      <c r="M1056" s="6" t="s">
        <v>10542</v>
      </c>
      <c r="N1056" s="6" t="s">
        <v>10543</v>
      </c>
      <c r="O1056" s="6" t="s">
        <v>10544</v>
      </c>
      <c r="P1056" s="6" t="s">
        <v>10545</v>
      </c>
      <c r="Q1056" s="6" t="s">
        <v>10546</v>
      </c>
      <c r="R1056" s="6" t="s">
        <v>257</v>
      </c>
      <c r="S1056" s="6" t="s">
        <v>147</v>
      </c>
      <c r="T1056" s="6" t="s">
        <v>250</v>
      </c>
      <c r="U1056" s="6" t="s">
        <v>560</v>
      </c>
      <c r="V1056" s="6" t="s">
        <v>246</v>
      </c>
      <c r="W1056" s="6" t="s">
        <v>158</v>
      </c>
      <c r="X1056" s="6" t="s">
        <v>257</v>
      </c>
      <c r="Y1056" s="6" t="s">
        <v>162</v>
      </c>
      <c r="Z1056" s="6" t="s">
        <v>165</v>
      </c>
      <c r="AA1056" s="6" t="s">
        <v>262</v>
      </c>
      <c r="AB1056" s="6" t="s">
        <v>171</v>
      </c>
      <c r="AC1056" s="6" t="s">
        <v>174</v>
      </c>
      <c r="AD1056" s="6" t="s">
        <v>175</v>
      </c>
      <c r="AE1056" s="6" t="s">
        <v>271</v>
      </c>
      <c r="AF1056" s="6" t="s">
        <v>181</v>
      </c>
      <c r="AG1056" s="6" t="s">
        <v>182</v>
      </c>
      <c r="AH1056" s="7"/>
      <c r="AI1056" s="7"/>
      <c r="AJ1056" s="7"/>
      <c r="AK1056" s="7"/>
      <c r="AL1056" s="7"/>
      <c r="AM1056" s="7"/>
      <c r="AN1056" s="7"/>
      <c r="AO1056" s="7"/>
      <c r="AP1056" s="7"/>
      <c r="AQ1056" s="7"/>
      <c r="AR1056" s="7"/>
      <c r="AS1056" s="7"/>
      <c r="AT1056" s="7"/>
      <c r="AU1056" s="7"/>
      <c r="AV1056" s="7"/>
      <c r="AW1056" s="7"/>
      <c r="AX1056" s="7"/>
      <c r="AY1056" s="7"/>
      <c r="AZ1056" s="7"/>
      <c r="BA1056" s="7"/>
      <c r="BB1056" s="7"/>
      <c r="BC1056" s="7"/>
      <c r="BD1056" s="7"/>
      <c r="BE1056" s="7"/>
      <c r="BF1056" s="7"/>
      <c r="BG1056" s="7"/>
      <c r="BH1056" s="7"/>
      <c r="BI1056" s="7"/>
      <c r="BJ1056" s="7"/>
      <c r="BK1056" s="7"/>
    </row>
    <row r="1057" ht="22.5" customHeight="1">
      <c r="A1057" s="4">
        <v>46229.70342921297</v>
      </c>
      <c r="B1057" s="5">
        <v>0.0</v>
      </c>
      <c r="C1057" s="6" t="s">
        <v>3296</v>
      </c>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c r="AB1057" s="7"/>
      <c r="AC1057" s="7"/>
      <c r="AD1057" s="7"/>
      <c r="AE1057" s="7"/>
      <c r="AF1057" s="7"/>
      <c r="AG1057" s="7"/>
      <c r="AH1057" s="6" t="s">
        <v>2836</v>
      </c>
      <c r="AI1057" s="6" t="s">
        <v>2837</v>
      </c>
      <c r="AJ1057" s="6">
        <v>6.9070503407E10</v>
      </c>
      <c r="AK1057" s="6" t="s">
        <v>3297</v>
      </c>
      <c r="AL1057" s="7"/>
      <c r="AM1057" s="6" t="s">
        <v>10547</v>
      </c>
      <c r="AN1057" s="6" t="s">
        <v>10548</v>
      </c>
      <c r="AO1057" s="6" t="s">
        <v>10549</v>
      </c>
      <c r="AP1057" s="6" t="s">
        <v>10550</v>
      </c>
      <c r="AQ1057" s="6" t="s">
        <v>10551</v>
      </c>
      <c r="AR1057" s="7"/>
      <c r="AS1057" s="6" t="s">
        <v>10552</v>
      </c>
      <c r="AT1057" s="6" t="s">
        <v>10553</v>
      </c>
      <c r="AU1057" s="6" t="s">
        <v>10554</v>
      </c>
      <c r="AV1057" s="6" t="s">
        <v>3306</v>
      </c>
      <c r="AW1057" s="6" t="s">
        <v>3307</v>
      </c>
      <c r="AX1057" s="6" t="s">
        <v>3887</v>
      </c>
      <c r="AY1057" s="6" t="s">
        <v>4067</v>
      </c>
      <c r="AZ1057" s="6" t="s">
        <v>3306</v>
      </c>
      <c r="BA1057" s="6" t="s">
        <v>3311</v>
      </c>
      <c r="BB1057" s="6" t="s">
        <v>4693</v>
      </c>
      <c r="BC1057" s="6" t="s">
        <v>3313</v>
      </c>
      <c r="BD1057" s="6" t="s">
        <v>165</v>
      </c>
      <c r="BE1057" s="6" t="s">
        <v>3888</v>
      </c>
      <c r="BF1057" s="6" t="s">
        <v>3315</v>
      </c>
      <c r="BG1057" s="6" t="s">
        <v>4068</v>
      </c>
      <c r="BH1057" s="6" t="s">
        <v>3317</v>
      </c>
      <c r="BI1057" s="6" t="s">
        <v>271</v>
      </c>
      <c r="BJ1057" s="6" t="s">
        <v>3318</v>
      </c>
      <c r="BK1057" s="6" t="s">
        <v>3319</v>
      </c>
    </row>
    <row r="1058" ht="22.5" customHeight="1">
      <c r="A1058" s="4">
        <v>46229.70343659722</v>
      </c>
      <c r="B1058" s="5">
        <v>0.0</v>
      </c>
      <c r="C1058" s="6" t="s">
        <v>114</v>
      </c>
      <c r="D1058" s="6" t="s">
        <v>2207</v>
      </c>
      <c r="E1058" s="6" t="s">
        <v>2208</v>
      </c>
      <c r="F1058" s="6">
        <v>6.9070500664E10</v>
      </c>
      <c r="G1058" s="6" t="s">
        <v>6140</v>
      </c>
      <c r="H1058" s="6" t="s">
        <v>10555</v>
      </c>
      <c r="I1058" s="6" t="s">
        <v>10556</v>
      </c>
      <c r="J1058" s="6" t="s">
        <v>10557</v>
      </c>
      <c r="K1058" s="6" t="s">
        <v>10557</v>
      </c>
      <c r="L1058" s="6" t="s">
        <v>10556</v>
      </c>
      <c r="M1058" s="6" t="s">
        <v>10557</v>
      </c>
      <c r="N1058" s="7"/>
      <c r="O1058" s="6" t="s">
        <v>10558</v>
      </c>
      <c r="P1058" s="6" t="s">
        <v>10559</v>
      </c>
      <c r="Q1058" s="6" t="s">
        <v>10560</v>
      </c>
      <c r="R1058" s="6" t="s">
        <v>246</v>
      </c>
      <c r="S1058" s="6" t="s">
        <v>147</v>
      </c>
      <c r="T1058" s="6" t="s">
        <v>250</v>
      </c>
      <c r="U1058" s="6" t="s">
        <v>560</v>
      </c>
      <c r="V1058" s="6" t="s">
        <v>246</v>
      </c>
      <c r="W1058" s="6" t="s">
        <v>158</v>
      </c>
      <c r="X1058" s="6" t="s">
        <v>257</v>
      </c>
      <c r="Y1058" s="6" t="s">
        <v>162</v>
      </c>
      <c r="Z1058" s="6" t="s">
        <v>165</v>
      </c>
      <c r="AA1058" s="6" t="s">
        <v>262</v>
      </c>
      <c r="AB1058" s="6" t="s">
        <v>171</v>
      </c>
      <c r="AC1058" s="6" t="s">
        <v>174</v>
      </c>
      <c r="AD1058" s="6" t="s">
        <v>175</v>
      </c>
      <c r="AE1058" s="6" t="s">
        <v>271</v>
      </c>
      <c r="AF1058" s="6" t="s">
        <v>181</v>
      </c>
      <c r="AG1058" s="6" t="s">
        <v>182</v>
      </c>
      <c r="AH1058" s="7"/>
      <c r="AI1058" s="7"/>
      <c r="AJ1058" s="7"/>
      <c r="AK1058" s="7"/>
      <c r="AL1058" s="7"/>
      <c r="AM1058" s="7"/>
      <c r="AN1058" s="7"/>
      <c r="AO1058" s="7"/>
      <c r="AP1058" s="7"/>
      <c r="AQ1058" s="7"/>
      <c r="AR1058" s="7"/>
      <c r="AS1058" s="7"/>
      <c r="AT1058" s="7"/>
      <c r="AU1058" s="7"/>
      <c r="AV1058" s="7"/>
      <c r="AW1058" s="7"/>
      <c r="AX1058" s="7"/>
      <c r="AY1058" s="7"/>
      <c r="AZ1058" s="7"/>
      <c r="BA1058" s="7"/>
      <c r="BB1058" s="7"/>
      <c r="BC1058" s="7"/>
      <c r="BD1058" s="7"/>
      <c r="BE1058" s="7"/>
      <c r="BF1058" s="7"/>
      <c r="BG1058" s="7"/>
      <c r="BH1058" s="7"/>
      <c r="BI1058" s="7"/>
      <c r="BJ1058" s="7"/>
      <c r="BK1058" s="7"/>
    </row>
    <row r="1059" ht="22.5" customHeight="1">
      <c r="A1059" s="4">
        <v>46229.703479386575</v>
      </c>
      <c r="B1059" s="5">
        <v>0.0</v>
      </c>
      <c r="C1059" s="6" t="s">
        <v>114</v>
      </c>
      <c r="D1059" s="6" t="s">
        <v>2209</v>
      </c>
      <c r="E1059" s="6" t="s">
        <v>2210</v>
      </c>
      <c r="F1059" s="6">
        <v>6.9070508829E10</v>
      </c>
      <c r="G1059" s="6" t="s">
        <v>5399</v>
      </c>
      <c r="H1059" s="7"/>
      <c r="I1059" s="6" t="s">
        <v>10561</v>
      </c>
      <c r="J1059" s="6" t="s">
        <v>10562</v>
      </c>
      <c r="K1059" s="6" t="s">
        <v>10563</v>
      </c>
      <c r="L1059" s="6" t="s">
        <v>10564</v>
      </c>
      <c r="M1059" s="6" t="s">
        <v>10565</v>
      </c>
      <c r="N1059" s="7"/>
      <c r="O1059" s="6" t="s">
        <v>10566</v>
      </c>
      <c r="P1059" s="6" t="s">
        <v>10567</v>
      </c>
      <c r="Q1059" s="6" t="s">
        <v>10568</v>
      </c>
      <c r="R1059" s="6" t="s">
        <v>246</v>
      </c>
      <c r="S1059" s="6" t="s">
        <v>147</v>
      </c>
      <c r="T1059" s="6" t="s">
        <v>250</v>
      </c>
      <c r="U1059" s="6" t="s">
        <v>560</v>
      </c>
      <c r="V1059" s="6" t="s">
        <v>246</v>
      </c>
      <c r="W1059" s="6" t="s">
        <v>158</v>
      </c>
      <c r="X1059" s="6" t="s">
        <v>257</v>
      </c>
      <c r="Y1059" s="6" t="s">
        <v>162</v>
      </c>
      <c r="Z1059" s="6" t="s">
        <v>165</v>
      </c>
      <c r="AA1059" s="6" t="s">
        <v>262</v>
      </c>
      <c r="AB1059" s="6" t="s">
        <v>1266</v>
      </c>
      <c r="AC1059" s="6" t="s">
        <v>174</v>
      </c>
      <c r="AD1059" s="6" t="s">
        <v>175</v>
      </c>
      <c r="AE1059" s="6" t="s">
        <v>271</v>
      </c>
      <c r="AF1059" s="6" t="s">
        <v>181</v>
      </c>
      <c r="AG1059" s="6" t="s">
        <v>182</v>
      </c>
      <c r="AH1059" s="7"/>
      <c r="AI1059" s="7"/>
      <c r="AJ1059" s="7"/>
      <c r="AK1059" s="7"/>
      <c r="AL1059" s="7"/>
      <c r="AM1059" s="7"/>
      <c r="AN1059" s="7"/>
      <c r="AO1059" s="7"/>
      <c r="AP1059" s="7"/>
      <c r="AQ1059" s="7"/>
      <c r="AR1059" s="7"/>
      <c r="AS1059" s="7"/>
      <c r="AT1059" s="7"/>
      <c r="AU1059" s="7"/>
      <c r="AV1059" s="7"/>
      <c r="AW1059" s="7"/>
      <c r="AX1059" s="7"/>
      <c r="AY1059" s="7"/>
      <c r="AZ1059" s="7"/>
      <c r="BA1059" s="7"/>
      <c r="BB1059" s="7"/>
      <c r="BC1059" s="7"/>
      <c r="BD1059" s="7"/>
      <c r="BE1059" s="7"/>
      <c r="BF1059" s="7"/>
      <c r="BG1059" s="7"/>
      <c r="BH1059" s="7"/>
      <c r="BI1059" s="7"/>
      <c r="BJ1059" s="7"/>
      <c r="BK1059" s="7"/>
    </row>
    <row r="1060" ht="22.5" customHeight="1">
      <c r="A1060" s="4">
        <v>46229.70348631944</v>
      </c>
      <c r="B1060" s="5">
        <v>0.0</v>
      </c>
      <c r="C1060" s="6" t="s">
        <v>3296</v>
      </c>
      <c r="D1060" s="7"/>
      <c r="E1060" s="7"/>
      <c r="F1060" s="7"/>
      <c r="G1060" s="7"/>
      <c r="H1060" s="7"/>
      <c r="I1060" s="7"/>
      <c r="J1060" s="7"/>
      <c r="K1060" s="7"/>
      <c r="L1060" s="7"/>
      <c r="M1060" s="7"/>
      <c r="N1060" s="7"/>
      <c r="O1060" s="7"/>
      <c r="P1060" s="7"/>
      <c r="Q1060" s="7"/>
      <c r="R1060" s="7"/>
      <c r="S1060" s="7"/>
      <c r="T1060" s="7"/>
      <c r="U1060" s="7"/>
      <c r="V1060" s="7"/>
      <c r="W1060" s="7"/>
      <c r="X1060" s="7"/>
      <c r="Y1060" s="7"/>
      <c r="Z1060" s="7"/>
      <c r="AA1060" s="7"/>
      <c r="AB1060" s="7"/>
      <c r="AC1060" s="7"/>
      <c r="AD1060" s="7"/>
      <c r="AE1060" s="7"/>
      <c r="AF1060" s="7"/>
      <c r="AG1060" s="7"/>
      <c r="AH1060" s="6" t="s">
        <v>2838</v>
      </c>
      <c r="AI1060" s="6" t="s">
        <v>2839</v>
      </c>
      <c r="AJ1060" s="6">
        <v>6.907050344E10</v>
      </c>
      <c r="AK1060" s="6" t="s">
        <v>3297</v>
      </c>
      <c r="AL1060" s="7"/>
      <c r="AM1060" s="6" t="s">
        <v>10569</v>
      </c>
      <c r="AN1060" s="6" t="s">
        <v>10570</v>
      </c>
      <c r="AO1060" s="6" t="s">
        <v>10571</v>
      </c>
      <c r="AP1060" s="6" t="s">
        <v>10572</v>
      </c>
      <c r="AQ1060" s="6" t="s">
        <v>10573</v>
      </c>
      <c r="AR1060" s="7"/>
      <c r="AS1060" s="6" t="s">
        <v>10574</v>
      </c>
      <c r="AT1060" s="6" t="s">
        <v>10575</v>
      </c>
      <c r="AU1060" s="6" t="s">
        <v>10576</v>
      </c>
      <c r="AV1060" s="6" t="s">
        <v>3306</v>
      </c>
      <c r="AW1060" s="6" t="s">
        <v>3307</v>
      </c>
      <c r="AX1060" s="6" t="s">
        <v>3887</v>
      </c>
      <c r="AY1060" s="6" t="s">
        <v>4067</v>
      </c>
      <c r="AZ1060" s="6" t="s">
        <v>3310</v>
      </c>
      <c r="BA1060" s="6" t="s">
        <v>4692</v>
      </c>
      <c r="BB1060" s="6" t="s">
        <v>3312</v>
      </c>
      <c r="BC1060" s="6" t="s">
        <v>3313</v>
      </c>
      <c r="BD1060" s="6" t="s">
        <v>165</v>
      </c>
      <c r="BE1060" s="6" t="s">
        <v>3888</v>
      </c>
      <c r="BF1060" s="6" t="s">
        <v>3315</v>
      </c>
      <c r="BG1060" s="6" t="s">
        <v>4068</v>
      </c>
      <c r="BH1060" s="6" t="s">
        <v>3317</v>
      </c>
      <c r="BI1060" s="6" t="s">
        <v>271</v>
      </c>
      <c r="BJ1060" s="6" t="s">
        <v>3318</v>
      </c>
      <c r="BK1060" s="6" t="s">
        <v>4695</v>
      </c>
    </row>
    <row r="1061" ht="22.5" customHeight="1">
      <c r="A1061" s="4">
        <v>46229.703494988426</v>
      </c>
      <c r="B1061" s="5">
        <v>0.0</v>
      </c>
      <c r="C1061" s="6" t="s">
        <v>114</v>
      </c>
      <c r="D1061" s="6" t="s">
        <v>2211</v>
      </c>
      <c r="E1061" s="6" t="s">
        <v>2212</v>
      </c>
      <c r="F1061" s="6">
        <v>6.9070500629E10</v>
      </c>
      <c r="G1061" s="6" t="s">
        <v>6140</v>
      </c>
      <c r="H1061" s="7"/>
      <c r="I1061" s="6" t="s">
        <v>10577</v>
      </c>
      <c r="J1061" s="6" t="s">
        <v>5990</v>
      </c>
      <c r="K1061" s="6" t="s">
        <v>9909</v>
      </c>
      <c r="L1061" s="6" t="s">
        <v>7482</v>
      </c>
      <c r="M1061" s="6" t="s">
        <v>3736</v>
      </c>
      <c r="N1061" s="6" t="s">
        <v>10578</v>
      </c>
      <c r="O1061" s="6" t="s">
        <v>10579</v>
      </c>
      <c r="P1061" s="6" t="s">
        <v>10580</v>
      </c>
      <c r="Q1061" s="6" t="s">
        <v>10581</v>
      </c>
      <c r="R1061" s="6" t="s">
        <v>246</v>
      </c>
      <c r="S1061" s="6" t="s">
        <v>147</v>
      </c>
      <c r="T1061" s="6" t="s">
        <v>250</v>
      </c>
      <c r="U1061" s="6" t="s">
        <v>560</v>
      </c>
      <c r="V1061" s="6" t="s">
        <v>246</v>
      </c>
      <c r="W1061" s="6" t="s">
        <v>158</v>
      </c>
      <c r="X1061" s="6" t="s">
        <v>246</v>
      </c>
      <c r="Y1061" s="6" t="s">
        <v>162</v>
      </c>
      <c r="Z1061" s="6" t="s">
        <v>165</v>
      </c>
      <c r="AA1061" s="6" t="s">
        <v>262</v>
      </c>
      <c r="AB1061" s="6" t="s">
        <v>171</v>
      </c>
      <c r="AC1061" s="6" t="s">
        <v>174</v>
      </c>
      <c r="AD1061" s="6" t="s">
        <v>175</v>
      </c>
      <c r="AE1061" s="6" t="s">
        <v>271</v>
      </c>
      <c r="AF1061" s="6" t="s">
        <v>181</v>
      </c>
      <c r="AG1061" s="6" t="s">
        <v>182</v>
      </c>
      <c r="AH1061" s="7"/>
      <c r="AI1061" s="7"/>
      <c r="AJ1061" s="7"/>
      <c r="AK1061" s="7"/>
      <c r="AL1061" s="7"/>
      <c r="AM1061" s="7"/>
      <c r="AN1061" s="7"/>
      <c r="AO1061" s="7"/>
      <c r="AP1061" s="7"/>
      <c r="AQ1061" s="7"/>
      <c r="AR1061" s="7"/>
      <c r="AS1061" s="7"/>
      <c r="AT1061" s="7"/>
      <c r="AU1061" s="7"/>
      <c r="AV1061" s="7"/>
      <c r="AW1061" s="7"/>
      <c r="AX1061" s="7"/>
      <c r="AY1061" s="7"/>
      <c r="AZ1061" s="7"/>
      <c r="BA1061" s="7"/>
      <c r="BB1061" s="7"/>
      <c r="BC1061" s="7"/>
      <c r="BD1061" s="7"/>
      <c r="BE1061" s="7"/>
      <c r="BF1061" s="7"/>
      <c r="BG1061" s="7"/>
      <c r="BH1061" s="7"/>
      <c r="BI1061" s="7"/>
      <c r="BJ1061" s="7"/>
      <c r="BK1061" s="7"/>
    </row>
    <row r="1062" ht="22.5" customHeight="1">
      <c r="A1062" s="4">
        <v>46229.703505150464</v>
      </c>
      <c r="B1062" s="5">
        <v>0.0</v>
      </c>
      <c r="C1062" s="6" t="s">
        <v>3296</v>
      </c>
      <c r="D1062" s="7"/>
      <c r="E1062" s="7"/>
      <c r="F1062" s="7"/>
      <c r="G1062" s="7"/>
      <c r="H1062" s="7"/>
      <c r="I1062" s="7"/>
      <c r="J1062" s="7"/>
      <c r="K1062" s="7"/>
      <c r="L1062" s="7"/>
      <c r="M1062" s="7"/>
      <c r="N1062" s="7"/>
      <c r="O1062" s="7"/>
      <c r="P1062" s="7"/>
      <c r="Q1062" s="7"/>
      <c r="R1062" s="7"/>
      <c r="S1062" s="7"/>
      <c r="T1062" s="7"/>
      <c r="U1062" s="7"/>
      <c r="V1062" s="7"/>
      <c r="W1062" s="7"/>
      <c r="X1062" s="7"/>
      <c r="Y1062" s="7"/>
      <c r="Z1062" s="7"/>
      <c r="AA1062" s="7"/>
      <c r="AB1062" s="7"/>
      <c r="AC1062" s="7"/>
      <c r="AD1062" s="7"/>
      <c r="AE1062" s="7"/>
      <c r="AF1062" s="7"/>
      <c r="AG1062" s="7"/>
      <c r="AH1062" s="6" t="s">
        <v>159</v>
      </c>
      <c r="AI1062" s="6" t="s">
        <v>2840</v>
      </c>
      <c r="AJ1062" s="6">
        <v>6.907050402E10</v>
      </c>
      <c r="AK1062" s="6" t="s">
        <v>4331</v>
      </c>
      <c r="AL1062" s="7"/>
      <c r="AM1062" s="6" t="s">
        <v>10582</v>
      </c>
      <c r="AN1062" s="6" t="s">
        <v>7457</v>
      </c>
      <c r="AO1062" s="6" t="s">
        <v>10583</v>
      </c>
      <c r="AP1062" s="6" t="s">
        <v>10584</v>
      </c>
      <c r="AQ1062" s="6" t="s">
        <v>10585</v>
      </c>
      <c r="AR1062" s="6" t="s">
        <v>10586</v>
      </c>
      <c r="AS1062" s="6" t="s">
        <v>10587</v>
      </c>
      <c r="AT1062" s="6" t="s">
        <v>10588</v>
      </c>
      <c r="AU1062" s="6" t="s">
        <v>10589</v>
      </c>
      <c r="AV1062" s="6" t="s">
        <v>3306</v>
      </c>
      <c r="AW1062" s="6" t="s">
        <v>8122</v>
      </c>
      <c r="AX1062" s="6" t="s">
        <v>3887</v>
      </c>
      <c r="AY1062" s="6" t="s">
        <v>3309</v>
      </c>
      <c r="AZ1062" s="6" t="s">
        <v>3306</v>
      </c>
      <c r="BA1062" s="6" t="s">
        <v>3311</v>
      </c>
      <c r="BB1062" s="6" t="s">
        <v>3312</v>
      </c>
      <c r="BC1062" s="6" t="s">
        <v>3313</v>
      </c>
      <c r="BD1062" s="6" t="s">
        <v>165</v>
      </c>
      <c r="BE1062" s="6" t="s">
        <v>3888</v>
      </c>
      <c r="BF1062" s="6" t="s">
        <v>3315</v>
      </c>
      <c r="BG1062" s="6" t="s">
        <v>4068</v>
      </c>
      <c r="BH1062" s="6" t="s">
        <v>3317</v>
      </c>
      <c r="BI1062" s="6" t="s">
        <v>271</v>
      </c>
      <c r="BJ1062" s="6" t="s">
        <v>3318</v>
      </c>
      <c r="BK1062" s="6" t="s">
        <v>3319</v>
      </c>
    </row>
    <row r="1063" ht="22.5" customHeight="1">
      <c r="A1063" s="4">
        <v>46229.70350668981</v>
      </c>
      <c r="B1063" s="5">
        <v>0.0</v>
      </c>
      <c r="C1063" s="6" t="s">
        <v>114</v>
      </c>
      <c r="D1063" s="6" t="s">
        <v>2213</v>
      </c>
      <c r="E1063" s="6" t="s">
        <v>2214</v>
      </c>
      <c r="F1063" s="6">
        <v>6.907050121E10</v>
      </c>
      <c r="G1063" s="6" t="s">
        <v>228</v>
      </c>
      <c r="H1063" s="7"/>
      <c r="I1063" s="6" t="s">
        <v>10590</v>
      </c>
      <c r="J1063" s="6" t="s">
        <v>10591</v>
      </c>
      <c r="K1063" s="6" t="s">
        <v>10592</v>
      </c>
      <c r="L1063" s="6" t="s">
        <v>10593</v>
      </c>
      <c r="M1063" s="6" t="s">
        <v>10594</v>
      </c>
      <c r="N1063" s="7"/>
      <c r="O1063" s="6" t="s">
        <v>10595</v>
      </c>
      <c r="P1063" s="6" t="s">
        <v>10596</v>
      </c>
      <c r="Q1063" s="6" t="s">
        <v>10597</v>
      </c>
      <c r="R1063" s="6" t="s">
        <v>246</v>
      </c>
      <c r="S1063" s="6" t="s">
        <v>147</v>
      </c>
      <c r="T1063" s="6" t="s">
        <v>250</v>
      </c>
      <c r="U1063" s="6" t="s">
        <v>252</v>
      </c>
      <c r="V1063" s="6" t="s">
        <v>246</v>
      </c>
      <c r="W1063" s="6" t="s">
        <v>158</v>
      </c>
      <c r="X1063" s="6" t="s">
        <v>257</v>
      </c>
      <c r="Y1063" s="6" t="s">
        <v>162</v>
      </c>
      <c r="Z1063" s="6" t="s">
        <v>165</v>
      </c>
      <c r="AA1063" s="6" t="s">
        <v>262</v>
      </c>
      <c r="AB1063" s="6" t="s">
        <v>171</v>
      </c>
      <c r="AC1063" s="6" t="s">
        <v>2718</v>
      </c>
      <c r="AD1063" s="6" t="s">
        <v>175</v>
      </c>
      <c r="AE1063" s="6" t="s">
        <v>271</v>
      </c>
      <c r="AF1063" s="6" t="s">
        <v>181</v>
      </c>
      <c r="AG1063" s="6" t="s">
        <v>182</v>
      </c>
      <c r="AH1063" s="7"/>
      <c r="AI1063" s="7"/>
      <c r="AJ1063" s="7"/>
      <c r="AK1063" s="7"/>
      <c r="AL1063" s="7"/>
      <c r="AM1063" s="7"/>
      <c r="AN1063" s="7"/>
      <c r="AO1063" s="7"/>
      <c r="AP1063" s="7"/>
      <c r="AQ1063" s="7"/>
      <c r="AR1063" s="7"/>
      <c r="AS1063" s="7"/>
      <c r="AT1063" s="7"/>
      <c r="AU1063" s="7"/>
      <c r="AV1063" s="7"/>
      <c r="AW1063" s="7"/>
      <c r="AX1063" s="7"/>
      <c r="AY1063" s="7"/>
      <c r="AZ1063" s="7"/>
      <c r="BA1063" s="7"/>
      <c r="BB1063" s="7"/>
      <c r="BC1063" s="7"/>
      <c r="BD1063" s="7"/>
      <c r="BE1063" s="7"/>
      <c r="BF1063" s="7"/>
      <c r="BG1063" s="7"/>
      <c r="BH1063" s="7"/>
      <c r="BI1063" s="7"/>
      <c r="BJ1063" s="7"/>
      <c r="BK1063" s="7"/>
    </row>
    <row r="1064" ht="22.5" customHeight="1">
      <c r="A1064" s="4">
        <v>46229.70351788195</v>
      </c>
      <c r="B1064" s="5">
        <v>0.0</v>
      </c>
      <c r="C1064" s="6" t="s">
        <v>114</v>
      </c>
      <c r="D1064" s="6" t="s">
        <v>2215</v>
      </c>
      <c r="E1064" s="6" t="s">
        <v>2216</v>
      </c>
      <c r="F1064" s="6">
        <v>6.9070502502E10</v>
      </c>
      <c r="G1064" s="6" t="s">
        <v>122</v>
      </c>
      <c r="H1064" s="7"/>
      <c r="I1064" s="6" t="s">
        <v>10598</v>
      </c>
      <c r="J1064" s="6" t="s">
        <v>7247</v>
      </c>
      <c r="K1064" s="6" t="s">
        <v>7231</v>
      </c>
      <c r="L1064" s="6" t="s">
        <v>10599</v>
      </c>
      <c r="M1064" s="6" t="s">
        <v>3684</v>
      </c>
      <c r="N1064" s="6" t="s">
        <v>10600</v>
      </c>
      <c r="O1064" s="6" t="s">
        <v>10601</v>
      </c>
      <c r="P1064" s="6" t="s">
        <v>10602</v>
      </c>
      <c r="Q1064" s="6" t="s">
        <v>10603</v>
      </c>
      <c r="R1064" s="6" t="s">
        <v>246</v>
      </c>
      <c r="S1064" s="6" t="s">
        <v>147</v>
      </c>
      <c r="T1064" s="6" t="s">
        <v>250</v>
      </c>
      <c r="U1064" s="6" t="s">
        <v>2254</v>
      </c>
      <c r="V1064" s="6" t="s">
        <v>246</v>
      </c>
      <c r="W1064" s="6" t="s">
        <v>158</v>
      </c>
      <c r="X1064" s="6" t="s">
        <v>257</v>
      </c>
      <c r="Y1064" s="6" t="s">
        <v>162</v>
      </c>
      <c r="Z1064" s="6" t="s">
        <v>165</v>
      </c>
      <c r="AA1064" s="6" t="s">
        <v>262</v>
      </c>
      <c r="AB1064" s="6" t="s">
        <v>171</v>
      </c>
      <c r="AC1064" s="6" t="s">
        <v>1669</v>
      </c>
      <c r="AD1064" s="6" t="s">
        <v>175</v>
      </c>
      <c r="AE1064" s="6" t="s">
        <v>271</v>
      </c>
      <c r="AF1064" s="6" t="s">
        <v>181</v>
      </c>
      <c r="AG1064" s="6" t="s">
        <v>182</v>
      </c>
      <c r="AH1064" s="7"/>
      <c r="AI1064" s="7"/>
      <c r="AJ1064" s="7"/>
      <c r="AK1064" s="7"/>
      <c r="AL1064" s="7"/>
      <c r="AM1064" s="7"/>
      <c r="AN1064" s="7"/>
      <c r="AO1064" s="7"/>
      <c r="AP1064" s="7"/>
      <c r="AQ1064" s="7"/>
      <c r="AR1064" s="7"/>
      <c r="AS1064" s="7"/>
      <c r="AT1064" s="7"/>
      <c r="AU1064" s="7"/>
      <c r="AV1064" s="7"/>
      <c r="AW1064" s="7"/>
      <c r="AX1064" s="7"/>
      <c r="AY1064" s="7"/>
      <c r="AZ1064" s="7"/>
      <c r="BA1064" s="7"/>
      <c r="BB1064" s="7"/>
      <c r="BC1064" s="7"/>
      <c r="BD1064" s="7"/>
      <c r="BE1064" s="7"/>
      <c r="BF1064" s="7"/>
      <c r="BG1064" s="7"/>
      <c r="BH1064" s="7"/>
      <c r="BI1064" s="7"/>
      <c r="BJ1064" s="7"/>
      <c r="BK1064" s="7"/>
    </row>
    <row r="1065" ht="22.5" customHeight="1">
      <c r="A1065" s="4">
        <v>46229.70352831019</v>
      </c>
      <c r="B1065" s="5">
        <v>0.0</v>
      </c>
      <c r="C1065" s="6" t="s">
        <v>114</v>
      </c>
      <c r="D1065" s="6" t="s">
        <v>2217</v>
      </c>
      <c r="E1065" s="6" t="s">
        <v>2218</v>
      </c>
      <c r="F1065" s="6">
        <v>6.9070500631E10</v>
      </c>
      <c r="G1065" s="6" t="s">
        <v>6140</v>
      </c>
      <c r="H1065" s="6" t="s">
        <v>2633</v>
      </c>
      <c r="I1065" s="6" t="s">
        <v>10604</v>
      </c>
      <c r="J1065" s="6" t="s">
        <v>10605</v>
      </c>
      <c r="K1065" s="6" t="s">
        <v>10606</v>
      </c>
      <c r="L1065" s="6" t="s">
        <v>10607</v>
      </c>
      <c r="M1065" s="6" t="s">
        <v>10608</v>
      </c>
      <c r="N1065" s="6" t="s">
        <v>2633</v>
      </c>
      <c r="O1065" s="6" t="s">
        <v>10609</v>
      </c>
      <c r="P1065" s="6" t="s">
        <v>10610</v>
      </c>
      <c r="Q1065" s="6" t="s">
        <v>10611</v>
      </c>
      <c r="R1065" s="6" t="s">
        <v>246</v>
      </c>
      <c r="S1065" s="6" t="s">
        <v>147</v>
      </c>
      <c r="T1065" s="6" t="s">
        <v>250</v>
      </c>
      <c r="U1065" s="6" t="s">
        <v>560</v>
      </c>
      <c r="V1065" s="6" t="s">
        <v>246</v>
      </c>
      <c r="W1065" s="6" t="s">
        <v>158</v>
      </c>
      <c r="X1065" s="6" t="s">
        <v>257</v>
      </c>
      <c r="Y1065" s="6" t="s">
        <v>162</v>
      </c>
      <c r="Z1065" s="6" t="s">
        <v>165</v>
      </c>
      <c r="AA1065" s="6" t="s">
        <v>262</v>
      </c>
      <c r="AB1065" s="6" t="s">
        <v>171</v>
      </c>
      <c r="AC1065" s="6" t="s">
        <v>174</v>
      </c>
      <c r="AD1065" s="6" t="s">
        <v>175</v>
      </c>
      <c r="AE1065" s="6" t="s">
        <v>271</v>
      </c>
      <c r="AF1065" s="6" t="s">
        <v>181</v>
      </c>
      <c r="AG1065" s="6" t="s">
        <v>182</v>
      </c>
      <c r="AH1065" s="7"/>
      <c r="AI1065" s="7"/>
      <c r="AJ1065" s="7"/>
      <c r="AK1065" s="7"/>
      <c r="AL1065" s="7"/>
      <c r="AM1065" s="7"/>
      <c r="AN1065" s="7"/>
      <c r="AO1065" s="7"/>
      <c r="AP1065" s="7"/>
      <c r="AQ1065" s="7"/>
      <c r="AR1065" s="7"/>
      <c r="AS1065" s="7"/>
      <c r="AT1065" s="7"/>
      <c r="AU1065" s="7"/>
      <c r="AV1065" s="7"/>
      <c r="AW1065" s="7"/>
      <c r="AX1065" s="7"/>
      <c r="AY1065" s="7"/>
      <c r="AZ1065" s="7"/>
      <c r="BA1065" s="7"/>
      <c r="BB1065" s="7"/>
      <c r="BC1065" s="7"/>
      <c r="BD1065" s="7"/>
      <c r="BE1065" s="7"/>
      <c r="BF1065" s="7"/>
      <c r="BG1065" s="7"/>
      <c r="BH1065" s="7"/>
      <c r="BI1065" s="7"/>
      <c r="BJ1065" s="7"/>
      <c r="BK1065" s="7"/>
    </row>
    <row r="1066" ht="22.5" customHeight="1">
      <c r="A1066" s="4">
        <v>46229.703533900465</v>
      </c>
      <c r="B1066" s="5">
        <v>0.0</v>
      </c>
      <c r="C1066" s="6" t="s">
        <v>3296</v>
      </c>
      <c r="D1066" s="7"/>
      <c r="E1066" s="7"/>
      <c r="F1066" s="7"/>
      <c r="G1066" s="7"/>
      <c r="H1066" s="7"/>
      <c r="I1066" s="7"/>
      <c r="J1066" s="7"/>
      <c r="K1066" s="7"/>
      <c r="L1066" s="7"/>
      <c r="M1066" s="7"/>
      <c r="N1066" s="7"/>
      <c r="O1066" s="7"/>
      <c r="P1066" s="7"/>
      <c r="Q1066" s="7"/>
      <c r="R1066" s="7"/>
      <c r="S1066" s="7"/>
      <c r="T1066" s="7"/>
      <c r="U1066" s="7"/>
      <c r="V1066" s="7"/>
      <c r="W1066" s="7"/>
      <c r="X1066" s="7"/>
      <c r="Y1066" s="7"/>
      <c r="Z1066" s="7"/>
      <c r="AA1066" s="7"/>
      <c r="AB1066" s="7"/>
      <c r="AC1066" s="7"/>
      <c r="AD1066" s="7"/>
      <c r="AE1066" s="7"/>
      <c r="AF1066" s="7"/>
      <c r="AG1066" s="7"/>
      <c r="AH1066" s="6" t="s">
        <v>2841</v>
      </c>
      <c r="AI1066" s="6" t="s">
        <v>2842</v>
      </c>
      <c r="AJ1066" s="6">
        <v>6.9070504029E10</v>
      </c>
      <c r="AK1066" s="6" t="s">
        <v>4331</v>
      </c>
      <c r="AL1066" s="6" t="s">
        <v>2633</v>
      </c>
      <c r="AM1066" s="6" t="s">
        <v>10612</v>
      </c>
      <c r="AN1066" s="6" t="s">
        <v>10613</v>
      </c>
      <c r="AO1066" s="6" t="s">
        <v>8921</v>
      </c>
      <c r="AP1066" s="6" t="s">
        <v>10614</v>
      </c>
      <c r="AQ1066" s="6" t="s">
        <v>10615</v>
      </c>
      <c r="AR1066" s="7"/>
      <c r="AS1066" s="6" t="s">
        <v>10616</v>
      </c>
      <c r="AT1066" s="6" t="s">
        <v>10617</v>
      </c>
      <c r="AU1066" s="6" t="s">
        <v>10618</v>
      </c>
      <c r="AV1066" s="6" t="s">
        <v>3306</v>
      </c>
      <c r="AW1066" s="6" t="s">
        <v>3307</v>
      </c>
      <c r="AX1066" s="6" t="s">
        <v>3312</v>
      </c>
      <c r="AY1066" s="6" t="s">
        <v>3309</v>
      </c>
      <c r="AZ1066" s="6" t="s">
        <v>3306</v>
      </c>
      <c r="BA1066" s="6" t="s">
        <v>3311</v>
      </c>
      <c r="BB1066" s="6" t="s">
        <v>3312</v>
      </c>
      <c r="BC1066" s="6" t="s">
        <v>3313</v>
      </c>
      <c r="BD1066" s="6" t="s">
        <v>629</v>
      </c>
      <c r="BE1066" s="6" t="s">
        <v>3888</v>
      </c>
      <c r="BF1066" s="6" t="s">
        <v>7476</v>
      </c>
      <c r="BG1066" s="6" t="s">
        <v>4694</v>
      </c>
      <c r="BH1066" s="6" t="s">
        <v>5761</v>
      </c>
      <c r="BI1066" s="6" t="s">
        <v>271</v>
      </c>
      <c r="BJ1066" s="6" t="s">
        <v>3318</v>
      </c>
      <c r="BK1066" s="6" t="s">
        <v>5248</v>
      </c>
    </row>
    <row r="1067" ht="22.5" customHeight="1">
      <c r="A1067" s="4">
        <v>46229.70354025463</v>
      </c>
      <c r="B1067" s="5">
        <v>0.0</v>
      </c>
      <c r="C1067" s="6" t="s">
        <v>114</v>
      </c>
      <c r="D1067" s="6" t="s">
        <v>2219</v>
      </c>
      <c r="E1067" s="6" t="s">
        <v>2220</v>
      </c>
      <c r="F1067" s="6">
        <v>6.9070500817E10</v>
      </c>
      <c r="G1067" s="6" t="s">
        <v>496</v>
      </c>
      <c r="H1067" s="7"/>
      <c r="I1067" s="6" t="s">
        <v>10619</v>
      </c>
      <c r="J1067" s="6" t="s">
        <v>10620</v>
      </c>
      <c r="K1067" s="6" t="s">
        <v>5841</v>
      </c>
      <c r="L1067" s="6" t="s">
        <v>10621</v>
      </c>
      <c r="M1067" s="6" t="s">
        <v>10622</v>
      </c>
      <c r="N1067" s="7"/>
      <c r="O1067" s="6" t="s">
        <v>10623</v>
      </c>
      <c r="P1067" s="6" t="s">
        <v>10624</v>
      </c>
      <c r="Q1067" s="6" t="s">
        <v>10625</v>
      </c>
      <c r="R1067" s="6" t="s">
        <v>246</v>
      </c>
      <c r="S1067" s="6" t="s">
        <v>147</v>
      </c>
      <c r="T1067" s="6" t="s">
        <v>250</v>
      </c>
      <c r="U1067" s="6" t="s">
        <v>252</v>
      </c>
      <c r="V1067" s="6" t="s">
        <v>246</v>
      </c>
      <c r="W1067" s="6" t="s">
        <v>158</v>
      </c>
      <c r="X1067" s="6" t="s">
        <v>257</v>
      </c>
      <c r="Y1067" s="6" t="s">
        <v>162</v>
      </c>
      <c r="Z1067" s="6" t="s">
        <v>165</v>
      </c>
      <c r="AA1067" s="6" t="s">
        <v>262</v>
      </c>
      <c r="AB1067" s="6" t="s">
        <v>521</v>
      </c>
      <c r="AC1067" s="6" t="s">
        <v>174</v>
      </c>
      <c r="AD1067" s="6" t="s">
        <v>175</v>
      </c>
      <c r="AE1067" s="6" t="s">
        <v>178</v>
      </c>
      <c r="AF1067" s="6" t="s">
        <v>181</v>
      </c>
      <c r="AG1067" s="6" t="s">
        <v>182</v>
      </c>
      <c r="AH1067" s="7"/>
      <c r="AI1067" s="7"/>
      <c r="AJ1067" s="7"/>
      <c r="AK1067" s="7"/>
      <c r="AL1067" s="7"/>
      <c r="AM1067" s="7"/>
      <c r="AN1067" s="7"/>
      <c r="AO1067" s="7"/>
      <c r="AP1067" s="7"/>
      <c r="AQ1067" s="7"/>
      <c r="AR1067" s="7"/>
      <c r="AS1067" s="7"/>
      <c r="AT1067" s="7"/>
      <c r="AU1067" s="7"/>
      <c r="AV1067" s="7"/>
      <c r="AW1067" s="7"/>
      <c r="AX1067" s="7"/>
      <c r="AY1067" s="7"/>
      <c r="AZ1067" s="7"/>
      <c r="BA1067" s="7"/>
      <c r="BB1067" s="7"/>
      <c r="BC1067" s="7"/>
      <c r="BD1067" s="7"/>
      <c r="BE1067" s="7"/>
      <c r="BF1067" s="7"/>
      <c r="BG1067" s="7"/>
      <c r="BH1067" s="7"/>
      <c r="BI1067" s="7"/>
      <c r="BJ1067" s="7"/>
      <c r="BK1067" s="7"/>
    </row>
    <row r="1068" ht="22.5" customHeight="1">
      <c r="A1068" s="4">
        <v>46229.703549375</v>
      </c>
      <c r="B1068" s="5">
        <v>0.0</v>
      </c>
      <c r="C1068" s="6" t="s">
        <v>114</v>
      </c>
      <c r="D1068" s="6" t="s">
        <v>2221</v>
      </c>
      <c r="E1068" s="6" t="s">
        <v>2222</v>
      </c>
      <c r="F1068" s="6">
        <v>6.9070508826E10</v>
      </c>
      <c r="G1068" s="6" t="s">
        <v>5399</v>
      </c>
      <c r="H1068" s="6" t="s">
        <v>2442</v>
      </c>
      <c r="I1068" s="6" t="s">
        <v>10626</v>
      </c>
      <c r="J1068" s="6" t="s">
        <v>10627</v>
      </c>
      <c r="K1068" s="6" t="s">
        <v>10628</v>
      </c>
      <c r="L1068" s="6" t="s">
        <v>10629</v>
      </c>
      <c r="M1068" s="6" t="s">
        <v>10630</v>
      </c>
      <c r="N1068" s="7"/>
      <c r="O1068" s="6" t="s">
        <v>10631</v>
      </c>
      <c r="P1068" s="6" t="s">
        <v>10632</v>
      </c>
      <c r="Q1068" s="6" t="s">
        <v>10633</v>
      </c>
      <c r="R1068" s="6" t="s">
        <v>246</v>
      </c>
      <c r="S1068" s="6" t="s">
        <v>147</v>
      </c>
      <c r="T1068" s="6" t="s">
        <v>250</v>
      </c>
      <c r="U1068" s="6" t="s">
        <v>252</v>
      </c>
      <c r="V1068" s="6" t="s">
        <v>246</v>
      </c>
      <c r="W1068" s="6" t="s">
        <v>158</v>
      </c>
      <c r="X1068" s="6" t="s">
        <v>246</v>
      </c>
      <c r="Y1068" s="6" t="s">
        <v>162</v>
      </c>
      <c r="Z1068" s="6" t="s">
        <v>165</v>
      </c>
      <c r="AA1068" s="6" t="s">
        <v>262</v>
      </c>
      <c r="AB1068" s="6" t="s">
        <v>1266</v>
      </c>
      <c r="AC1068" s="6" t="s">
        <v>174</v>
      </c>
      <c r="AD1068" s="6" t="s">
        <v>175</v>
      </c>
      <c r="AE1068" s="6" t="s">
        <v>524</v>
      </c>
      <c r="AF1068" s="6" t="s">
        <v>181</v>
      </c>
      <c r="AG1068" s="6" t="s">
        <v>182</v>
      </c>
      <c r="AH1068" s="7"/>
      <c r="AI1068" s="7"/>
      <c r="AJ1068" s="7"/>
      <c r="AK1068" s="7"/>
      <c r="AL1068" s="7"/>
      <c r="AM1068" s="7"/>
      <c r="AN1068" s="7"/>
      <c r="AO1068" s="7"/>
      <c r="AP1068" s="7"/>
      <c r="AQ1068" s="7"/>
      <c r="AR1068" s="7"/>
      <c r="AS1068" s="7"/>
      <c r="AT1068" s="7"/>
      <c r="AU1068" s="7"/>
      <c r="AV1068" s="7"/>
      <c r="AW1068" s="7"/>
      <c r="AX1068" s="7"/>
      <c r="AY1068" s="7"/>
      <c r="AZ1068" s="7"/>
      <c r="BA1068" s="7"/>
      <c r="BB1068" s="7"/>
      <c r="BC1068" s="7"/>
      <c r="BD1068" s="7"/>
      <c r="BE1068" s="7"/>
      <c r="BF1068" s="7"/>
      <c r="BG1068" s="7"/>
      <c r="BH1068" s="7"/>
      <c r="BI1068" s="7"/>
      <c r="BJ1068" s="7"/>
      <c r="BK1068" s="7"/>
    </row>
    <row r="1069" ht="22.5" customHeight="1">
      <c r="A1069" s="4">
        <v>46229.70355012731</v>
      </c>
      <c r="B1069" s="5">
        <v>0.0</v>
      </c>
      <c r="C1069" s="6" t="s">
        <v>114</v>
      </c>
      <c r="D1069" s="6" t="s">
        <v>2223</v>
      </c>
      <c r="E1069" s="6" t="s">
        <v>2224</v>
      </c>
      <c r="F1069" s="6">
        <v>6.9070508844E10</v>
      </c>
      <c r="G1069" s="6" t="s">
        <v>5399</v>
      </c>
      <c r="H1069" s="7"/>
      <c r="I1069" s="6" t="s">
        <v>10634</v>
      </c>
      <c r="J1069" s="6" t="s">
        <v>10635</v>
      </c>
      <c r="K1069" s="6" t="s">
        <v>10636</v>
      </c>
      <c r="L1069" s="6" t="s">
        <v>10637</v>
      </c>
      <c r="M1069" s="6" t="s">
        <v>10638</v>
      </c>
      <c r="N1069" s="6" t="s">
        <v>10639</v>
      </c>
      <c r="O1069" s="6" t="s">
        <v>10640</v>
      </c>
      <c r="P1069" s="6" t="s">
        <v>10641</v>
      </c>
      <c r="Q1069" s="6" t="s">
        <v>10642</v>
      </c>
      <c r="R1069" s="6" t="s">
        <v>246</v>
      </c>
      <c r="S1069" s="6" t="s">
        <v>147</v>
      </c>
      <c r="T1069" s="6" t="s">
        <v>250</v>
      </c>
      <c r="U1069" s="6" t="s">
        <v>2254</v>
      </c>
      <c r="V1069" s="6" t="s">
        <v>246</v>
      </c>
      <c r="W1069" s="6" t="s">
        <v>158</v>
      </c>
      <c r="X1069" s="6" t="s">
        <v>161</v>
      </c>
      <c r="Y1069" s="6" t="s">
        <v>162</v>
      </c>
      <c r="Z1069" s="6" t="s">
        <v>165</v>
      </c>
      <c r="AA1069" s="6" t="s">
        <v>262</v>
      </c>
      <c r="AB1069" s="6" t="s">
        <v>1266</v>
      </c>
      <c r="AC1069" s="6" t="s">
        <v>174</v>
      </c>
      <c r="AD1069" s="6" t="s">
        <v>175</v>
      </c>
      <c r="AE1069" s="6" t="s">
        <v>524</v>
      </c>
      <c r="AF1069" s="6" t="s">
        <v>181</v>
      </c>
      <c r="AG1069" s="6" t="s">
        <v>182</v>
      </c>
      <c r="AH1069" s="7"/>
      <c r="AI1069" s="7"/>
      <c r="AJ1069" s="7"/>
      <c r="AK1069" s="7"/>
      <c r="AL1069" s="7"/>
      <c r="AM1069" s="7"/>
      <c r="AN1069" s="7"/>
      <c r="AO1069" s="7"/>
      <c r="AP1069" s="7"/>
      <c r="AQ1069" s="7"/>
      <c r="AR1069" s="7"/>
      <c r="AS1069" s="7"/>
      <c r="AT1069" s="7"/>
      <c r="AU1069" s="7"/>
      <c r="AV1069" s="7"/>
      <c r="AW1069" s="7"/>
      <c r="AX1069" s="7"/>
      <c r="AY1069" s="7"/>
      <c r="AZ1069" s="7"/>
      <c r="BA1069" s="7"/>
      <c r="BB1069" s="7"/>
      <c r="BC1069" s="7"/>
      <c r="BD1069" s="7"/>
      <c r="BE1069" s="7"/>
      <c r="BF1069" s="7"/>
      <c r="BG1069" s="7"/>
      <c r="BH1069" s="7"/>
      <c r="BI1069" s="7"/>
      <c r="BJ1069" s="7"/>
      <c r="BK1069" s="7"/>
    </row>
    <row r="1070" ht="22.5" customHeight="1">
      <c r="A1070" s="4">
        <v>46229.7035625</v>
      </c>
      <c r="B1070" s="5">
        <v>0.0</v>
      </c>
      <c r="C1070" s="6" t="s">
        <v>3296</v>
      </c>
      <c r="D1070" s="7"/>
      <c r="E1070" s="7"/>
      <c r="F1070" s="7"/>
      <c r="G1070" s="7"/>
      <c r="H1070" s="7"/>
      <c r="I1070" s="7"/>
      <c r="J1070" s="7"/>
      <c r="K1070" s="7"/>
      <c r="L1070" s="7"/>
      <c r="M1070" s="7"/>
      <c r="N1070" s="7"/>
      <c r="O1070" s="7"/>
      <c r="P1070" s="7"/>
      <c r="Q1070" s="7"/>
      <c r="R1070" s="7"/>
      <c r="S1070" s="7"/>
      <c r="T1070" s="7"/>
      <c r="U1070" s="7"/>
      <c r="V1070" s="7"/>
      <c r="W1070" s="7"/>
      <c r="X1070" s="7"/>
      <c r="Y1070" s="7"/>
      <c r="Z1070" s="7"/>
      <c r="AA1070" s="7"/>
      <c r="AB1070" s="7"/>
      <c r="AC1070" s="7"/>
      <c r="AD1070" s="7"/>
      <c r="AE1070" s="7"/>
      <c r="AF1070" s="7"/>
      <c r="AG1070" s="7"/>
      <c r="AH1070" s="6" t="s">
        <v>2843</v>
      </c>
      <c r="AI1070" s="6" t="s">
        <v>2844</v>
      </c>
      <c r="AJ1070" s="6">
        <v>6.9070507829E10</v>
      </c>
      <c r="AK1070" s="6" t="s">
        <v>5236</v>
      </c>
      <c r="AL1070" s="6" t="s">
        <v>10643</v>
      </c>
      <c r="AM1070" s="6" t="s">
        <v>10644</v>
      </c>
      <c r="AN1070" s="6" t="s">
        <v>10517</v>
      </c>
      <c r="AO1070" s="6" t="s">
        <v>10645</v>
      </c>
      <c r="AP1070" s="6" t="s">
        <v>10145</v>
      </c>
      <c r="AQ1070" s="6" t="s">
        <v>8823</v>
      </c>
      <c r="AR1070" s="6" t="s">
        <v>10646</v>
      </c>
      <c r="AS1070" s="6" t="s">
        <v>10647</v>
      </c>
      <c r="AT1070" s="6" t="s">
        <v>10648</v>
      </c>
      <c r="AU1070" s="6" t="s">
        <v>10649</v>
      </c>
      <c r="AV1070" s="6" t="s">
        <v>3306</v>
      </c>
      <c r="AW1070" s="6" t="s">
        <v>3307</v>
      </c>
      <c r="AX1070" s="6" t="s">
        <v>3887</v>
      </c>
      <c r="AY1070" s="6" t="s">
        <v>4067</v>
      </c>
      <c r="AZ1070" s="6" t="s">
        <v>3306</v>
      </c>
      <c r="BA1070" s="6" t="s">
        <v>3311</v>
      </c>
      <c r="BB1070" s="6" t="s">
        <v>3312</v>
      </c>
      <c r="BC1070" s="6" t="s">
        <v>3313</v>
      </c>
      <c r="BD1070" s="6" t="s">
        <v>165</v>
      </c>
      <c r="BE1070" s="6" t="s">
        <v>3888</v>
      </c>
      <c r="BF1070" s="6" t="s">
        <v>3889</v>
      </c>
      <c r="BG1070" s="6" t="s">
        <v>4068</v>
      </c>
      <c r="BH1070" s="6" t="s">
        <v>3317</v>
      </c>
      <c r="BI1070" s="6" t="s">
        <v>271</v>
      </c>
      <c r="BJ1070" s="6" t="s">
        <v>3318</v>
      </c>
      <c r="BK1070" s="6" t="s">
        <v>3319</v>
      </c>
    </row>
    <row r="1071" ht="22.5" customHeight="1">
      <c r="A1071" s="4">
        <v>46229.70360096065</v>
      </c>
      <c r="B1071" s="5">
        <v>0.0</v>
      </c>
      <c r="C1071" s="6" t="s">
        <v>114</v>
      </c>
      <c r="D1071" s="6" t="s">
        <v>2225</v>
      </c>
      <c r="E1071" s="6" t="s">
        <v>2226</v>
      </c>
      <c r="F1071" s="6">
        <v>6.9070506418E10</v>
      </c>
      <c r="G1071" s="6" t="s">
        <v>599</v>
      </c>
      <c r="H1071" s="7"/>
      <c r="I1071" s="6" t="s">
        <v>10650</v>
      </c>
      <c r="J1071" s="6" t="s">
        <v>10651</v>
      </c>
      <c r="K1071" s="6" t="s">
        <v>10652</v>
      </c>
      <c r="L1071" s="6" t="s">
        <v>6962</v>
      </c>
      <c r="M1071" s="6" t="s">
        <v>10653</v>
      </c>
      <c r="N1071" s="7"/>
      <c r="O1071" s="6" t="s">
        <v>10654</v>
      </c>
      <c r="P1071" s="6" t="s">
        <v>10655</v>
      </c>
      <c r="Q1071" s="6" t="s">
        <v>10656</v>
      </c>
      <c r="R1071" s="6" t="s">
        <v>246</v>
      </c>
      <c r="S1071" s="6" t="s">
        <v>147</v>
      </c>
      <c r="T1071" s="6" t="s">
        <v>516</v>
      </c>
      <c r="U1071" s="6" t="s">
        <v>2254</v>
      </c>
      <c r="V1071" s="6" t="s">
        <v>155</v>
      </c>
      <c r="W1071" s="6" t="s">
        <v>158</v>
      </c>
      <c r="X1071" s="6" t="s">
        <v>161</v>
      </c>
      <c r="Y1071" s="6" t="s">
        <v>162</v>
      </c>
      <c r="Z1071" s="6" t="s">
        <v>165</v>
      </c>
      <c r="AA1071" s="6" t="s">
        <v>641</v>
      </c>
      <c r="AB1071" s="6" t="s">
        <v>521</v>
      </c>
      <c r="AC1071" s="6" t="s">
        <v>174</v>
      </c>
      <c r="AD1071" s="6" t="s">
        <v>641</v>
      </c>
      <c r="AE1071" s="6" t="s">
        <v>178</v>
      </c>
      <c r="AF1071" s="6" t="s">
        <v>811</v>
      </c>
      <c r="AG1071" s="6" t="s">
        <v>641</v>
      </c>
      <c r="AH1071" s="7"/>
      <c r="AI1071" s="7"/>
      <c r="AJ1071" s="7"/>
      <c r="AK1071" s="7"/>
      <c r="AL1071" s="7"/>
      <c r="AM1071" s="7"/>
      <c r="AN1071" s="7"/>
      <c r="AO1071" s="7"/>
      <c r="AP1071" s="7"/>
      <c r="AQ1071" s="7"/>
      <c r="AR1071" s="7"/>
      <c r="AS1071" s="7"/>
      <c r="AT1071" s="7"/>
      <c r="AU1071" s="7"/>
      <c r="AV1071" s="7"/>
      <c r="AW1071" s="7"/>
      <c r="AX1071" s="7"/>
      <c r="AY1071" s="7"/>
      <c r="AZ1071" s="7"/>
      <c r="BA1071" s="7"/>
      <c r="BB1071" s="7"/>
      <c r="BC1071" s="7"/>
      <c r="BD1071" s="7"/>
      <c r="BE1071" s="7"/>
      <c r="BF1071" s="7"/>
      <c r="BG1071" s="7"/>
      <c r="BH1071" s="7"/>
      <c r="BI1071" s="7"/>
      <c r="BJ1071" s="7"/>
      <c r="BK1071" s="7"/>
    </row>
    <row r="1072" ht="22.5" customHeight="1">
      <c r="A1072" s="4">
        <v>46229.70360673611</v>
      </c>
      <c r="B1072" s="5">
        <v>0.0</v>
      </c>
      <c r="C1072" s="6" t="s">
        <v>3296</v>
      </c>
      <c r="D1072" s="7"/>
      <c r="E1072" s="7"/>
      <c r="F1072" s="7"/>
      <c r="G1072" s="7"/>
      <c r="H1072" s="7"/>
      <c r="I1072" s="7"/>
      <c r="J1072" s="7"/>
      <c r="K1072" s="7"/>
      <c r="L1072" s="7"/>
      <c r="M1072" s="7"/>
      <c r="N1072" s="7"/>
      <c r="O1072" s="7"/>
      <c r="P1072" s="7"/>
      <c r="Q1072" s="7"/>
      <c r="R1072" s="7"/>
      <c r="S1072" s="7"/>
      <c r="T1072" s="7"/>
      <c r="U1072" s="7"/>
      <c r="V1072" s="7"/>
      <c r="W1072" s="7"/>
      <c r="X1072" s="7"/>
      <c r="Y1072" s="7"/>
      <c r="Z1072" s="7"/>
      <c r="AA1072" s="7"/>
      <c r="AB1072" s="7"/>
      <c r="AC1072" s="7"/>
      <c r="AD1072" s="7"/>
      <c r="AE1072" s="7"/>
      <c r="AF1072" s="7"/>
      <c r="AG1072" s="7"/>
      <c r="AH1072" s="6" t="s">
        <v>2845</v>
      </c>
      <c r="AI1072" s="6" t="s">
        <v>2846</v>
      </c>
      <c r="AJ1072" s="6">
        <v>6.9070509205E10</v>
      </c>
      <c r="AK1072" s="6" t="s">
        <v>4331</v>
      </c>
      <c r="AL1072" s="7"/>
      <c r="AM1072" s="6" t="s">
        <v>10657</v>
      </c>
      <c r="AN1072" s="6" t="s">
        <v>9273</v>
      </c>
      <c r="AO1072" s="6" t="s">
        <v>10658</v>
      </c>
      <c r="AP1072" s="6" t="s">
        <v>7052</v>
      </c>
      <c r="AQ1072" s="6" t="s">
        <v>7050</v>
      </c>
      <c r="AR1072" s="7"/>
      <c r="AS1072" s="6" t="s">
        <v>10659</v>
      </c>
      <c r="AT1072" s="6" t="s">
        <v>10660</v>
      </c>
      <c r="AU1072" s="6" t="s">
        <v>10661</v>
      </c>
      <c r="AV1072" s="6" t="s">
        <v>4861</v>
      </c>
      <c r="AW1072" s="6" t="s">
        <v>3307</v>
      </c>
      <c r="AX1072" s="6" t="s">
        <v>3887</v>
      </c>
      <c r="AY1072" s="6" t="s">
        <v>4067</v>
      </c>
      <c r="AZ1072" s="6" t="s">
        <v>3306</v>
      </c>
      <c r="BA1072" s="6" t="s">
        <v>3311</v>
      </c>
      <c r="BB1072" s="6" t="s">
        <v>3312</v>
      </c>
      <c r="BC1072" s="6" t="s">
        <v>3313</v>
      </c>
      <c r="BD1072" s="6" t="s">
        <v>165</v>
      </c>
      <c r="BE1072" s="6" t="s">
        <v>4341</v>
      </c>
      <c r="BF1072" s="6" t="s">
        <v>3315</v>
      </c>
      <c r="BG1072" s="6" t="s">
        <v>3316</v>
      </c>
      <c r="BH1072" s="6" t="s">
        <v>3317</v>
      </c>
      <c r="BI1072" s="6" t="s">
        <v>178</v>
      </c>
      <c r="BJ1072" s="6" t="s">
        <v>3318</v>
      </c>
      <c r="BK1072" s="6" t="s">
        <v>3319</v>
      </c>
    </row>
    <row r="1073" ht="22.5" customHeight="1">
      <c r="A1073" s="4">
        <v>46229.70360810185</v>
      </c>
      <c r="B1073" s="5">
        <v>0.0</v>
      </c>
      <c r="C1073" s="6" t="s">
        <v>3296</v>
      </c>
      <c r="D1073" s="7"/>
      <c r="E1073" s="7"/>
      <c r="F1073" s="7"/>
      <c r="G1073" s="7"/>
      <c r="H1073" s="7"/>
      <c r="I1073" s="7"/>
      <c r="J1073" s="7"/>
      <c r="K1073" s="7"/>
      <c r="L1073" s="7"/>
      <c r="M1073" s="7"/>
      <c r="N1073" s="7"/>
      <c r="O1073" s="7"/>
      <c r="P1073" s="7"/>
      <c r="Q1073" s="7"/>
      <c r="R1073" s="7"/>
      <c r="S1073" s="7"/>
      <c r="T1073" s="7"/>
      <c r="U1073" s="7"/>
      <c r="V1073" s="7"/>
      <c r="W1073" s="7"/>
      <c r="X1073" s="7"/>
      <c r="Y1073" s="7"/>
      <c r="Z1073" s="7"/>
      <c r="AA1073" s="7"/>
      <c r="AB1073" s="7"/>
      <c r="AC1073" s="7"/>
      <c r="AD1073" s="7"/>
      <c r="AE1073" s="7"/>
      <c r="AF1073" s="7"/>
      <c r="AG1073" s="7"/>
      <c r="AH1073" s="6" t="s">
        <v>2847</v>
      </c>
      <c r="AI1073" s="6" t="s">
        <v>2848</v>
      </c>
      <c r="AJ1073" s="6">
        <v>6.907050322E10</v>
      </c>
      <c r="AK1073" s="6" t="s">
        <v>9323</v>
      </c>
      <c r="AL1073" s="7"/>
      <c r="AM1073" s="6" t="s">
        <v>10662</v>
      </c>
      <c r="AN1073" s="6" t="s">
        <v>10663</v>
      </c>
      <c r="AO1073" s="6" t="s">
        <v>10664</v>
      </c>
      <c r="AP1073" s="6" t="s">
        <v>10665</v>
      </c>
      <c r="AQ1073" s="6" t="s">
        <v>10666</v>
      </c>
      <c r="AR1073" s="6" t="s">
        <v>10667</v>
      </c>
      <c r="AS1073" s="6" t="s">
        <v>10668</v>
      </c>
      <c r="AT1073" s="6" t="s">
        <v>10669</v>
      </c>
      <c r="AU1073" s="6" t="s">
        <v>10670</v>
      </c>
      <c r="AV1073" s="6" t="s">
        <v>3306</v>
      </c>
      <c r="AW1073" s="6" t="s">
        <v>3307</v>
      </c>
      <c r="AX1073" s="6" t="s">
        <v>3312</v>
      </c>
      <c r="AY1073" s="6" t="s">
        <v>4067</v>
      </c>
      <c r="AZ1073" s="6" t="s">
        <v>3306</v>
      </c>
      <c r="BA1073" s="6" t="s">
        <v>3311</v>
      </c>
      <c r="BB1073" s="6" t="s">
        <v>3306</v>
      </c>
      <c r="BC1073" s="6" t="s">
        <v>3313</v>
      </c>
      <c r="BD1073" s="6" t="s">
        <v>804</v>
      </c>
      <c r="BE1073" s="6" t="s">
        <v>3888</v>
      </c>
      <c r="BF1073" s="6" t="s">
        <v>3889</v>
      </c>
      <c r="BG1073" s="6" t="s">
        <v>3316</v>
      </c>
      <c r="BH1073" s="6" t="s">
        <v>5761</v>
      </c>
      <c r="BI1073" s="6" t="s">
        <v>178</v>
      </c>
      <c r="BJ1073" s="6" t="s">
        <v>4342</v>
      </c>
      <c r="BK1073" s="6" t="s">
        <v>7178</v>
      </c>
    </row>
    <row r="1074" ht="22.5" customHeight="1">
      <c r="A1074" s="4">
        <v>46229.703666747686</v>
      </c>
      <c r="B1074" s="5">
        <v>0.0</v>
      </c>
      <c r="C1074" s="6" t="s">
        <v>3296</v>
      </c>
      <c r="D1074" s="7"/>
      <c r="E1074" s="7"/>
      <c r="F1074" s="7"/>
      <c r="G1074" s="7"/>
      <c r="H1074" s="7"/>
      <c r="I1074" s="7"/>
      <c r="J1074" s="7"/>
      <c r="K1074" s="7"/>
      <c r="L1074" s="7"/>
      <c r="M1074" s="7"/>
      <c r="N1074" s="7"/>
      <c r="O1074" s="7"/>
      <c r="P1074" s="7"/>
      <c r="Q1074" s="7"/>
      <c r="R1074" s="7"/>
      <c r="S1074" s="7"/>
      <c r="T1074" s="7"/>
      <c r="U1074" s="7"/>
      <c r="V1074" s="7"/>
      <c r="W1074" s="7"/>
      <c r="X1074" s="7"/>
      <c r="Y1074" s="7"/>
      <c r="Z1074" s="7"/>
      <c r="AA1074" s="7"/>
      <c r="AB1074" s="7"/>
      <c r="AC1074" s="7"/>
      <c r="AD1074" s="7"/>
      <c r="AE1074" s="7"/>
      <c r="AF1074" s="7"/>
      <c r="AG1074" s="7"/>
      <c r="AH1074" s="6" t="s">
        <v>2849</v>
      </c>
      <c r="AI1074" s="6" t="s">
        <v>2850</v>
      </c>
      <c r="AJ1074" s="6">
        <v>6.9070508609E10</v>
      </c>
      <c r="AK1074" s="6" t="s">
        <v>9716</v>
      </c>
      <c r="AL1074" s="6" t="s">
        <v>10671</v>
      </c>
      <c r="AM1074" s="6" t="s">
        <v>10219</v>
      </c>
      <c r="AN1074" s="6" t="s">
        <v>10672</v>
      </c>
      <c r="AO1074" s="6" t="s">
        <v>10673</v>
      </c>
      <c r="AP1074" s="6" t="s">
        <v>10674</v>
      </c>
      <c r="AQ1074" s="6" t="s">
        <v>10675</v>
      </c>
      <c r="AR1074" s="7"/>
      <c r="AS1074" s="6" t="s">
        <v>10676</v>
      </c>
      <c r="AT1074" s="6" t="s">
        <v>10677</v>
      </c>
      <c r="AU1074" s="6" t="s">
        <v>10678</v>
      </c>
      <c r="AV1074" s="6" t="s">
        <v>3312</v>
      </c>
      <c r="AW1074" s="6" t="s">
        <v>3307</v>
      </c>
      <c r="AX1074" s="6" t="s">
        <v>3887</v>
      </c>
      <c r="AY1074" s="6" t="s">
        <v>3309</v>
      </c>
      <c r="AZ1074" s="6" t="s">
        <v>3306</v>
      </c>
      <c r="BA1074" s="6" t="s">
        <v>3311</v>
      </c>
      <c r="BB1074" s="6" t="s">
        <v>3312</v>
      </c>
      <c r="BC1074" s="6" t="s">
        <v>3313</v>
      </c>
      <c r="BD1074" s="6" t="s">
        <v>165</v>
      </c>
      <c r="BE1074" s="6" t="s">
        <v>3888</v>
      </c>
      <c r="BF1074" s="6" t="s">
        <v>3315</v>
      </c>
      <c r="BG1074" s="6" t="s">
        <v>3316</v>
      </c>
      <c r="BH1074" s="6" t="s">
        <v>3317</v>
      </c>
      <c r="BI1074" s="6" t="s">
        <v>178</v>
      </c>
      <c r="BJ1074" s="6" t="s">
        <v>3318</v>
      </c>
      <c r="BK1074" s="6" t="s">
        <v>3319</v>
      </c>
    </row>
    <row r="1075" ht="22.5" customHeight="1">
      <c r="A1075" s="4">
        <v>46229.7036915625</v>
      </c>
      <c r="B1075" s="5">
        <v>0.0</v>
      </c>
      <c r="C1075" s="6" t="s">
        <v>114</v>
      </c>
      <c r="D1075" s="6" t="s">
        <v>2227</v>
      </c>
      <c r="E1075" s="6" t="s">
        <v>2228</v>
      </c>
      <c r="F1075" s="6">
        <v>6.9070508849E10</v>
      </c>
      <c r="G1075" s="6" t="s">
        <v>5399</v>
      </c>
      <c r="H1075" s="6" t="s">
        <v>10679</v>
      </c>
      <c r="I1075" s="6" t="s">
        <v>10680</v>
      </c>
      <c r="J1075" s="6" t="s">
        <v>10681</v>
      </c>
      <c r="K1075" s="6" t="s">
        <v>10682</v>
      </c>
      <c r="L1075" s="6" t="s">
        <v>4291</v>
      </c>
      <c r="M1075" s="6" t="s">
        <v>4291</v>
      </c>
      <c r="N1075" s="6" t="s">
        <v>10683</v>
      </c>
      <c r="O1075" s="6" t="s">
        <v>10684</v>
      </c>
      <c r="P1075" s="6" t="s">
        <v>10685</v>
      </c>
      <c r="Q1075" s="6" t="s">
        <v>10686</v>
      </c>
      <c r="R1075" s="6" t="s">
        <v>246</v>
      </c>
      <c r="S1075" s="6" t="s">
        <v>147</v>
      </c>
      <c r="T1075" s="6" t="s">
        <v>246</v>
      </c>
      <c r="U1075" s="6" t="s">
        <v>560</v>
      </c>
      <c r="V1075" s="6" t="s">
        <v>246</v>
      </c>
      <c r="W1075" s="6" t="s">
        <v>158</v>
      </c>
      <c r="X1075" s="6" t="s">
        <v>458</v>
      </c>
      <c r="Y1075" s="6" t="s">
        <v>162</v>
      </c>
      <c r="Z1075" s="6" t="s">
        <v>165</v>
      </c>
      <c r="AA1075" s="6" t="s">
        <v>262</v>
      </c>
      <c r="AB1075" s="6" t="s">
        <v>521</v>
      </c>
      <c r="AC1075" s="6" t="s">
        <v>174</v>
      </c>
      <c r="AD1075" s="6" t="s">
        <v>175</v>
      </c>
      <c r="AE1075" s="6" t="s">
        <v>271</v>
      </c>
      <c r="AF1075" s="6" t="s">
        <v>181</v>
      </c>
      <c r="AG1075" s="6" t="s">
        <v>182</v>
      </c>
      <c r="AH1075" s="7"/>
      <c r="AI1075" s="7"/>
      <c r="AJ1075" s="7"/>
      <c r="AK1075" s="7"/>
      <c r="AL1075" s="7"/>
      <c r="AM1075" s="7"/>
      <c r="AN1075" s="7"/>
      <c r="AO1075" s="7"/>
      <c r="AP1075" s="7"/>
      <c r="AQ1075" s="7"/>
      <c r="AR1075" s="7"/>
      <c r="AS1075" s="7"/>
      <c r="AT1075" s="7"/>
      <c r="AU1075" s="7"/>
      <c r="AV1075" s="7"/>
      <c r="AW1075" s="7"/>
      <c r="AX1075" s="7"/>
      <c r="AY1075" s="7"/>
      <c r="AZ1075" s="7"/>
      <c r="BA1075" s="7"/>
      <c r="BB1075" s="7"/>
      <c r="BC1075" s="7"/>
      <c r="BD1075" s="7"/>
      <c r="BE1075" s="7"/>
      <c r="BF1075" s="7"/>
      <c r="BG1075" s="7"/>
      <c r="BH1075" s="7"/>
      <c r="BI1075" s="7"/>
      <c r="BJ1075" s="7"/>
      <c r="BK1075" s="7"/>
    </row>
    <row r="1076" ht="22.5" customHeight="1">
      <c r="A1076" s="4">
        <v>46229.70370665509</v>
      </c>
      <c r="B1076" s="5">
        <v>0.0</v>
      </c>
      <c r="C1076" s="6" t="s">
        <v>3296</v>
      </c>
      <c r="D1076" s="7"/>
      <c r="E1076" s="7"/>
      <c r="F1076" s="7"/>
      <c r="G1076" s="7"/>
      <c r="H1076" s="7"/>
      <c r="I1076" s="7"/>
      <c r="J1076" s="7"/>
      <c r="K1076" s="7"/>
      <c r="L1076" s="7"/>
      <c r="M1076" s="7"/>
      <c r="N1076" s="7"/>
      <c r="O1076" s="7"/>
      <c r="P1076" s="7"/>
      <c r="Q1076" s="7"/>
      <c r="R1076" s="7"/>
      <c r="S1076" s="7"/>
      <c r="T1076" s="7"/>
      <c r="U1076" s="7"/>
      <c r="V1076" s="7"/>
      <c r="W1076" s="7"/>
      <c r="X1076" s="7"/>
      <c r="Y1076" s="7"/>
      <c r="Z1076" s="7"/>
      <c r="AA1076" s="7"/>
      <c r="AB1076" s="7"/>
      <c r="AC1076" s="7"/>
      <c r="AD1076" s="7"/>
      <c r="AE1076" s="7"/>
      <c r="AF1076" s="7"/>
      <c r="AG1076" s="7"/>
      <c r="AH1076" s="6" t="s">
        <v>2851</v>
      </c>
      <c r="AI1076" s="6" t="s">
        <v>2852</v>
      </c>
      <c r="AJ1076" s="6">
        <v>6.9070503216E10</v>
      </c>
      <c r="AK1076" s="6" t="s">
        <v>9323</v>
      </c>
      <c r="AL1076" s="6" t="s">
        <v>2442</v>
      </c>
      <c r="AM1076" s="6" t="s">
        <v>10687</v>
      </c>
      <c r="AN1076" s="6" t="s">
        <v>10688</v>
      </c>
      <c r="AO1076" s="6" t="s">
        <v>10584</v>
      </c>
      <c r="AP1076" s="6" t="s">
        <v>10689</v>
      </c>
      <c r="AQ1076" s="6" t="s">
        <v>10690</v>
      </c>
      <c r="AR1076" s="7"/>
      <c r="AS1076" s="6" t="s">
        <v>10691</v>
      </c>
      <c r="AT1076" s="6" t="s">
        <v>10692</v>
      </c>
      <c r="AU1076" s="6" t="s">
        <v>10693</v>
      </c>
      <c r="AV1076" s="6" t="s">
        <v>3312</v>
      </c>
      <c r="AW1076" s="6" t="s">
        <v>3307</v>
      </c>
      <c r="AX1076" s="6" t="s">
        <v>3308</v>
      </c>
      <c r="AY1076" s="6" t="s">
        <v>5759</v>
      </c>
      <c r="AZ1076" s="6" t="s">
        <v>3306</v>
      </c>
      <c r="BA1076" s="6" t="s">
        <v>3311</v>
      </c>
      <c r="BB1076" s="6" t="s">
        <v>4693</v>
      </c>
      <c r="BC1076" s="6" t="s">
        <v>3313</v>
      </c>
      <c r="BD1076" s="6" t="s">
        <v>165</v>
      </c>
      <c r="BE1076" s="6" t="s">
        <v>3888</v>
      </c>
      <c r="BF1076" s="6" t="s">
        <v>3315</v>
      </c>
      <c r="BG1076" s="6" t="s">
        <v>3316</v>
      </c>
      <c r="BH1076" s="6" t="s">
        <v>3317</v>
      </c>
      <c r="BI1076" s="6" t="s">
        <v>271</v>
      </c>
      <c r="BJ1076" s="6" t="s">
        <v>3318</v>
      </c>
      <c r="BK1076" s="6" t="s">
        <v>4695</v>
      </c>
    </row>
    <row r="1077" ht="22.5" customHeight="1">
      <c r="A1077" s="4">
        <v>46229.70371130787</v>
      </c>
      <c r="B1077" s="5">
        <v>0.0</v>
      </c>
      <c r="C1077" s="6" t="s">
        <v>114</v>
      </c>
      <c r="D1077" s="6" t="s">
        <v>296</v>
      </c>
      <c r="E1077" s="6" t="s">
        <v>2229</v>
      </c>
      <c r="F1077" s="6">
        <v>6.9070508835E10</v>
      </c>
      <c r="G1077" s="6" t="s">
        <v>5399</v>
      </c>
      <c r="H1077" s="7"/>
      <c r="I1077" s="6" t="s">
        <v>10694</v>
      </c>
      <c r="J1077" s="6" t="s">
        <v>10695</v>
      </c>
      <c r="K1077" s="6" t="s">
        <v>10696</v>
      </c>
      <c r="L1077" s="6" t="s">
        <v>10697</v>
      </c>
      <c r="M1077" s="6" t="s">
        <v>10698</v>
      </c>
      <c r="N1077" s="7"/>
      <c r="O1077" s="6" t="s">
        <v>10699</v>
      </c>
      <c r="P1077" s="6" t="s">
        <v>10700</v>
      </c>
      <c r="Q1077" s="6" t="s">
        <v>10701</v>
      </c>
      <c r="R1077" s="6" t="s">
        <v>246</v>
      </c>
      <c r="S1077" s="6" t="s">
        <v>147</v>
      </c>
      <c r="T1077" s="6" t="s">
        <v>250</v>
      </c>
      <c r="U1077" s="6" t="s">
        <v>686</v>
      </c>
      <c r="V1077" s="6" t="s">
        <v>246</v>
      </c>
      <c r="W1077" s="6" t="s">
        <v>158</v>
      </c>
      <c r="X1077" s="6" t="s">
        <v>257</v>
      </c>
      <c r="Y1077" s="6" t="s">
        <v>162</v>
      </c>
      <c r="Z1077" s="6" t="s">
        <v>165</v>
      </c>
      <c r="AA1077" s="6" t="s">
        <v>641</v>
      </c>
      <c r="AB1077" s="6" t="s">
        <v>521</v>
      </c>
      <c r="AC1077" s="6" t="s">
        <v>633</v>
      </c>
      <c r="AD1077" s="6" t="s">
        <v>175</v>
      </c>
      <c r="AE1077" s="6" t="s">
        <v>271</v>
      </c>
      <c r="AF1077" s="6" t="s">
        <v>181</v>
      </c>
      <c r="AG1077" s="6" t="s">
        <v>182</v>
      </c>
      <c r="AH1077" s="7"/>
      <c r="AI1077" s="7"/>
      <c r="AJ1077" s="7"/>
      <c r="AK1077" s="7"/>
      <c r="AL1077" s="7"/>
      <c r="AM1077" s="7"/>
      <c r="AN1077" s="7"/>
      <c r="AO1077" s="7"/>
      <c r="AP1077" s="7"/>
      <c r="AQ1077" s="7"/>
      <c r="AR1077" s="7"/>
      <c r="AS1077" s="7"/>
      <c r="AT1077" s="7"/>
      <c r="AU1077" s="7"/>
      <c r="AV1077" s="7"/>
      <c r="AW1077" s="7"/>
      <c r="AX1077" s="7"/>
      <c r="AY1077" s="7"/>
      <c r="AZ1077" s="7"/>
      <c r="BA1077" s="7"/>
      <c r="BB1077" s="7"/>
      <c r="BC1077" s="7"/>
      <c r="BD1077" s="7"/>
      <c r="BE1077" s="7"/>
      <c r="BF1077" s="7"/>
      <c r="BG1077" s="7"/>
      <c r="BH1077" s="7"/>
      <c r="BI1077" s="7"/>
      <c r="BJ1077" s="7"/>
      <c r="BK1077" s="7"/>
    </row>
    <row r="1078" ht="22.5" customHeight="1">
      <c r="A1078" s="4">
        <v>46229.70371569444</v>
      </c>
      <c r="B1078" s="5">
        <v>0.0</v>
      </c>
      <c r="C1078" s="6" t="s">
        <v>114</v>
      </c>
      <c r="D1078" s="6" t="s">
        <v>2230</v>
      </c>
      <c r="E1078" s="6" t="s">
        <v>651</v>
      </c>
      <c r="F1078" s="6">
        <v>6.9070506408E10</v>
      </c>
      <c r="G1078" s="6" t="s">
        <v>599</v>
      </c>
      <c r="H1078" s="7"/>
      <c r="I1078" s="6" t="s">
        <v>10702</v>
      </c>
      <c r="J1078" s="6" t="s">
        <v>10703</v>
      </c>
      <c r="K1078" s="6" t="s">
        <v>10704</v>
      </c>
      <c r="L1078" s="6" t="s">
        <v>10705</v>
      </c>
      <c r="M1078" s="6" t="s">
        <v>10706</v>
      </c>
      <c r="N1078" s="7"/>
      <c r="O1078" s="6" t="s">
        <v>10707</v>
      </c>
      <c r="P1078" s="6" t="s">
        <v>10708</v>
      </c>
      <c r="Q1078" s="6" t="s">
        <v>10709</v>
      </c>
      <c r="R1078" s="6" t="s">
        <v>257</v>
      </c>
      <c r="S1078" s="6" t="s">
        <v>147</v>
      </c>
      <c r="T1078" s="6" t="s">
        <v>250</v>
      </c>
      <c r="U1078" s="6" t="s">
        <v>560</v>
      </c>
      <c r="V1078" s="6" t="s">
        <v>246</v>
      </c>
      <c r="W1078" s="6" t="s">
        <v>158</v>
      </c>
      <c r="X1078" s="6" t="s">
        <v>257</v>
      </c>
      <c r="Y1078" s="6" t="s">
        <v>162</v>
      </c>
      <c r="Z1078" s="6" t="s">
        <v>165</v>
      </c>
      <c r="AA1078" s="6" t="s">
        <v>262</v>
      </c>
      <c r="AB1078" s="6" t="s">
        <v>171</v>
      </c>
      <c r="AC1078" s="6" t="s">
        <v>174</v>
      </c>
      <c r="AD1078" s="6" t="s">
        <v>1723</v>
      </c>
      <c r="AE1078" s="6" t="s">
        <v>271</v>
      </c>
      <c r="AF1078" s="6" t="s">
        <v>181</v>
      </c>
      <c r="AG1078" s="6" t="s">
        <v>182</v>
      </c>
      <c r="AH1078" s="7"/>
      <c r="AI1078" s="7"/>
      <c r="AJ1078" s="7"/>
      <c r="AK1078" s="7"/>
      <c r="AL1078" s="7"/>
      <c r="AM1078" s="7"/>
      <c r="AN1078" s="7"/>
      <c r="AO1078" s="7"/>
      <c r="AP1078" s="7"/>
      <c r="AQ1078" s="7"/>
      <c r="AR1078" s="7"/>
      <c r="AS1078" s="7"/>
      <c r="AT1078" s="7"/>
      <c r="AU1078" s="7"/>
      <c r="AV1078" s="7"/>
      <c r="AW1078" s="7"/>
      <c r="AX1078" s="7"/>
      <c r="AY1078" s="7"/>
      <c r="AZ1078" s="7"/>
      <c r="BA1078" s="7"/>
      <c r="BB1078" s="7"/>
      <c r="BC1078" s="7"/>
      <c r="BD1078" s="7"/>
      <c r="BE1078" s="7"/>
      <c r="BF1078" s="7"/>
      <c r="BG1078" s="7"/>
      <c r="BH1078" s="7"/>
      <c r="BI1078" s="7"/>
      <c r="BJ1078" s="7"/>
      <c r="BK1078" s="7"/>
    </row>
    <row r="1079" ht="22.5" customHeight="1">
      <c r="A1079" s="4">
        <v>46229.70372384259</v>
      </c>
      <c r="B1079" s="5">
        <v>0.0</v>
      </c>
      <c r="C1079" s="6" t="s">
        <v>114</v>
      </c>
      <c r="D1079" s="6" t="s">
        <v>2231</v>
      </c>
      <c r="E1079" s="6" t="s">
        <v>2232</v>
      </c>
      <c r="F1079" s="6">
        <v>6.9070500647E10</v>
      </c>
      <c r="G1079" s="6" t="s">
        <v>6140</v>
      </c>
      <c r="H1079" s="6" t="s">
        <v>2633</v>
      </c>
      <c r="I1079" s="6" t="s">
        <v>10710</v>
      </c>
      <c r="J1079" s="6" t="s">
        <v>10711</v>
      </c>
      <c r="K1079" s="6" t="s">
        <v>10712</v>
      </c>
      <c r="L1079" s="6" t="s">
        <v>10713</v>
      </c>
      <c r="M1079" s="6" t="s">
        <v>10714</v>
      </c>
      <c r="N1079" s="6" t="s">
        <v>10715</v>
      </c>
      <c r="O1079" s="6" t="s">
        <v>10716</v>
      </c>
      <c r="P1079" s="6" t="s">
        <v>10717</v>
      </c>
      <c r="Q1079" s="6" t="s">
        <v>10718</v>
      </c>
      <c r="R1079" s="6" t="s">
        <v>246</v>
      </c>
      <c r="S1079" s="6" t="s">
        <v>5344</v>
      </c>
      <c r="T1079" s="6" t="s">
        <v>250</v>
      </c>
      <c r="U1079" s="6" t="s">
        <v>560</v>
      </c>
      <c r="V1079" s="6" t="s">
        <v>246</v>
      </c>
      <c r="W1079" s="6" t="s">
        <v>158</v>
      </c>
      <c r="X1079" s="6" t="s">
        <v>257</v>
      </c>
      <c r="Y1079" s="6" t="s">
        <v>162</v>
      </c>
      <c r="Z1079" s="6" t="s">
        <v>165</v>
      </c>
      <c r="AA1079" s="6" t="s">
        <v>262</v>
      </c>
      <c r="AB1079" s="6" t="s">
        <v>171</v>
      </c>
      <c r="AC1079" s="6" t="s">
        <v>174</v>
      </c>
      <c r="AD1079" s="6" t="s">
        <v>175</v>
      </c>
      <c r="AE1079" s="6" t="s">
        <v>271</v>
      </c>
      <c r="AF1079" s="6" t="s">
        <v>181</v>
      </c>
      <c r="AG1079" s="6" t="s">
        <v>182</v>
      </c>
      <c r="AH1079" s="7"/>
      <c r="AI1079" s="7"/>
      <c r="AJ1079" s="7"/>
      <c r="AK1079" s="7"/>
      <c r="AL1079" s="7"/>
      <c r="AM1079" s="7"/>
      <c r="AN1079" s="7"/>
      <c r="AO1079" s="7"/>
      <c r="AP1079" s="7"/>
      <c r="AQ1079" s="7"/>
      <c r="AR1079" s="7"/>
      <c r="AS1079" s="7"/>
      <c r="AT1079" s="7"/>
      <c r="AU1079" s="7"/>
      <c r="AV1079" s="7"/>
      <c r="AW1079" s="7"/>
      <c r="AX1079" s="7"/>
      <c r="AY1079" s="7"/>
      <c r="AZ1079" s="7"/>
      <c r="BA1079" s="7"/>
      <c r="BB1079" s="7"/>
      <c r="BC1079" s="7"/>
      <c r="BD1079" s="7"/>
      <c r="BE1079" s="7"/>
      <c r="BF1079" s="7"/>
      <c r="BG1079" s="7"/>
      <c r="BH1079" s="7"/>
      <c r="BI1079" s="7"/>
      <c r="BJ1079" s="7"/>
      <c r="BK1079" s="7"/>
    </row>
    <row r="1080" ht="22.5" customHeight="1">
      <c r="A1080" s="4">
        <v>46229.70373113426</v>
      </c>
      <c r="B1080" s="5">
        <v>0.0</v>
      </c>
      <c r="C1080" s="6" t="s">
        <v>3296</v>
      </c>
      <c r="D1080" s="7"/>
      <c r="E1080" s="7"/>
      <c r="F1080" s="7"/>
      <c r="G1080" s="7"/>
      <c r="H1080" s="7"/>
      <c r="I1080" s="7"/>
      <c r="J1080" s="7"/>
      <c r="K1080" s="7"/>
      <c r="L1080" s="7"/>
      <c r="M1080" s="7"/>
      <c r="N1080" s="7"/>
      <c r="O1080" s="7"/>
      <c r="P1080" s="7"/>
      <c r="Q1080" s="7"/>
      <c r="R1080" s="7"/>
      <c r="S1080" s="7"/>
      <c r="T1080" s="7"/>
      <c r="U1080" s="7"/>
      <c r="V1080" s="7"/>
      <c r="W1080" s="7"/>
      <c r="X1080" s="7"/>
      <c r="Y1080" s="7"/>
      <c r="Z1080" s="7"/>
      <c r="AA1080" s="7"/>
      <c r="AB1080" s="7"/>
      <c r="AC1080" s="7"/>
      <c r="AD1080" s="7"/>
      <c r="AE1080" s="7"/>
      <c r="AF1080" s="7"/>
      <c r="AG1080" s="7"/>
      <c r="AH1080" s="6" t="s">
        <v>2854</v>
      </c>
      <c r="AI1080" s="6" t="s">
        <v>2855</v>
      </c>
      <c r="AJ1080" s="6">
        <v>6.9070503213E10</v>
      </c>
      <c r="AK1080" s="6" t="s">
        <v>9323</v>
      </c>
      <c r="AL1080" s="7"/>
      <c r="AM1080" s="6" t="s">
        <v>10719</v>
      </c>
      <c r="AN1080" s="6" t="s">
        <v>10720</v>
      </c>
      <c r="AO1080" s="6" t="s">
        <v>10721</v>
      </c>
      <c r="AP1080" s="6" t="s">
        <v>10722</v>
      </c>
      <c r="AQ1080" s="6" t="s">
        <v>10723</v>
      </c>
      <c r="AR1080" s="7"/>
      <c r="AS1080" s="6" t="s">
        <v>10724</v>
      </c>
      <c r="AT1080" s="6" t="s">
        <v>10692</v>
      </c>
      <c r="AU1080" s="6" t="s">
        <v>10725</v>
      </c>
      <c r="AV1080" s="6" t="s">
        <v>3312</v>
      </c>
      <c r="AW1080" s="6" t="s">
        <v>3307</v>
      </c>
      <c r="AX1080" s="6" t="s">
        <v>3308</v>
      </c>
      <c r="AY1080" s="6" t="s">
        <v>3309</v>
      </c>
      <c r="AZ1080" s="6" t="s">
        <v>3306</v>
      </c>
      <c r="BA1080" s="6" t="s">
        <v>3311</v>
      </c>
      <c r="BB1080" s="6" t="s">
        <v>4693</v>
      </c>
      <c r="BC1080" s="6" t="s">
        <v>3313</v>
      </c>
      <c r="BD1080" s="6" t="s">
        <v>165</v>
      </c>
      <c r="BE1080" s="6" t="s">
        <v>3888</v>
      </c>
      <c r="BF1080" s="6" t="s">
        <v>3315</v>
      </c>
      <c r="BG1080" s="6" t="s">
        <v>3316</v>
      </c>
      <c r="BH1080" s="6" t="s">
        <v>3317</v>
      </c>
      <c r="BI1080" s="6" t="s">
        <v>271</v>
      </c>
      <c r="BJ1080" s="6" t="s">
        <v>3318</v>
      </c>
      <c r="BK1080" s="6" t="s">
        <v>3319</v>
      </c>
    </row>
    <row r="1081" ht="22.5" customHeight="1">
      <c r="A1081" s="4">
        <v>46229.70375140046</v>
      </c>
      <c r="B1081" s="5">
        <v>0.0</v>
      </c>
      <c r="C1081" s="6" t="s">
        <v>114</v>
      </c>
      <c r="D1081" s="6" t="s">
        <v>2233</v>
      </c>
      <c r="E1081" s="6" t="s">
        <v>2234</v>
      </c>
      <c r="F1081" s="6">
        <v>6.9070508812E10</v>
      </c>
      <c r="G1081" s="6" t="s">
        <v>5399</v>
      </c>
      <c r="H1081" s="7"/>
      <c r="I1081" s="6" t="s">
        <v>10210</v>
      </c>
      <c r="J1081" s="6" t="s">
        <v>10726</v>
      </c>
      <c r="K1081" s="6" t="s">
        <v>10727</v>
      </c>
      <c r="L1081" s="6" t="s">
        <v>10728</v>
      </c>
      <c r="M1081" s="6" t="s">
        <v>10729</v>
      </c>
      <c r="N1081" s="7"/>
      <c r="O1081" s="6" t="s">
        <v>10730</v>
      </c>
      <c r="P1081" s="6" t="s">
        <v>10731</v>
      </c>
      <c r="Q1081" s="6" t="s">
        <v>10732</v>
      </c>
      <c r="R1081" s="6" t="s">
        <v>246</v>
      </c>
      <c r="S1081" s="6" t="s">
        <v>147</v>
      </c>
      <c r="T1081" s="6" t="s">
        <v>250</v>
      </c>
      <c r="U1081" s="6" t="s">
        <v>252</v>
      </c>
      <c r="V1081" s="6" t="s">
        <v>246</v>
      </c>
      <c r="W1081" s="6" t="s">
        <v>158</v>
      </c>
      <c r="X1081" s="6" t="s">
        <v>257</v>
      </c>
      <c r="Y1081" s="6" t="s">
        <v>162</v>
      </c>
      <c r="Z1081" s="6" t="s">
        <v>165</v>
      </c>
      <c r="AA1081" s="6" t="s">
        <v>168</v>
      </c>
      <c r="AB1081" s="6" t="s">
        <v>171</v>
      </c>
      <c r="AC1081" s="6" t="s">
        <v>174</v>
      </c>
      <c r="AD1081" s="6" t="s">
        <v>175</v>
      </c>
      <c r="AE1081" s="6" t="s">
        <v>271</v>
      </c>
      <c r="AF1081" s="6" t="s">
        <v>181</v>
      </c>
      <c r="AG1081" s="6" t="s">
        <v>182</v>
      </c>
      <c r="AH1081" s="7"/>
      <c r="AI1081" s="7"/>
      <c r="AJ1081" s="7"/>
      <c r="AK1081" s="7"/>
      <c r="AL1081" s="7"/>
      <c r="AM1081" s="7"/>
      <c r="AN1081" s="7"/>
      <c r="AO1081" s="7"/>
      <c r="AP1081" s="7"/>
      <c r="AQ1081" s="7"/>
      <c r="AR1081" s="7"/>
      <c r="AS1081" s="7"/>
      <c r="AT1081" s="7"/>
      <c r="AU1081" s="7"/>
      <c r="AV1081" s="7"/>
      <c r="AW1081" s="7"/>
      <c r="AX1081" s="7"/>
      <c r="AY1081" s="7"/>
      <c r="AZ1081" s="7"/>
      <c r="BA1081" s="7"/>
      <c r="BB1081" s="7"/>
      <c r="BC1081" s="7"/>
      <c r="BD1081" s="7"/>
      <c r="BE1081" s="7"/>
      <c r="BF1081" s="7"/>
      <c r="BG1081" s="7"/>
      <c r="BH1081" s="7"/>
      <c r="BI1081" s="7"/>
      <c r="BJ1081" s="7"/>
      <c r="BK1081" s="7"/>
    </row>
    <row r="1082" ht="22.5" customHeight="1">
      <c r="A1082" s="4">
        <v>46229.70375313658</v>
      </c>
      <c r="B1082" s="5">
        <v>0.0</v>
      </c>
      <c r="C1082" s="6" t="s">
        <v>114</v>
      </c>
      <c r="D1082" s="6" t="s">
        <v>2235</v>
      </c>
      <c r="E1082" s="6" t="s">
        <v>2237</v>
      </c>
      <c r="F1082" s="6">
        <v>6.9070500622E10</v>
      </c>
      <c r="G1082" s="6" t="s">
        <v>6140</v>
      </c>
      <c r="H1082" s="6">
        <v>5.0</v>
      </c>
      <c r="I1082" s="6" t="s">
        <v>10733</v>
      </c>
      <c r="J1082" s="6" t="s">
        <v>9626</v>
      </c>
      <c r="K1082" s="6" t="s">
        <v>10734</v>
      </c>
      <c r="L1082" s="6" t="s">
        <v>10735</v>
      </c>
      <c r="M1082" s="6" t="s">
        <v>10736</v>
      </c>
      <c r="N1082" s="6" t="s">
        <v>10737</v>
      </c>
      <c r="O1082" s="6" t="s">
        <v>10738</v>
      </c>
      <c r="P1082" s="6" t="s">
        <v>10739</v>
      </c>
      <c r="Q1082" s="6" t="s">
        <v>10740</v>
      </c>
      <c r="R1082" s="6" t="s">
        <v>246</v>
      </c>
      <c r="S1082" s="6" t="s">
        <v>147</v>
      </c>
      <c r="T1082" s="6" t="s">
        <v>250</v>
      </c>
      <c r="U1082" s="6" t="s">
        <v>560</v>
      </c>
      <c r="V1082" s="6" t="s">
        <v>246</v>
      </c>
      <c r="W1082" s="6" t="s">
        <v>158</v>
      </c>
      <c r="X1082" s="6" t="s">
        <v>257</v>
      </c>
      <c r="Y1082" s="6" t="s">
        <v>162</v>
      </c>
      <c r="Z1082" s="6" t="s">
        <v>165</v>
      </c>
      <c r="AA1082" s="6" t="s">
        <v>262</v>
      </c>
      <c r="AB1082" s="6" t="s">
        <v>171</v>
      </c>
      <c r="AC1082" s="6" t="s">
        <v>174</v>
      </c>
      <c r="AD1082" s="6" t="s">
        <v>175</v>
      </c>
      <c r="AE1082" s="6" t="s">
        <v>271</v>
      </c>
      <c r="AF1082" s="6" t="s">
        <v>181</v>
      </c>
      <c r="AG1082" s="6" t="s">
        <v>182</v>
      </c>
      <c r="AH1082" s="7"/>
      <c r="AI1082" s="7"/>
      <c r="AJ1082" s="7"/>
      <c r="AK1082" s="7"/>
      <c r="AL1082" s="7"/>
      <c r="AM1082" s="7"/>
      <c r="AN1082" s="7"/>
      <c r="AO1082" s="7"/>
      <c r="AP1082" s="7"/>
      <c r="AQ1082" s="7"/>
      <c r="AR1082" s="7"/>
      <c r="AS1082" s="7"/>
      <c r="AT1082" s="7"/>
      <c r="AU1082" s="7"/>
      <c r="AV1082" s="7"/>
      <c r="AW1082" s="7"/>
      <c r="AX1082" s="7"/>
      <c r="AY1082" s="7"/>
      <c r="AZ1082" s="7"/>
      <c r="BA1082" s="7"/>
      <c r="BB1082" s="7"/>
      <c r="BC1082" s="7"/>
      <c r="BD1082" s="7"/>
      <c r="BE1082" s="7"/>
      <c r="BF1082" s="7"/>
      <c r="BG1082" s="7"/>
      <c r="BH1082" s="7"/>
      <c r="BI1082" s="7"/>
      <c r="BJ1082" s="7"/>
      <c r="BK1082" s="7"/>
    </row>
    <row r="1083" ht="22.5" customHeight="1">
      <c r="A1083" s="4">
        <v>46229.7037621412</v>
      </c>
      <c r="B1083" s="5">
        <v>0.0</v>
      </c>
      <c r="C1083" s="6" t="s">
        <v>114</v>
      </c>
      <c r="D1083" s="6" t="s">
        <v>2239</v>
      </c>
      <c r="E1083" s="6" t="s">
        <v>2241</v>
      </c>
      <c r="F1083" s="6">
        <v>6.9070500652E10</v>
      </c>
      <c r="G1083" s="6" t="s">
        <v>6140</v>
      </c>
      <c r="H1083" s="6" t="s">
        <v>10741</v>
      </c>
      <c r="I1083" s="6" t="s">
        <v>2122</v>
      </c>
      <c r="J1083" s="6" t="s">
        <v>10742</v>
      </c>
      <c r="K1083" s="6" t="s">
        <v>10169</v>
      </c>
      <c r="L1083" s="6" t="s">
        <v>7504</v>
      </c>
      <c r="M1083" s="6" t="s">
        <v>4316</v>
      </c>
      <c r="N1083" s="6" t="s">
        <v>9590</v>
      </c>
      <c r="O1083" s="6" t="s">
        <v>10743</v>
      </c>
      <c r="P1083" s="6" t="s">
        <v>10744</v>
      </c>
      <c r="Q1083" s="6" t="s">
        <v>10745</v>
      </c>
      <c r="R1083" s="6" t="s">
        <v>246</v>
      </c>
      <c r="S1083" s="6" t="s">
        <v>147</v>
      </c>
      <c r="T1083" s="6" t="s">
        <v>250</v>
      </c>
      <c r="U1083" s="6" t="s">
        <v>252</v>
      </c>
      <c r="V1083" s="6" t="s">
        <v>155</v>
      </c>
      <c r="W1083" s="6" t="s">
        <v>158</v>
      </c>
      <c r="X1083" s="6" t="s">
        <v>161</v>
      </c>
      <c r="Y1083" s="6" t="s">
        <v>162</v>
      </c>
      <c r="Z1083" s="6" t="s">
        <v>165</v>
      </c>
      <c r="AA1083" s="6" t="s">
        <v>262</v>
      </c>
      <c r="AB1083" s="6" t="s">
        <v>521</v>
      </c>
      <c r="AC1083" s="6" t="s">
        <v>2718</v>
      </c>
      <c r="AD1083" s="6" t="s">
        <v>1723</v>
      </c>
      <c r="AE1083" s="6" t="s">
        <v>271</v>
      </c>
      <c r="AF1083" s="6" t="s">
        <v>181</v>
      </c>
      <c r="AG1083" s="6" t="s">
        <v>182</v>
      </c>
      <c r="AH1083" s="7"/>
      <c r="AI1083" s="7"/>
      <c r="AJ1083" s="7"/>
      <c r="AK1083" s="7"/>
      <c r="AL1083" s="7"/>
      <c r="AM1083" s="7"/>
      <c r="AN1083" s="7"/>
      <c r="AO1083" s="7"/>
      <c r="AP1083" s="7"/>
      <c r="AQ1083" s="7"/>
      <c r="AR1083" s="7"/>
      <c r="AS1083" s="7"/>
      <c r="AT1083" s="7"/>
      <c r="AU1083" s="7"/>
      <c r="AV1083" s="7"/>
      <c r="AW1083" s="7"/>
      <c r="AX1083" s="7"/>
      <c r="AY1083" s="7"/>
      <c r="AZ1083" s="7"/>
      <c r="BA1083" s="7"/>
      <c r="BB1083" s="7"/>
      <c r="BC1083" s="7"/>
      <c r="BD1083" s="7"/>
      <c r="BE1083" s="7"/>
      <c r="BF1083" s="7"/>
      <c r="BG1083" s="7"/>
      <c r="BH1083" s="7"/>
      <c r="BI1083" s="7"/>
      <c r="BJ1083" s="7"/>
      <c r="BK1083" s="7"/>
    </row>
    <row r="1084" ht="22.5" customHeight="1">
      <c r="A1084" s="4">
        <v>46229.70376221064</v>
      </c>
      <c r="B1084" s="5">
        <v>0.0</v>
      </c>
      <c r="C1084" s="6" t="s">
        <v>3296</v>
      </c>
      <c r="D1084" s="7"/>
      <c r="E1084" s="7"/>
      <c r="F1084" s="7"/>
      <c r="G1084" s="7"/>
      <c r="H1084" s="7"/>
      <c r="I1084" s="7"/>
      <c r="J1084" s="7"/>
      <c r="K1084" s="7"/>
      <c r="L1084" s="7"/>
      <c r="M1084" s="7"/>
      <c r="N1084" s="7"/>
      <c r="O1084" s="7"/>
      <c r="P1084" s="7"/>
      <c r="Q1084" s="7"/>
      <c r="R1084" s="7"/>
      <c r="S1084" s="7"/>
      <c r="T1084" s="7"/>
      <c r="U1084" s="7"/>
      <c r="V1084" s="7"/>
      <c r="W1084" s="7"/>
      <c r="X1084" s="7"/>
      <c r="Y1084" s="7"/>
      <c r="Z1084" s="7"/>
      <c r="AA1084" s="7"/>
      <c r="AB1084" s="7"/>
      <c r="AC1084" s="7"/>
      <c r="AD1084" s="7"/>
      <c r="AE1084" s="7"/>
      <c r="AF1084" s="7"/>
      <c r="AG1084" s="7"/>
      <c r="AH1084" s="6" t="s">
        <v>2857</v>
      </c>
      <c r="AI1084" s="6" t="s">
        <v>2859</v>
      </c>
      <c r="AJ1084" s="6">
        <v>6.9070504016E10</v>
      </c>
      <c r="AK1084" s="6" t="s">
        <v>4331</v>
      </c>
      <c r="AL1084" s="6" t="s">
        <v>10746</v>
      </c>
      <c r="AM1084" s="6" t="s">
        <v>10747</v>
      </c>
      <c r="AN1084" s="6" t="s">
        <v>10748</v>
      </c>
      <c r="AO1084" s="6" t="s">
        <v>10749</v>
      </c>
      <c r="AP1084" s="6" t="s">
        <v>10750</v>
      </c>
      <c r="AQ1084" s="6" t="s">
        <v>10751</v>
      </c>
      <c r="AR1084" s="7"/>
      <c r="AS1084" s="6" t="s">
        <v>10752</v>
      </c>
      <c r="AT1084" s="6" t="s">
        <v>10753</v>
      </c>
      <c r="AU1084" s="6" t="s">
        <v>10754</v>
      </c>
      <c r="AV1084" s="6" t="s">
        <v>10755</v>
      </c>
      <c r="AW1084" s="6" t="s">
        <v>3307</v>
      </c>
      <c r="AX1084" s="6" t="s">
        <v>3887</v>
      </c>
      <c r="AY1084" s="6" t="s">
        <v>4067</v>
      </c>
      <c r="AZ1084" s="6" t="s">
        <v>3306</v>
      </c>
      <c r="BA1084" s="6" t="s">
        <v>3311</v>
      </c>
      <c r="BB1084" s="6" t="s">
        <v>6098</v>
      </c>
      <c r="BC1084" s="6" t="s">
        <v>3313</v>
      </c>
      <c r="BD1084" s="6" t="s">
        <v>165</v>
      </c>
      <c r="BE1084" s="6" t="s">
        <v>3888</v>
      </c>
      <c r="BF1084" s="6" t="s">
        <v>3315</v>
      </c>
      <c r="BG1084" s="6" t="s">
        <v>4068</v>
      </c>
      <c r="BH1084" s="6" t="s">
        <v>3317</v>
      </c>
      <c r="BI1084" s="6" t="s">
        <v>178</v>
      </c>
      <c r="BJ1084" s="6" t="s">
        <v>3318</v>
      </c>
      <c r="BK1084" s="6" t="s">
        <v>3319</v>
      </c>
    </row>
    <row r="1085" ht="22.5" customHeight="1">
      <c r="A1085" s="4">
        <v>46229.70378644676</v>
      </c>
      <c r="B1085" s="5">
        <v>0.0</v>
      </c>
      <c r="C1085" s="6" t="s">
        <v>114</v>
      </c>
      <c r="D1085" s="6" t="s">
        <v>2244</v>
      </c>
      <c r="E1085" s="6" t="s">
        <v>2246</v>
      </c>
      <c r="F1085" s="6">
        <v>6.9070508809E10</v>
      </c>
      <c r="G1085" s="6" t="s">
        <v>5399</v>
      </c>
      <c r="H1085" s="7"/>
      <c r="I1085" s="6" t="s">
        <v>10756</v>
      </c>
      <c r="J1085" s="6" t="s">
        <v>10757</v>
      </c>
      <c r="K1085" s="6" t="s">
        <v>10758</v>
      </c>
      <c r="L1085" s="6" t="s">
        <v>3122</v>
      </c>
      <c r="M1085" s="6" t="s">
        <v>10759</v>
      </c>
      <c r="N1085" s="6" t="s">
        <v>10760</v>
      </c>
      <c r="O1085" s="6" t="s">
        <v>10761</v>
      </c>
      <c r="P1085" s="6" t="s">
        <v>10762</v>
      </c>
      <c r="Q1085" s="6" t="s">
        <v>10763</v>
      </c>
      <c r="R1085" s="6" t="s">
        <v>246</v>
      </c>
      <c r="S1085" s="6" t="s">
        <v>147</v>
      </c>
      <c r="T1085" s="6" t="s">
        <v>250</v>
      </c>
      <c r="U1085" s="6" t="s">
        <v>252</v>
      </c>
      <c r="V1085" s="6" t="s">
        <v>246</v>
      </c>
      <c r="W1085" s="6" t="s">
        <v>158</v>
      </c>
      <c r="X1085" s="6" t="s">
        <v>257</v>
      </c>
      <c r="Y1085" s="6" t="s">
        <v>162</v>
      </c>
      <c r="Z1085" s="6" t="s">
        <v>165</v>
      </c>
      <c r="AA1085" s="6" t="s">
        <v>168</v>
      </c>
      <c r="AB1085" s="6" t="s">
        <v>171</v>
      </c>
      <c r="AC1085" s="6" t="s">
        <v>174</v>
      </c>
      <c r="AD1085" s="6" t="s">
        <v>175</v>
      </c>
      <c r="AE1085" s="6" t="s">
        <v>271</v>
      </c>
      <c r="AF1085" s="6" t="s">
        <v>181</v>
      </c>
      <c r="AG1085" s="6" t="s">
        <v>182</v>
      </c>
      <c r="AH1085" s="7"/>
      <c r="AI1085" s="7"/>
      <c r="AJ1085" s="7"/>
      <c r="AK1085" s="7"/>
      <c r="AL1085" s="7"/>
      <c r="AM1085" s="7"/>
      <c r="AN1085" s="7"/>
      <c r="AO1085" s="7"/>
      <c r="AP1085" s="7"/>
      <c r="AQ1085" s="7"/>
      <c r="AR1085" s="7"/>
      <c r="AS1085" s="7"/>
      <c r="AT1085" s="7"/>
      <c r="AU1085" s="7"/>
      <c r="AV1085" s="7"/>
      <c r="AW1085" s="7"/>
      <c r="AX1085" s="7"/>
      <c r="AY1085" s="7"/>
      <c r="AZ1085" s="7"/>
      <c r="BA1085" s="7"/>
      <c r="BB1085" s="7"/>
      <c r="BC1085" s="7"/>
      <c r="BD1085" s="7"/>
      <c r="BE1085" s="7"/>
      <c r="BF1085" s="7"/>
      <c r="BG1085" s="7"/>
      <c r="BH1085" s="7"/>
      <c r="BI1085" s="7"/>
      <c r="BJ1085" s="7"/>
      <c r="BK1085" s="7"/>
    </row>
    <row r="1086" ht="22.5" customHeight="1">
      <c r="A1086" s="4">
        <v>46229.70379144676</v>
      </c>
      <c r="B1086" s="5">
        <v>0.0</v>
      </c>
      <c r="C1086" s="6" t="s">
        <v>3296</v>
      </c>
      <c r="D1086" s="7"/>
      <c r="E1086" s="7"/>
      <c r="F1086" s="7"/>
      <c r="G1086" s="7"/>
      <c r="H1086" s="7"/>
      <c r="I1086" s="7"/>
      <c r="J1086" s="7"/>
      <c r="K1086" s="7"/>
      <c r="L1086" s="7"/>
      <c r="M1086" s="7"/>
      <c r="N1086" s="7"/>
      <c r="O1086" s="7"/>
      <c r="P1086" s="7"/>
      <c r="Q1086" s="7"/>
      <c r="R1086" s="7"/>
      <c r="S1086" s="7"/>
      <c r="T1086" s="7"/>
      <c r="U1086" s="7"/>
      <c r="V1086" s="7"/>
      <c r="W1086" s="7"/>
      <c r="X1086" s="7"/>
      <c r="Y1086" s="7"/>
      <c r="Z1086" s="7"/>
      <c r="AA1086" s="7"/>
      <c r="AB1086" s="7"/>
      <c r="AC1086" s="7"/>
      <c r="AD1086" s="7"/>
      <c r="AE1086" s="7"/>
      <c r="AF1086" s="7"/>
      <c r="AG1086" s="7"/>
      <c r="AH1086" s="6" t="s">
        <v>2861</v>
      </c>
      <c r="AI1086" s="6" t="s">
        <v>2862</v>
      </c>
      <c r="AJ1086" s="6">
        <v>6.9070504041E10</v>
      </c>
      <c r="AK1086" s="6" t="s">
        <v>4331</v>
      </c>
      <c r="AL1086" s="7"/>
      <c r="AM1086" s="6" t="s">
        <v>10764</v>
      </c>
      <c r="AN1086" s="6" t="s">
        <v>10765</v>
      </c>
      <c r="AO1086" s="6" t="s">
        <v>10766</v>
      </c>
      <c r="AP1086" s="6" t="s">
        <v>10767</v>
      </c>
      <c r="AQ1086" s="6" t="s">
        <v>10768</v>
      </c>
      <c r="AR1086" s="7"/>
      <c r="AS1086" s="6" t="s">
        <v>10769</v>
      </c>
      <c r="AT1086" s="6" t="s">
        <v>10770</v>
      </c>
      <c r="AU1086" s="6" t="s">
        <v>10771</v>
      </c>
      <c r="AV1086" s="6" t="s">
        <v>3306</v>
      </c>
      <c r="AW1086" s="6" t="s">
        <v>3307</v>
      </c>
      <c r="AX1086" s="6" t="s">
        <v>3887</v>
      </c>
      <c r="AY1086" s="6" t="s">
        <v>3309</v>
      </c>
      <c r="AZ1086" s="6" t="s">
        <v>3306</v>
      </c>
      <c r="BA1086" s="6" t="s">
        <v>3311</v>
      </c>
      <c r="BB1086" s="6" t="s">
        <v>3312</v>
      </c>
      <c r="BC1086" s="6" t="s">
        <v>3313</v>
      </c>
      <c r="BD1086" s="6" t="s">
        <v>165</v>
      </c>
      <c r="BE1086" s="6" t="s">
        <v>3888</v>
      </c>
      <c r="BF1086" s="6" t="s">
        <v>3315</v>
      </c>
      <c r="BG1086" s="6" t="s">
        <v>4068</v>
      </c>
      <c r="BH1086" s="6" t="s">
        <v>3317</v>
      </c>
      <c r="BI1086" s="6" t="s">
        <v>271</v>
      </c>
      <c r="BJ1086" s="6" t="s">
        <v>3318</v>
      </c>
      <c r="BK1086" s="6" t="s">
        <v>3319</v>
      </c>
    </row>
    <row r="1087" ht="22.5" customHeight="1">
      <c r="A1087" s="4">
        <v>46229.70381306713</v>
      </c>
      <c r="B1087" s="5">
        <v>0.0</v>
      </c>
      <c r="C1087" s="6" t="s">
        <v>114</v>
      </c>
      <c r="D1087" s="6" t="s">
        <v>2249</v>
      </c>
      <c r="E1087" s="6" t="s">
        <v>2250</v>
      </c>
      <c r="F1087" s="6">
        <v>6.9070508811E10</v>
      </c>
      <c r="G1087" s="6" t="s">
        <v>5399</v>
      </c>
      <c r="H1087" s="7"/>
      <c r="I1087" s="6" t="s">
        <v>9954</v>
      </c>
      <c r="J1087" s="6" t="s">
        <v>9953</v>
      </c>
      <c r="K1087" s="6" t="s">
        <v>10772</v>
      </c>
      <c r="L1087" s="6" t="s">
        <v>9956</v>
      </c>
      <c r="M1087" s="6" t="s">
        <v>9955</v>
      </c>
      <c r="N1087" s="6" t="s">
        <v>10773</v>
      </c>
      <c r="O1087" s="6" t="s">
        <v>10774</v>
      </c>
      <c r="P1087" s="6" t="s">
        <v>10775</v>
      </c>
      <c r="Q1087" s="6" t="s">
        <v>10776</v>
      </c>
      <c r="R1087" s="6" t="s">
        <v>246</v>
      </c>
      <c r="S1087" s="6" t="s">
        <v>147</v>
      </c>
      <c r="T1087" s="6" t="s">
        <v>246</v>
      </c>
      <c r="U1087" s="6" t="s">
        <v>686</v>
      </c>
      <c r="V1087" s="6" t="s">
        <v>246</v>
      </c>
      <c r="W1087" s="6" t="s">
        <v>158</v>
      </c>
      <c r="X1087" s="6" t="s">
        <v>257</v>
      </c>
      <c r="Y1087" s="6" t="s">
        <v>162</v>
      </c>
      <c r="Z1087" s="6" t="s">
        <v>165</v>
      </c>
      <c r="AA1087" s="6" t="s">
        <v>262</v>
      </c>
      <c r="AB1087" s="6" t="s">
        <v>521</v>
      </c>
      <c r="AC1087" s="6" t="s">
        <v>174</v>
      </c>
      <c r="AD1087" s="6" t="s">
        <v>175</v>
      </c>
      <c r="AE1087" s="6" t="s">
        <v>271</v>
      </c>
      <c r="AF1087" s="6" t="s">
        <v>181</v>
      </c>
      <c r="AG1087" s="6" t="s">
        <v>182</v>
      </c>
      <c r="AH1087" s="7"/>
      <c r="AI1087" s="7"/>
      <c r="AJ1087" s="7"/>
      <c r="AK1087" s="7"/>
      <c r="AL1087" s="7"/>
      <c r="AM1087" s="7"/>
      <c r="AN1087" s="7"/>
      <c r="AO1087" s="7"/>
      <c r="AP1087" s="7"/>
      <c r="AQ1087" s="7"/>
      <c r="AR1087" s="7"/>
      <c r="AS1087" s="7"/>
      <c r="AT1087" s="7"/>
      <c r="AU1087" s="7"/>
      <c r="AV1087" s="7"/>
      <c r="AW1087" s="7"/>
      <c r="AX1087" s="7"/>
      <c r="AY1087" s="7"/>
      <c r="AZ1087" s="7"/>
      <c r="BA1087" s="7"/>
      <c r="BB1087" s="7"/>
      <c r="BC1087" s="7"/>
      <c r="BD1087" s="7"/>
      <c r="BE1087" s="7"/>
      <c r="BF1087" s="7"/>
      <c r="BG1087" s="7"/>
      <c r="BH1087" s="7"/>
      <c r="BI1087" s="7"/>
      <c r="BJ1087" s="7"/>
      <c r="BK1087" s="7"/>
    </row>
    <row r="1088" ht="22.5" customHeight="1">
      <c r="A1088" s="4">
        <v>46229.703825625</v>
      </c>
      <c r="B1088" s="5">
        <v>0.0</v>
      </c>
      <c r="C1088" s="6" t="s">
        <v>3296</v>
      </c>
      <c r="D1088" s="7"/>
      <c r="E1088" s="7"/>
      <c r="F1088" s="7"/>
      <c r="G1088" s="7"/>
      <c r="H1088" s="7"/>
      <c r="I1088" s="7"/>
      <c r="J1088" s="7"/>
      <c r="K1088" s="7"/>
      <c r="L1088" s="7"/>
      <c r="M1088" s="7"/>
      <c r="N1088" s="7"/>
      <c r="O1088" s="7"/>
      <c r="P1088" s="7"/>
      <c r="Q1088" s="7"/>
      <c r="R1088" s="7"/>
      <c r="S1088" s="7"/>
      <c r="T1088" s="7"/>
      <c r="U1088" s="7"/>
      <c r="V1088" s="7"/>
      <c r="W1088" s="7"/>
      <c r="X1088" s="7"/>
      <c r="Y1088" s="7"/>
      <c r="Z1088" s="7"/>
      <c r="AA1088" s="7"/>
      <c r="AB1088" s="7"/>
      <c r="AC1088" s="7"/>
      <c r="AD1088" s="7"/>
      <c r="AE1088" s="7"/>
      <c r="AF1088" s="7"/>
      <c r="AG1088" s="7"/>
      <c r="AH1088" s="6" t="s">
        <v>2863</v>
      </c>
      <c r="AI1088" s="6" t="s">
        <v>2865</v>
      </c>
      <c r="AJ1088" s="6">
        <v>6.9070503439E10</v>
      </c>
      <c r="AK1088" s="6" t="s">
        <v>3297</v>
      </c>
      <c r="AL1088" s="7"/>
      <c r="AM1088" s="6" t="s">
        <v>10777</v>
      </c>
      <c r="AN1088" s="6" t="s">
        <v>10778</v>
      </c>
      <c r="AO1088" s="6" t="s">
        <v>10779</v>
      </c>
      <c r="AP1088" s="6" t="s">
        <v>10780</v>
      </c>
      <c r="AQ1088" s="6" t="s">
        <v>10781</v>
      </c>
      <c r="AR1088" s="7"/>
      <c r="AS1088" s="6" t="s">
        <v>10782</v>
      </c>
      <c r="AT1088" s="6" t="s">
        <v>10783</v>
      </c>
      <c r="AU1088" s="6" t="s">
        <v>10784</v>
      </c>
      <c r="AV1088" s="6" t="s">
        <v>3306</v>
      </c>
      <c r="AW1088" s="6" t="s">
        <v>3307</v>
      </c>
      <c r="AX1088" s="6" t="s">
        <v>3887</v>
      </c>
      <c r="AY1088" s="6" t="s">
        <v>4067</v>
      </c>
      <c r="AZ1088" s="6" t="s">
        <v>3306</v>
      </c>
      <c r="BA1088" s="6" t="s">
        <v>3311</v>
      </c>
      <c r="BB1088" s="6" t="s">
        <v>3312</v>
      </c>
      <c r="BC1088" s="6" t="s">
        <v>3313</v>
      </c>
      <c r="BD1088" s="6" t="s">
        <v>165</v>
      </c>
      <c r="BE1088" s="6" t="s">
        <v>3888</v>
      </c>
      <c r="BF1088" s="6" t="s">
        <v>3889</v>
      </c>
      <c r="BG1088" s="6" t="s">
        <v>4068</v>
      </c>
      <c r="BH1088" s="6" t="s">
        <v>3317</v>
      </c>
      <c r="BI1088" s="6" t="s">
        <v>271</v>
      </c>
      <c r="BJ1088" s="6" t="s">
        <v>3318</v>
      </c>
      <c r="BK1088" s="6" t="s">
        <v>3319</v>
      </c>
    </row>
    <row r="1089" ht="22.5" customHeight="1">
      <c r="A1089" s="4">
        <v>46229.70382902778</v>
      </c>
      <c r="B1089" s="5">
        <v>0.0</v>
      </c>
      <c r="C1089" s="6" t="s">
        <v>3296</v>
      </c>
      <c r="D1089" s="7"/>
      <c r="E1089" s="7"/>
      <c r="F1089" s="7"/>
      <c r="G1089" s="7"/>
      <c r="H1089" s="7"/>
      <c r="I1089" s="7"/>
      <c r="J1089" s="7"/>
      <c r="K1089" s="7"/>
      <c r="L1089" s="7"/>
      <c r="M1089" s="7"/>
      <c r="N1089" s="7"/>
      <c r="O1089" s="7"/>
      <c r="P1089" s="7"/>
      <c r="Q1089" s="7"/>
      <c r="R1089" s="7"/>
      <c r="S1089" s="7"/>
      <c r="T1089" s="7"/>
      <c r="U1089" s="7"/>
      <c r="V1089" s="7"/>
      <c r="W1089" s="7"/>
      <c r="X1089" s="7"/>
      <c r="Y1089" s="7"/>
      <c r="Z1089" s="7"/>
      <c r="AA1089" s="7"/>
      <c r="AB1089" s="7"/>
      <c r="AC1089" s="7"/>
      <c r="AD1089" s="7"/>
      <c r="AE1089" s="7"/>
      <c r="AF1089" s="7"/>
      <c r="AG1089" s="7"/>
      <c r="AH1089" s="6" t="s">
        <v>2866</v>
      </c>
      <c r="AI1089" s="6" t="s">
        <v>2867</v>
      </c>
      <c r="AJ1089" s="6">
        <v>6.9070508636E10</v>
      </c>
      <c r="AK1089" s="6" t="s">
        <v>9716</v>
      </c>
      <c r="AL1089" s="7"/>
      <c r="AM1089" s="6" t="s">
        <v>10785</v>
      </c>
      <c r="AN1089" s="6" t="s">
        <v>10786</v>
      </c>
      <c r="AO1089" s="6" t="s">
        <v>10787</v>
      </c>
      <c r="AP1089" s="6" t="s">
        <v>10788</v>
      </c>
      <c r="AQ1089" s="6" t="s">
        <v>10789</v>
      </c>
      <c r="AR1089" s="7"/>
      <c r="AS1089" s="6" t="s">
        <v>10790</v>
      </c>
      <c r="AT1089" s="6" t="s">
        <v>10791</v>
      </c>
      <c r="AU1089" s="6" t="s">
        <v>10791</v>
      </c>
      <c r="AV1089" s="6" t="s">
        <v>3312</v>
      </c>
      <c r="AW1089" s="6" t="s">
        <v>3307</v>
      </c>
      <c r="AX1089" s="6" t="s">
        <v>3306</v>
      </c>
      <c r="AY1089" s="6" t="s">
        <v>4067</v>
      </c>
      <c r="AZ1089" s="6" t="s">
        <v>3310</v>
      </c>
      <c r="BA1089" s="6" t="s">
        <v>3311</v>
      </c>
      <c r="BB1089" s="6" t="s">
        <v>4693</v>
      </c>
      <c r="BC1089" s="6" t="s">
        <v>3313</v>
      </c>
      <c r="BD1089" s="6" t="s">
        <v>165</v>
      </c>
      <c r="BE1089" s="6" t="s">
        <v>3314</v>
      </c>
      <c r="BF1089" s="6" t="s">
        <v>3315</v>
      </c>
      <c r="BG1089" s="6" t="s">
        <v>3316</v>
      </c>
      <c r="BH1089" s="6" t="s">
        <v>3317</v>
      </c>
      <c r="BI1089" s="6" t="s">
        <v>1211</v>
      </c>
      <c r="BJ1089" s="6" t="s">
        <v>3318</v>
      </c>
      <c r="BK1089" s="6" t="s">
        <v>4695</v>
      </c>
    </row>
    <row r="1090" ht="22.5" customHeight="1">
      <c r="A1090" s="4">
        <v>46229.70384288194</v>
      </c>
      <c r="B1090" s="5">
        <v>0.0</v>
      </c>
      <c r="C1090" s="6" t="s">
        <v>114</v>
      </c>
      <c r="D1090" s="6" t="s">
        <v>2252</v>
      </c>
      <c r="E1090" s="6" t="s">
        <v>2253</v>
      </c>
      <c r="F1090" s="6">
        <v>6.9070508807E10</v>
      </c>
      <c r="G1090" s="6" t="s">
        <v>5399</v>
      </c>
      <c r="H1090" s="7"/>
      <c r="I1090" s="6" t="s">
        <v>10792</v>
      </c>
      <c r="J1090" s="6" t="s">
        <v>9841</v>
      </c>
      <c r="K1090" s="6" t="s">
        <v>9955</v>
      </c>
      <c r="L1090" s="6" t="s">
        <v>9956</v>
      </c>
      <c r="M1090" s="6" t="s">
        <v>10793</v>
      </c>
      <c r="N1090" s="6" t="s">
        <v>5313</v>
      </c>
      <c r="O1090" s="6" t="s">
        <v>10794</v>
      </c>
      <c r="P1090" s="6" t="s">
        <v>10795</v>
      </c>
      <c r="Q1090" s="6" t="s">
        <v>10796</v>
      </c>
      <c r="R1090" s="6" t="s">
        <v>246</v>
      </c>
      <c r="S1090" s="6" t="s">
        <v>147</v>
      </c>
      <c r="T1090" s="6" t="s">
        <v>250</v>
      </c>
      <c r="U1090" s="6" t="s">
        <v>252</v>
      </c>
      <c r="V1090" s="6" t="s">
        <v>246</v>
      </c>
      <c r="W1090" s="6" t="s">
        <v>158</v>
      </c>
      <c r="X1090" s="6" t="s">
        <v>257</v>
      </c>
      <c r="Y1090" s="6" t="s">
        <v>162</v>
      </c>
      <c r="Z1090" s="6" t="s">
        <v>165</v>
      </c>
      <c r="AA1090" s="6" t="s">
        <v>262</v>
      </c>
      <c r="AB1090" s="6" t="s">
        <v>521</v>
      </c>
      <c r="AC1090" s="6" t="s">
        <v>174</v>
      </c>
      <c r="AD1090" s="6" t="s">
        <v>175</v>
      </c>
      <c r="AE1090" s="6" t="s">
        <v>271</v>
      </c>
      <c r="AF1090" s="6" t="s">
        <v>181</v>
      </c>
      <c r="AG1090" s="6" t="s">
        <v>182</v>
      </c>
      <c r="AH1090" s="7"/>
      <c r="AI1090" s="7"/>
      <c r="AJ1090" s="7"/>
      <c r="AK1090" s="7"/>
      <c r="AL1090" s="7"/>
      <c r="AM1090" s="7"/>
      <c r="AN1090" s="7"/>
      <c r="AO1090" s="7"/>
      <c r="AP1090" s="7"/>
      <c r="AQ1090" s="7"/>
      <c r="AR1090" s="7"/>
      <c r="AS1090" s="7"/>
      <c r="AT1090" s="7"/>
      <c r="AU1090" s="7"/>
      <c r="AV1090" s="7"/>
      <c r="AW1090" s="7"/>
      <c r="AX1090" s="7"/>
      <c r="AY1090" s="7"/>
      <c r="AZ1090" s="7"/>
      <c r="BA1090" s="7"/>
      <c r="BB1090" s="7"/>
      <c r="BC1090" s="7"/>
      <c r="BD1090" s="7"/>
      <c r="BE1090" s="7"/>
      <c r="BF1090" s="7"/>
      <c r="BG1090" s="7"/>
      <c r="BH1090" s="7"/>
      <c r="BI1090" s="7"/>
      <c r="BJ1090" s="7"/>
      <c r="BK1090" s="7"/>
    </row>
    <row r="1091" ht="22.5" customHeight="1">
      <c r="A1091" s="4">
        <v>46229.70387366899</v>
      </c>
      <c r="B1091" s="5">
        <v>0.0</v>
      </c>
      <c r="C1091" s="6" t="s">
        <v>114</v>
      </c>
      <c r="D1091" s="6" t="s">
        <v>2255</v>
      </c>
      <c r="E1091" s="6" t="s">
        <v>2256</v>
      </c>
      <c r="F1091" s="6">
        <v>6.9070500615E10</v>
      </c>
      <c r="G1091" s="6" t="s">
        <v>6140</v>
      </c>
      <c r="H1091" s="7"/>
      <c r="I1091" s="6" t="s">
        <v>3049</v>
      </c>
      <c r="J1091" s="6" t="s">
        <v>10797</v>
      </c>
      <c r="K1091" s="6" t="s">
        <v>10798</v>
      </c>
      <c r="L1091" s="6" t="s">
        <v>10799</v>
      </c>
      <c r="M1091" s="6" t="s">
        <v>10800</v>
      </c>
      <c r="N1091" s="7"/>
      <c r="O1091" s="6" t="s">
        <v>10801</v>
      </c>
      <c r="P1091" s="6" t="s">
        <v>10802</v>
      </c>
      <c r="Q1091" s="6" t="s">
        <v>10803</v>
      </c>
      <c r="R1091" s="6" t="s">
        <v>246</v>
      </c>
      <c r="S1091" s="6" t="s">
        <v>147</v>
      </c>
      <c r="T1091" s="6" t="s">
        <v>250</v>
      </c>
      <c r="U1091" s="6" t="s">
        <v>686</v>
      </c>
      <c r="V1091" s="6" t="s">
        <v>246</v>
      </c>
      <c r="W1091" s="6" t="s">
        <v>158</v>
      </c>
      <c r="X1091" s="6" t="s">
        <v>257</v>
      </c>
      <c r="Y1091" s="6" t="s">
        <v>162</v>
      </c>
      <c r="Z1091" s="6" t="s">
        <v>165</v>
      </c>
      <c r="AA1091" s="6" t="s">
        <v>262</v>
      </c>
      <c r="AB1091" s="6" t="s">
        <v>521</v>
      </c>
      <c r="AC1091" s="6" t="s">
        <v>174</v>
      </c>
      <c r="AD1091" s="6" t="s">
        <v>175</v>
      </c>
      <c r="AE1091" s="6" t="s">
        <v>271</v>
      </c>
      <c r="AF1091" s="6" t="s">
        <v>181</v>
      </c>
      <c r="AG1091" s="6" t="s">
        <v>182</v>
      </c>
      <c r="AH1091" s="7"/>
      <c r="AI1091" s="7"/>
      <c r="AJ1091" s="7"/>
      <c r="AK1091" s="7"/>
      <c r="AL1091" s="7"/>
      <c r="AM1091" s="7"/>
      <c r="AN1091" s="7"/>
      <c r="AO1091" s="7"/>
      <c r="AP1091" s="7"/>
      <c r="AQ1091" s="7"/>
      <c r="AR1091" s="7"/>
      <c r="AS1091" s="7"/>
      <c r="AT1091" s="7"/>
      <c r="AU1091" s="7"/>
      <c r="AV1091" s="7"/>
      <c r="AW1091" s="7"/>
      <c r="AX1091" s="7"/>
      <c r="AY1091" s="7"/>
      <c r="AZ1091" s="7"/>
      <c r="BA1091" s="7"/>
      <c r="BB1091" s="7"/>
      <c r="BC1091" s="7"/>
      <c r="BD1091" s="7"/>
      <c r="BE1091" s="7"/>
      <c r="BF1091" s="7"/>
      <c r="BG1091" s="7"/>
      <c r="BH1091" s="7"/>
      <c r="BI1091" s="7"/>
      <c r="BJ1091" s="7"/>
      <c r="BK1091" s="7"/>
    </row>
    <row r="1092" ht="22.5" customHeight="1">
      <c r="A1092" s="4">
        <v>46229.70387981481</v>
      </c>
      <c r="B1092" s="5">
        <v>0.0</v>
      </c>
      <c r="C1092" s="6" t="s">
        <v>114</v>
      </c>
      <c r="D1092" s="6" t="s">
        <v>2257</v>
      </c>
      <c r="E1092" s="6" t="s">
        <v>2258</v>
      </c>
      <c r="F1092" s="6">
        <v>6.9070500843E10</v>
      </c>
      <c r="G1092" s="6" t="s">
        <v>496</v>
      </c>
      <c r="H1092" s="7"/>
      <c r="I1092" s="6" t="s">
        <v>4542</v>
      </c>
      <c r="J1092" s="6" t="s">
        <v>10804</v>
      </c>
      <c r="K1092" s="6" t="s">
        <v>10805</v>
      </c>
      <c r="L1092" s="6" t="s">
        <v>10806</v>
      </c>
      <c r="M1092" s="6" t="s">
        <v>9758</v>
      </c>
      <c r="N1092" s="7"/>
      <c r="O1092" s="6" t="s">
        <v>10807</v>
      </c>
      <c r="P1092" s="6" t="s">
        <v>10808</v>
      </c>
      <c r="Q1092" s="6" t="s">
        <v>10809</v>
      </c>
      <c r="R1092" s="6" t="s">
        <v>246</v>
      </c>
      <c r="S1092" s="6" t="s">
        <v>147</v>
      </c>
      <c r="T1092" s="6" t="s">
        <v>250</v>
      </c>
      <c r="U1092" s="6" t="s">
        <v>252</v>
      </c>
      <c r="V1092" s="6" t="s">
        <v>246</v>
      </c>
      <c r="W1092" s="6" t="s">
        <v>158</v>
      </c>
      <c r="X1092" s="6" t="s">
        <v>257</v>
      </c>
      <c r="Y1092" s="6" t="s">
        <v>162</v>
      </c>
      <c r="Z1092" s="6" t="s">
        <v>165</v>
      </c>
      <c r="AA1092" s="6" t="s">
        <v>262</v>
      </c>
      <c r="AB1092" s="6" t="s">
        <v>521</v>
      </c>
      <c r="AC1092" s="6" t="s">
        <v>174</v>
      </c>
      <c r="AD1092" s="6" t="s">
        <v>175</v>
      </c>
      <c r="AE1092" s="6" t="s">
        <v>178</v>
      </c>
      <c r="AF1092" s="6" t="s">
        <v>181</v>
      </c>
      <c r="AG1092" s="6" t="s">
        <v>182</v>
      </c>
      <c r="AH1092" s="7"/>
      <c r="AI1092" s="7"/>
      <c r="AJ1092" s="7"/>
      <c r="AK1092" s="7"/>
      <c r="AL1092" s="7"/>
      <c r="AM1092" s="7"/>
      <c r="AN1092" s="7"/>
      <c r="AO1092" s="7"/>
      <c r="AP1092" s="7"/>
      <c r="AQ1092" s="7"/>
      <c r="AR1092" s="7"/>
      <c r="AS1092" s="7"/>
      <c r="AT1092" s="7"/>
      <c r="AU1092" s="7"/>
      <c r="AV1092" s="7"/>
      <c r="AW1092" s="7"/>
      <c r="AX1092" s="7"/>
      <c r="AY1092" s="7"/>
      <c r="AZ1092" s="7"/>
      <c r="BA1092" s="7"/>
      <c r="BB1092" s="7"/>
      <c r="BC1092" s="7"/>
      <c r="BD1092" s="7"/>
      <c r="BE1092" s="7"/>
      <c r="BF1092" s="7"/>
      <c r="BG1092" s="7"/>
      <c r="BH1092" s="7"/>
      <c r="BI1092" s="7"/>
      <c r="BJ1092" s="7"/>
      <c r="BK1092" s="7"/>
    </row>
    <row r="1093" ht="22.5" customHeight="1">
      <c r="A1093" s="4">
        <v>46229.703888414355</v>
      </c>
      <c r="B1093" s="5">
        <v>0.0</v>
      </c>
      <c r="C1093" s="6" t="s">
        <v>114</v>
      </c>
      <c r="D1093" s="6" t="s">
        <v>957</v>
      </c>
      <c r="E1093" s="6" t="s">
        <v>2259</v>
      </c>
      <c r="F1093" s="6">
        <v>6.9070501229E10</v>
      </c>
      <c r="G1093" s="6" t="s">
        <v>228</v>
      </c>
      <c r="H1093" s="7"/>
      <c r="I1093" s="6" t="s">
        <v>10810</v>
      </c>
      <c r="J1093" s="6" t="s">
        <v>10811</v>
      </c>
      <c r="K1093" s="6" t="s">
        <v>10812</v>
      </c>
      <c r="L1093" s="6" t="s">
        <v>10813</v>
      </c>
      <c r="M1093" s="6" t="s">
        <v>10814</v>
      </c>
      <c r="N1093" s="6" t="s">
        <v>10815</v>
      </c>
      <c r="O1093" s="6" t="s">
        <v>10816</v>
      </c>
      <c r="P1093" s="6" t="s">
        <v>10817</v>
      </c>
      <c r="Q1093" s="6" t="s">
        <v>10818</v>
      </c>
      <c r="R1093" s="6" t="s">
        <v>246</v>
      </c>
      <c r="S1093" s="6" t="s">
        <v>147</v>
      </c>
      <c r="T1093" s="6" t="s">
        <v>250</v>
      </c>
      <c r="U1093" s="6" t="s">
        <v>252</v>
      </c>
      <c r="V1093" s="6" t="s">
        <v>246</v>
      </c>
      <c r="W1093" s="6" t="s">
        <v>158</v>
      </c>
      <c r="X1093" s="6" t="s">
        <v>257</v>
      </c>
      <c r="Y1093" s="6" t="s">
        <v>162</v>
      </c>
      <c r="Z1093" s="6" t="s">
        <v>165</v>
      </c>
      <c r="AA1093" s="6" t="s">
        <v>641</v>
      </c>
      <c r="AB1093" s="6" t="s">
        <v>521</v>
      </c>
      <c r="AC1093" s="6" t="s">
        <v>174</v>
      </c>
      <c r="AD1093" s="6" t="s">
        <v>175</v>
      </c>
      <c r="AE1093" s="6" t="s">
        <v>271</v>
      </c>
      <c r="AF1093" s="6" t="s">
        <v>181</v>
      </c>
      <c r="AG1093" s="6" t="s">
        <v>182</v>
      </c>
      <c r="AH1093" s="7"/>
      <c r="AI1093" s="7"/>
      <c r="AJ1093" s="7"/>
      <c r="AK1093" s="7"/>
      <c r="AL1093" s="7"/>
      <c r="AM1093" s="7"/>
      <c r="AN1093" s="7"/>
      <c r="AO1093" s="7"/>
      <c r="AP1093" s="7"/>
      <c r="AQ1093" s="7"/>
      <c r="AR1093" s="7"/>
      <c r="AS1093" s="7"/>
      <c r="AT1093" s="7"/>
      <c r="AU1093" s="7"/>
      <c r="AV1093" s="7"/>
      <c r="AW1093" s="7"/>
      <c r="AX1093" s="7"/>
      <c r="AY1093" s="7"/>
      <c r="AZ1093" s="7"/>
      <c r="BA1093" s="7"/>
      <c r="BB1093" s="7"/>
      <c r="BC1093" s="7"/>
      <c r="BD1093" s="7"/>
      <c r="BE1093" s="7"/>
      <c r="BF1093" s="7"/>
      <c r="BG1093" s="7"/>
      <c r="BH1093" s="7"/>
      <c r="BI1093" s="7"/>
      <c r="BJ1093" s="7"/>
      <c r="BK1093" s="7"/>
    </row>
    <row r="1094" ht="22.5" customHeight="1">
      <c r="A1094" s="4">
        <v>46229.70390172454</v>
      </c>
      <c r="B1094" s="5">
        <v>0.0</v>
      </c>
      <c r="C1094" s="6" t="s">
        <v>114</v>
      </c>
      <c r="D1094" s="6" t="s">
        <v>2260</v>
      </c>
      <c r="E1094" s="6" t="s">
        <v>2261</v>
      </c>
      <c r="F1094" s="6">
        <v>6.9070500083E10</v>
      </c>
      <c r="G1094" s="6" t="s">
        <v>4580</v>
      </c>
      <c r="H1094" s="6" t="s">
        <v>10819</v>
      </c>
      <c r="I1094" s="6" t="s">
        <v>10820</v>
      </c>
      <c r="J1094" s="6" t="s">
        <v>10821</v>
      </c>
      <c r="K1094" s="6" t="s">
        <v>10822</v>
      </c>
      <c r="L1094" s="6" t="s">
        <v>10823</v>
      </c>
      <c r="M1094" s="6" t="s">
        <v>10824</v>
      </c>
      <c r="N1094" s="6" t="s">
        <v>10825</v>
      </c>
      <c r="O1094" s="6" t="s">
        <v>10826</v>
      </c>
      <c r="P1094" s="6" t="s">
        <v>10827</v>
      </c>
      <c r="Q1094" s="6" t="s">
        <v>10828</v>
      </c>
      <c r="R1094" s="6" t="s">
        <v>246</v>
      </c>
      <c r="S1094" s="6" t="s">
        <v>147</v>
      </c>
      <c r="T1094" s="6" t="s">
        <v>250</v>
      </c>
      <c r="U1094" s="6" t="s">
        <v>686</v>
      </c>
      <c r="V1094" s="6" t="s">
        <v>246</v>
      </c>
      <c r="W1094" s="6" t="s">
        <v>158</v>
      </c>
      <c r="X1094" s="6" t="s">
        <v>257</v>
      </c>
      <c r="Y1094" s="6" t="s">
        <v>162</v>
      </c>
      <c r="Z1094" s="6" t="s">
        <v>165</v>
      </c>
      <c r="AA1094" s="6" t="s">
        <v>262</v>
      </c>
      <c r="AB1094" s="6" t="s">
        <v>171</v>
      </c>
      <c r="AC1094" s="6" t="s">
        <v>174</v>
      </c>
      <c r="AD1094" s="6" t="s">
        <v>175</v>
      </c>
      <c r="AE1094" s="6" t="s">
        <v>271</v>
      </c>
      <c r="AF1094" s="6" t="s">
        <v>181</v>
      </c>
      <c r="AG1094" s="6" t="s">
        <v>182</v>
      </c>
      <c r="AH1094" s="7"/>
      <c r="AI1094" s="7"/>
      <c r="AJ1094" s="7"/>
      <c r="AK1094" s="7"/>
      <c r="AL1094" s="7"/>
      <c r="AM1094" s="7"/>
      <c r="AN1094" s="7"/>
      <c r="AO1094" s="7"/>
      <c r="AP1094" s="7"/>
      <c r="AQ1094" s="7"/>
      <c r="AR1094" s="7"/>
      <c r="AS1094" s="7"/>
      <c r="AT1094" s="7"/>
      <c r="AU1094" s="7"/>
      <c r="AV1094" s="7"/>
      <c r="AW1094" s="7"/>
      <c r="AX1094" s="7"/>
      <c r="AY1094" s="7"/>
      <c r="AZ1094" s="7"/>
      <c r="BA1094" s="7"/>
      <c r="BB1094" s="7"/>
      <c r="BC1094" s="7"/>
      <c r="BD1094" s="7"/>
      <c r="BE1094" s="7"/>
      <c r="BF1094" s="7"/>
      <c r="BG1094" s="7"/>
      <c r="BH1094" s="7"/>
      <c r="BI1094" s="7"/>
      <c r="BJ1094" s="7"/>
      <c r="BK1094" s="7"/>
    </row>
    <row r="1095" ht="22.5" customHeight="1">
      <c r="A1095" s="4">
        <v>46229.70390966436</v>
      </c>
      <c r="B1095" s="5">
        <v>0.0</v>
      </c>
      <c r="C1095" s="6" t="s">
        <v>3296</v>
      </c>
      <c r="D1095" s="7"/>
      <c r="E1095" s="7"/>
      <c r="F1095" s="7"/>
      <c r="G1095" s="7"/>
      <c r="H1095" s="7"/>
      <c r="I1095" s="7"/>
      <c r="J1095" s="7"/>
      <c r="K1095" s="7"/>
      <c r="L1095" s="7"/>
      <c r="M1095" s="7"/>
      <c r="N1095" s="7"/>
      <c r="O1095" s="7"/>
      <c r="P1095" s="7"/>
      <c r="Q1095" s="7"/>
      <c r="R1095" s="7"/>
      <c r="S1095" s="7"/>
      <c r="T1095" s="7"/>
      <c r="U1095" s="7"/>
      <c r="V1095" s="7"/>
      <c r="W1095" s="7"/>
      <c r="X1095" s="7"/>
      <c r="Y1095" s="7"/>
      <c r="Z1095" s="7"/>
      <c r="AA1095" s="7"/>
      <c r="AB1095" s="7"/>
      <c r="AC1095" s="7"/>
      <c r="AD1095" s="7"/>
      <c r="AE1095" s="7"/>
      <c r="AF1095" s="7"/>
      <c r="AG1095" s="7"/>
      <c r="AH1095" s="6" t="s">
        <v>2869</v>
      </c>
      <c r="AI1095" s="6" t="s">
        <v>2871</v>
      </c>
      <c r="AJ1095" s="6">
        <v>6.9070503268E10</v>
      </c>
      <c r="AK1095" s="6" t="s">
        <v>9323</v>
      </c>
      <c r="AL1095" s="7"/>
      <c r="AM1095" s="6" t="s">
        <v>10829</v>
      </c>
      <c r="AN1095" s="6" t="s">
        <v>10830</v>
      </c>
      <c r="AO1095" s="6" t="s">
        <v>10831</v>
      </c>
      <c r="AP1095" s="6" t="s">
        <v>10832</v>
      </c>
      <c r="AQ1095" s="6" t="s">
        <v>10833</v>
      </c>
      <c r="AR1095" s="6" t="s">
        <v>10834</v>
      </c>
      <c r="AS1095" s="6" t="s">
        <v>10835</v>
      </c>
      <c r="AT1095" s="6" t="s">
        <v>10836</v>
      </c>
      <c r="AU1095" s="6" t="s">
        <v>10837</v>
      </c>
      <c r="AV1095" s="6" t="s">
        <v>3306</v>
      </c>
      <c r="AW1095" s="6" t="s">
        <v>3307</v>
      </c>
      <c r="AX1095" s="6" t="s">
        <v>3312</v>
      </c>
      <c r="AY1095" s="6" t="s">
        <v>804</v>
      </c>
      <c r="AZ1095" s="6" t="s">
        <v>3310</v>
      </c>
      <c r="BA1095" s="6" t="s">
        <v>7204</v>
      </c>
      <c r="BB1095" s="6" t="s">
        <v>4693</v>
      </c>
      <c r="BC1095" s="6" t="s">
        <v>3313</v>
      </c>
      <c r="BD1095" s="6" t="s">
        <v>804</v>
      </c>
      <c r="BE1095" s="6" t="s">
        <v>5631</v>
      </c>
      <c r="BF1095" s="6" t="s">
        <v>5052</v>
      </c>
      <c r="BG1095" s="6" t="s">
        <v>3316</v>
      </c>
      <c r="BH1095" s="6" t="s">
        <v>5761</v>
      </c>
      <c r="BI1095" s="6" t="s">
        <v>524</v>
      </c>
      <c r="BJ1095" s="6" t="s">
        <v>4342</v>
      </c>
      <c r="BK1095" s="6" t="s">
        <v>7178</v>
      </c>
    </row>
    <row r="1096" ht="22.5" customHeight="1">
      <c r="A1096" s="4">
        <v>46229.70392644676</v>
      </c>
      <c r="B1096" s="5">
        <v>0.0</v>
      </c>
      <c r="C1096" s="6" t="s">
        <v>114</v>
      </c>
      <c r="D1096" s="6" t="s">
        <v>2262</v>
      </c>
      <c r="E1096" s="6" t="s">
        <v>2263</v>
      </c>
      <c r="F1096" s="6">
        <v>6.907050881E10</v>
      </c>
      <c r="G1096" s="6" t="s">
        <v>5399</v>
      </c>
      <c r="H1096" s="7"/>
      <c r="I1096" s="6" t="s">
        <v>10838</v>
      </c>
      <c r="J1096" s="6" t="s">
        <v>10839</v>
      </c>
      <c r="K1096" s="6" t="s">
        <v>10840</v>
      </c>
      <c r="L1096" s="6" t="s">
        <v>9136</v>
      </c>
      <c r="M1096" s="6" t="s">
        <v>10841</v>
      </c>
      <c r="N1096" s="7"/>
      <c r="O1096" s="6" t="s">
        <v>10842</v>
      </c>
      <c r="P1096" s="6" t="s">
        <v>10843</v>
      </c>
      <c r="Q1096" s="6" t="s">
        <v>10843</v>
      </c>
      <c r="R1096" s="6" t="s">
        <v>246</v>
      </c>
      <c r="S1096" s="6" t="s">
        <v>147</v>
      </c>
      <c r="T1096" s="6" t="s">
        <v>250</v>
      </c>
      <c r="U1096" s="6" t="s">
        <v>560</v>
      </c>
      <c r="V1096" s="6" t="s">
        <v>155</v>
      </c>
      <c r="W1096" s="6" t="s">
        <v>158</v>
      </c>
      <c r="X1096" s="6" t="s">
        <v>257</v>
      </c>
      <c r="Y1096" s="6" t="s">
        <v>162</v>
      </c>
      <c r="Z1096" s="6" t="s">
        <v>165</v>
      </c>
      <c r="AA1096" s="6" t="s">
        <v>262</v>
      </c>
      <c r="AB1096" s="6" t="s">
        <v>521</v>
      </c>
      <c r="AC1096" s="6" t="s">
        <v>174</v>
      </c>
      <c r="AD1096" s="6" t="s">
        <v>175</v>
      </c>
      <c r="AE1096" s="6" t="s">
        <v>271</v>
      </c>
      <c r="AF1096" s="6" t="s">
        <v>181</v>
      </c>
      <c r="AG1096" s="6" t="s">
        <v>182</v>
      </c>
      <c r="AH1096" s="7"/>
      <c r="AI1096" s="7"/>
      <c r="AJ1096" s="7"/>
      <c r="AK1096" s="7"/>
      <c r="AL1096" s="7"/>
      <c r="AM1096" s="7"/>
      <c r="AN1096" s="7"/>
      <c r="AO1096" s="7"/>
      <c r="AP1096" s="7"/>
      <c r="AQ1096" s="7"/>
      <c r="AR1096" s="7"/>
      <c r="AS1096" s="7"/>
      <c r="AT1096" s="7"/>
      <c r="AU1096" s="7"/>
      <c r="AV1096" s="7"/>
      <c r="AW1096" s="7"/>
      <c r="AX1096" s="7"/>
      <c r="AY1096" s="7"/>
      <c r="AZ1096" s="7"/>
      <c r="BA1096" s="7"/>
      <c r="BB1096" s="7"/>
      <c r="BC1096" s="7"/>
      <c r="BD1096" s="7"/>
      <c r="BE1096" s="7"/>
      <c r="BF1096" s="7"/>
      <c r="BG1096" s="7"/>
      <c r="BH1096" s="7"/>
      <c r="BI1096" s="7"/>
      <c r="BJ1096" s="7"/>
      <c r="BK1096" s="7"/>
    </row>
    <row r="1097" ht="22.5" customHeight="1">
      <c r="A1097" s="4">
        <v>46229.70395018518</v>
      </c>
      <c r="B1097" s="5">
        <v>0.0</v>
      </c>
      <c r="C1097" s="6" t="s">
        <v>114</v>
      </c>
      <c r="D1097" s="6" t="s">
        <v>869</v>
      </c>
      <c r="E1097" s="6" t="s">
        <v>2264</v>
      </c>
      <c r="F1097" s="6">
        <v>6.9070500692E10</v>
      </c>
      <c r="G1097" s="6" t="s">
        <v>6140</v>
      </c>
      <c r="H1097" s="7"/>
      <c r="I1097" s="6" t="s">
        <v>10844</v>
      </c>
      <c r="J1097" s="6" t="s">
        <v>10845</v>
      </c>
      <c r="K1097" s="6" t="s">
        <v>10846</v>
      </c>
      <c r="L1097" s="6" t="s">
        <v>3458</v>
      </c>
      <c r="M1097" s="6" t="s">
        <v>10847</v>
      </c>
      <c r="N1097" s="7"/>
      <c r="O1097" s="6" t="s">
        <v>10848</v>
      </c>
      <c r="P1097" s="6" t="s">
        <v>10849</v>
      </c>
      <c r="Q1097" s="6" t="s">
        <v>10850</v>
      </c>
      <c r="R1097" s="6" t="s">
        <v>246</v>
      </c>
      <c r="S1097" s="6" t="s">
        <v>1148</v>
      </c>
      <c r="T1097" s="6" t="s">
        <v>516</v>
      </c>
      <c r="U1097" s="6" t="s">
        <v>2254</v>
      </c>
      <c r="V1097" s="6" t="s">
        <v>246</v>
      </c>
      <c r="W1097" s="6" t="s">
        <v>158</v>
      </c>
      <c r="X1097" s="6" t="s">
        <v>257</v>
      </c>
      <c r="Y1097" s="6" t="s">
        <v>162</v>
      </c>
      <c r="Z1097" s="6" t="s">
        <v>165</v>
      </c>
      <c r="AA1097" s="6" t="s">
        <v>168</v>
      </c>
      <c r="AB1097" s="6" t="s">
        <v>171</v>
      </c>
      <c r="AC1097" s="6" t="s">
        <v>174</v>
      </c>
      <c r="AD1097" s="6" t="s">
        <v>635</v>
      </c>
      <c r="AE1097" s="6" t="s">
        <v>178</v>
      </c>
      <c r="AF1097" s="6" t="s">
        <v>181</v>
      </c>
      <c r="AG1097" s="6" t="s">
        <v>182</v>
      </c>
      <c r="AH1097" s="7"/>
      <c r="AI1097" s="7"/>
      <c r="AJ1097" s="7"/>
      <c r="AK1097" s="7"/>
      <c r="AL1097" s="7"/>
      <c r="AM1097" s="7"/>
      <c r="AN1097" s="7"/>
      <c r="AO1097" s="7"/>
      <c r="AP1097" s="7"/>
      <c r="AQ1097" s="7"/>
      <c r="AR1097" s="7"/>
      <c r="AS1097" s="7"/>
      <c r="AT1097" s="7"/>
      <c r="AU1097" s="7"/>
      <c r="AV1097" s="7"/>
      <c r="AW1097" s="7"/>
      <c r="AX1097" s="7"/>
      <c r="AY1097" s="7"/>
      <c r="AZ1097" s="7"/>
      <c r="BA1097" s="7"/>
      <c r="BB1097" s="7"/>
      <c r="BC1097" s="7"/>
      <c r="BD1097" s="7"/>
      <c r="BE1097" s="7"/>
      <c r="BF1097" s="7"/>
      <c r="BG1097" s="7"/>
      <c r="BH1097" s="7"/>
      <c r="BI1097" s="7"/>
      <c r="BJ1097" s="7"/>
      <c r="BK1097" s="7"/>
    </row>
    <row r="1098" ht="22.5" customHeight="1">
      <c r="A1098" s="4">
        <v>46229.70395026621</v>
      </c>
      <c r="B1098" s="5">
        <v>0.0</v>
      </c>
      <c r="C1098" s="6" t="s">
        <v>114</v>
      </c>
      <c r="D1098" s="6" t="s">
        <v>2265</v>
      </c>
      <c r="E1098" s="6" t="s">
        <v>2266</v>
      </c>
      <c r="F1098" s="6">
        <v>6.907050885E10</v>
      </c>
      <c r="G1098" s="6" t="s">
        <v>5399</v>
      </c>
      <c r="H1098" s="7"/>
      <c r="I1098" s="6" t="s">
        <v>10210</v>
      </c>
      <c r="J1098" s="6" t="s">
        <v>10851</v>
      </c>
      <c r="K1098" s="6" t="s">
        <v>6874</v>
      </c>
      <c r="L1098" s="6" t="s">
        <v>10852</v>
      </c>
      <c r="M1098" s="6" t="s">
        <v>10853</v>
      </c>
      <c r="N1098" s="7"/>
      <c r="O1098" s="6" t="s">
        <v>10854</v>
      </c>
      <c r="P1098" s="6" t="s">
        <v>10855</v>
      </c>
      <c r="Q1098" s="6" t="s">
        <v>10856</v>
      </c>
      <c r="R1098" s="6" t="s">
        <v>145</v>
      </c>
      <c r="S1098" s="6" t="s">
        <v>147</v>
      </c>
      <c r="T1098" s="6" t="s">
        <v>250</v>
      </c>
      <c r="U1098" s="6" t="s">
        <v>252</v>
      </c>
      <c r="V1098" s="6" t="s">
        <v>246</v>
      </c>
      <c r="W1098" s="6" t="s">
        <v>158</v>
      </c>
      <c r="X1098" s="6" t="s">
        <v>257</v>
      </c>
      <c r="Y1098" s="6" t="s">
        <v>162</v>
      </c>
      <c r="Z1098" s="6" t="s">
        <v>165</v>
      </c>
      <c r="AA1098" s="6" t="s">
        <v>262</v>
      </c>
      <c r="AB1098" s="6" t="s">
        <v>521</v>
      </c>
      <c r="AC1098" s="6" t="s">
        <v>174</v>
      </c>
      <c r="AD1098" s="6" t="s">
        <v>175</v>
      </c>
      <c r="AE1098" s="6" t="s">
        <v>271</v>
      </c>
      <c r="AF1098" s="6" t="s">
        <v>181</v>
      </c>
      <c r="AG1098" s="6" t="s">
        <v>182</v>
      </c>
      <c r="AH1098" s="7"/>
      <c r="AI1098" s="7"/>
      <c r="AJ1098" s="7"/>
      <c r="AK1098" s="7"/>
      <c r="AL1098" s="7"/>
      <c r="AM1098" s="7"/>
      <c r="AN1098" s="7"/>
      <c r="AO1098" s="7"/>
      <c r="AP1098" s="7"/>
      <c r="AQ1098" s="7"/>
      <c r="AR1098" s="7"/>
      <c r="AS1098" s="7"/>
      <c r="AT1098" s="7"/>
      <c r="AU1098" s="7"/>
      <c r="AV1098" s="7"/>
      <c r="AW1098" s="7"/>
      <c r="AX1098" s="7"/>
      <c r="AY1098" s="7"/>
      <c r="AZ1098" s="7"/>
      <c r="BA1098" s="7"/>
      <c r="BB1098" s="7"/>
      <c r="BC1098" s="7"/>
      <c r="BD1098" s="7"/>
      <c r="BE1098" s="7"/>
      <c r="BF1098" s="7"/>
      <c r="BG1098" s="7"/>
      <c r="BH1098" s="7"/>
      <c r="BI1098" s="7"/>
      <c r="BJ1098" s="7"/>
      <c r="BK1098" s="7"/>
    </row>
    <row r="1099" ht="22.5" customHeight="1">
      <c r="A1099" s="4">
        <v>46229.70395710648</v>
      </c>
      <c r="B1099" s="5">
        <v>0.0</v>
      </c>
      <c r="C1099" s="6" t="s">
        <v>3296</v>
      </c>
      <c r="D1099" s="7"/>
      <c r="E1099" s="7"/>
      <c r="F1099" s="7"/>
      <c r="G1099" s="7"/>
      <c r="H1099" s="7"/>
      <c r="I1099" s="7"/>
      <c r="J1099" s="7"/>
      <c r="K1099" s="7"/>
      <c r="L1099" s="7"/>
      <c r="M1099" s="7"/>
      <c r="N1099" s="7"/>
      <c r="O1099" s="7"/>
      <c r="P1099" s="7"/>
      <c r="Q1099" s="7"/>
      <c r="R1099" s="7"/>
      <c r="S1099" s="7"/>
      <c r="T1099" s="7"/>
      <c r="U1099" s="7"/>
      <c r="V1099" s="7"/>
      <c r="W1099" s="7"/>
      <c r="X1099" s="7"/>
      <c r="Y1099" s="7"/>
      <c r="Z1099" s="7"/>
      <c r="AA1099" s="7"/>
      <c r="AB1099" s="7"/>
      <c r="AC1099" s="7"/>
      <c r="AD1099" s="7"/>
      <c r="AE1099" s="7"/>
      <c r="AF1099" s="7"/>
      <c r="AG1099" s="7"/>
      <c r="AH1099" s="6" t="s">
        <v>2873</v>
      </c>
      <c r="AI1099" s="6" t="s">
        <v>2874</v>
      </c>
      <c r="AJ1099" s="6">
        <v>6.9070503431E10</v>
      </c>
      <c r="AK1099" s="6" t="s">
        <v>3297</v>
      </c>
      <c r="AL1099" s="7"/>
      <c r="AM1099" s="6" t="s">
        <v>10857</v>
      </c>
      <c r="AN1099" s="6" t="s">
        <v>10858</v>
      </c>
      <c r="AO1099" s="6" t="s">
        <v>10859</v>
      </c>
      <c r="AP1099" s="6" t="s">
        <v>10860</v>
      </c>
      <c r="AQ1099" s="6" t="s">
        <v>10861</v>
      </c>
      <c r="AR1099" s="7"/>
      <c r="AS1099" s="6" t="s">
        <v>10862</v>
      </c>
      <c r="AT1099" s="6" t="s">
        <v>10863</v>
      </c>
      <c r="AU1099" s="6" t="s">
        <v>10864</v>
      </c>
      <c r="AV1099" s="6" t="s">
        <v>3306</v>
      </c>
      <c r="AW1099" s="6" t="s">
        <v>3307</v>
      </c>
      <c r="AX1099" s="6" t="s">
        <v>3887</v>
      </c>
      <c r="AY1099" s="6" t="s">
        <v>4067</v>
      </c>
      <c r="AZ1099" s="6" t="s">
        <v>3306</v>
      </c>
      <c r="BA1099" s="6" t="s">
        <v>3311</v>
      </c>
      <c r="BB1099" s="6" t="s">
        <v>3312</v>
      </c>
      <c r="BC1099" s="6" t="s">
        <v>3313</v>
      </c>
      <c r="BD1099" s="6" t="s">
        <v>165</v>
      </c>
      <c r="BE1099" s="6" t="s">
        <v>3888</v>
      </c>
      <c r="BF1099" s="6" t="s">
        <v>3889</v>
      </c>
      <c r="BG1099" s="6" t="s">
        <v>4068</v>
      </c>
      <c r="BH1099" s="6" t="s">
        <v>3317</v>
      </c>
      <c r="BI1099" s="6" t="s">
        <v>271</v>
      </c>
      <c r="BJ1099" s="6" t="s">
        <v>3318</v>
      </c>
      <c r="BK1099" s="6" t="s">
        <v>3319</v>
      </c>
    </row>
    <row r="1100" ht="22.5" customHeight="1">
      <c r="A1100" s="4">
        <v>46229.70396321759</v>
      </c>
      <c r="B1100" s="5">
        <v>0.0</v>
      </c>
      <c r="C1100" s="6" t="s">
        <v>114</v>
      </c>
      <c r="D1100" s="6" t="s">
        <v>2267</v>
      </c>
      <c r="E1100" s="6" t="s">
        <v>2268</v>
      </c>
      <c r="F1100" s="6">
        <v>6.9070509835E10</v>
      </c>
      <c r="G1100" s="6" t="s">
        <v>496</v>
      </c>
      <c r="H1100" s="7"/>
      <c r="I1100" s="6" t="s">
        <v>10865</v>
      </c>
      <c r="J1100" s="6" t="s">
        <v>10866</v>
      </c>
      <c r="K1100" s="6" t="s">
        <v>10867</v>
      </c>
      <c r="L1100" s="6" t="s">
        <v>10868</v>
      </c>
      <c r="M1100" s="6" t="s">
        <v>10869</v>
      </c>
      <c r="N1100" s="7"/>
      <c r="O1100" s="6" t="s">
        <v>10870</v>
      </c>
      <c r="P1100" s="6" t="s">
        <v>10871</v>
      </c>
      <c r="Q1100" s="6" t="s">
        <v>10872</v>
      </c>
      <c r="R1100" s="6" t="s">
        <v>257</v>
      </c>
      <c r="S1100" s="6" t="s">
        <v>147</v>
      </c>
      <c r="T1100" s="6" t="s">
        <v>246</v>
      </c>
      <c r="U1100" s="6" t="s">
        <v>252</v>
      </c>
      <c r="V1100" s="6" t="s">
        <v>155</v>
      </c>
      <c r="W1100" s="6" t="s">
        <v>158</v>
      </c>
      <c r="X1100" s="6" t="s">
        <v>458</v>
      </c>
      <c r="Y1100" s="6" t="s">
        <v>162</v>
      </c>
      <c r="Z1100" s="6" t="s">
        <v>165</v>
      </c>
      <c r="AA1100" s="6" t="s">
        <v>641</v>
      </c>
      <c r="AB1100" s="6" t="s">
        <v>171</v>
      </c>
      <c r="AC1100" s="6" t="s">
        <v>1210</v>
      </c>
      <c r="AD1100" s="6" t="s">
        <v>635</v>
      </c>
      <c r="AE1100" s="6" t="s">
        <v>178</v>
      </c>
      <c r="AF1100" s="6" t="s">
        <v>811</v>
      </c>
      <c r="AG1100" s="6" t="s">
        <v>182</v>
      </c>
      <c r="AH1100" s="7"/>
      <c r="AI1100" s="7"/>
      <c r="AJ1100" s="7"/>
      <c r="AK1100" s="7"/>
      <c r="AL1100" s="7"/>
      <c r="AM1100" s="7"/>
      <c r="AN1100" s="7"/>
      <c r="AO1100" s="7"/>
      <c r="AP1100" s="7"/>
      <c r="AQ1100" s="7"/>
      <c r="AR1100" s="7"/>
      <c r="AS1100" s="7"/>
      <c r="AT1100" s="7"/>
      <c r="AU1100" s="7"/>
      <c r="AV1100" s="7"/>
      <c r="AW1100" s="7"/>
      <c r="AX1100" s="7"/>
      <c r="AY1100" s="7"/>
      <c r="AZ1100" s="7"/>
      <c r="BA1100" s="7"/>
      <c r="BB1100" s="7"/>
      <c r="BC1100" s="7"/>
      <c r="BD1100" s="7"/>
      <c r="BE1100" s="7"/>
      <c r="BF1100" s="7"/>
      <c r="BG1100" s="7"/>
      <c r="BH1100" s="7"/>
      <c r="BI1100" s="7"/>
      <c r="BJ1100" s="7"/>
      <c r="BK1100" s="7"/>
    </row>
    <row r="1101" ht="22.5" customHeight="1">
      <c r="A1101" s="4">
        <v>46229.70399734954</v>
      </c>
      <c r="B1101" s="5">
        <v>0.0</v>
      </c>
      <c r="C1101" s="6" t="s">
        <v>114</v>
      </c>
      <c r="D1101" s="6" t="s">
        <v>2269</v>
      </c>
      <c r="E1101" s="6" t="s">
        <v>2270</v>
      </c>
      <c r="F1101" s="6">
        <v>6.9070502447E10</v>
      </c>
      <c r="G1101" s="6" t="s">
        <v>122</v>
      </c>
      <c r="H1101" s="7"/>
      <c r="I1101" s="6" t="s">
        <v>10873</v>
      </c>
      <c r="J1101" s="6" t="s">
        <v>4656</v>
      </c>
      <c r="K1101" s="6" t="s">
        <v>10874</v>
      </c>
      <c r="L1101" s="6" t="s">
        <v>3492</v>
      </c>
      <c r="M1101" s="6" t="s">
        <v>10875</v>
      </c>
      <c r="N1101" s="6" t="s">
        <v>4469</v>
      </c>
      <c r="O1101" s="6" t="s">
        <v>10876</v>
      </c>
      <c r="P1101" s="6" t="s">
        <v>10877</v>
      </c>
      <c r="Q1101" s="6" t="s">
        <v>10878</v>
      </c>
      <c r="R1101" s="6" t="s">
        <v>246</v>
      </c>
      <c r="S1101" s="6" t="s">
        <v>147</v>
      </c>
      <c r="T1101" s="6" t="s">
        <v>250</v>
      </c>
      <c r="U1101" s="6" t="s">
        <v>560</v>
      </c>
      <c r="V1101" s="6" t="s">
        <v>246</v>
      </c>
      <c r="W1101" s="6" t="s">
        <v>158</v>
      </c>
      <c r="X1101" s="6" t="s">
        <v>257</v>
      </c>
      <c r="Y1101" s="6" t="s">
        <v>162</v>
      </c>
      <c r="Z1101" s="6" t="s">
        <v>165</v>
      </c>
      <c r="AA1101" s="6" t="s">
        <v>262</v>
      </c>
      <c r="AB1101" s="6" t="s">
        <v>171</v>
      </c>
      <c r="AC1101" s="6" t="s">
        <v>174</v>
      </c>
      <c r="AD1101" s="6" t="s">
        <v>175</v>
      </c>
      <c r="AE1101" s="6" t="s">
        <v>271</v>
      </c>
      <c r="AF1101" s="6" t="s">
        <v>181</v>
      </c>
      <c r="AG1101" s="6" t="s">
        <v>182</v>
      </c>
      <c r="AH1101" s="7"/>
      <c r="AI1101" s="7"/>
      <c r="AJ1101" s="7"/>
      <c r="AK1101" s="7"/>
      <c r="AL1101" s="7"/>
      <c r="AM1101" s="7"/>
      <c r="AN1101" s="7"/>
      <c r="AO1101" s="7"/>
      <c r="AP1101" s="7"/>
      <c r="AQ1101" s="7"/>
      <c r="AR1101" s="7"/>
      <c r="AS1101" s="7"/>
      <c r="AT1101" s="7"/>
      <c r="AU1101" s="7"/>
      <c r="AV1101" s="7"/>
      <c r="AW1101" s="7"/>
      <c r="AX1101" s="7"/>
      <c r="AY1101" s="7"/>
      <c r="AZ1101" s="7"/>
      <c r="BA1101" s="7"/>
      <c r="BB1101" s="7"/>
      <c r="BC1101" s="7"/>
      <c r="BD1101" s="7"/>
      <c r="BE1101" s="7"/>
      <c r="BF1101" s="7"/>
      <c r="BG1101" s="7"/>
      <c r="BH1101" s="7"/>
      <c r="BI1101" s="7"/>
      <c r="BJ1101" s="7"/>
      <c r="BK1101" s="7"/>
    </row>
    <row r="1102" ht="22.5" customHeight="1">
      <c r="A1102" s="4">
        <v>46229.70400597222</v>
      </c>
      <c r="B1102" s="5">
        <v>0.0</v>
      </c>
      <c r="C1102" s="6" t="s">
        <v>3296</v>
      </c>
      <c r="D1102" s="7"/>
      <c r="E1102" s="7"/>
      <c r="F1102" s="7"/>
      <c r="G1102" s="7"/>
      <c r="H1102" s="7"/>
      <c r="I1102" s="7"/>
      <c r="J1102" s="7"/>
      <c r="K1102" s="7"/>
      <c r="L1102" s="7"/>
      <c r="M1102" s="7"/>
      <c r="N1102" s="7"/>
      <c r="O1102" s="7"/>
      <c r="P1102" s="7"/>
      <c r="Q1102" s="7"/>
      <c r="R1102" s="7"/>
      <c r="S1102" s="7"/>
      <c r="T1102" s="7"/>
      <c r="U1102" s="7"/>
      <c r="V1102" s="7"/>
      <c r="W1102" s="7"/>
      <c r="X1102" s="7"/>
      <c r="Y1102" s="7"/>
      <c r="Z1102" s="7"/>
      <c r="AA1102" s="7"/>
      <c r="AB1102" s="7"/>
      <c r="AC1102" s="7"/>
      <c r="AD1102" s="7"/>
      <c r="AE1102" s="7"/>
      <c r="AF1102" s="7"/>
      <c r="AG1102" s="7"/>
      <c r="AH1102" s="6" t="s">
        <v>2875</v>
      </c>
      <c r="AI1102" s="6" t="s">
        <v>2876</v>
      </c>
      <c r="AJ1102" s="6">
        <v>6.9070504036E10</v>
      </c>
      <c r="AK1102" s="6" t="s">
        <v>4331</v>
      </c>
      <c r="AL1102" s="6" t="s">
        <v>2633</v>
      </c>
      <c r="AM1102" s="6" t="s">
        <v>10879</v>
      </c>
      <c r="AN1102" s="6" t="s">
        <v>10880</v>
      </c>
      <c r="AO1102" s="6" t="s">
        <v>10881</v>
      </c>
      <c r="AP1102" s="6" t="s">
        <v>8921</v>
      </c>
      <c r="AQ1102" s="6" t="s">
        <v>10614</v>
      </c>
      <c r="AR1102" s="6" t="s">
        <v>2633</v>
      </c>
      <c r="AS1102" s="6" t="s">
        <v>10882</v>
      </c>
      <c r="AT1102" s="6" t="s">
        <v>10883</v>
      </c>
      <c r="AU1102" s="6" t="s">
        <v>10884</v>
      </c>
      <c r="AV1102" s="6" t="s">
        <v>3306</v>
      </c>
      <c r="AW1102" s="6" t="s">
        <v>3307</v>
      </c>
      <c r="AX1102" s="6" t="s">
        <v>3312</v>
      </c>
      <c r="AY1102" s="6" t="s">
        <v>3309</v>
      </c>
      <c r="AZ1102" s="6" t="s">
        <v>3310</v>
      </c>
      <c r="BA1102" s="6" t="s">
        <v>3311</v>
      </c>
      <c r="BB1102" s="6" t="s">
        <v>4693</v>
      </c>
      <c r="BC1102" s="6" t="s">
        <v>8802</v>
      </c>
      <c r="BD1102" s="6" t="s">
        <v>165</v>
      </c>
      <c r="BE1102" s="6" t="s">
        <v>5761</v>
      </c>
      <c r="BF1102" s="6" t="s">
        <v>3315</v>
      </c>
      <c r="BG1102" s="6" t="s">
        <v>4342</v>
      </c>
      <c r="BH1102" s="6" t="s">
        <v>5246</v>
      </c>
      <c r="BI1102" s="6" t="s">
        <v>271</v>
      </c>
      <c r="BJ1102" s="6" t="s">
        <v>3318</v>
      </c>
      <c r="BK1102" s="6" t="s">
        <v>4695</v>
      </c>
    </row>
    <row r="1103" ht="22.5" customHeight="1">
      <c r="A1103" s="4">
        <v>46229.70402603009</v>
      </c>
      <c r="B1103" s="5">
        <v>0.0</v>
      </c>
      <c r="C1103" s="6" t="s">
        <v>114</v>
      </c>
      <c r="D1103" s="6" t="s">
        <v>2271</v>
      </c>
      <c r="E1103" s="6" t="s">
        <v>2272</v>
      </c>
      <c r="F1103" s="6">
        <v>6.9070500687E10</v>
      </c>
      <c r="G1103" s="6" t="s">
        <v>6140</v>
      </c>
      <c r="H1103" s="7"/>
      <c r="I1103" s="6" t="s">
        <v>10885</v>
      </c>
      <c r="J1103" s="6" t="s">
        <v>4053</v>
      </c>
      <c r="K1103" s="6" t="s">
        <v>10886</v>
      </c>
      <c r="L1103" s="6" t="s">
        <v>10887</v>
      </c>
      <c r="M1103" s="6" t="s">
        <v>10888</v>
      </c>
      <c r="N1103" s="7"/>
      <c r="O1103" s="6" t="s">
        <v>10889</v>
      </c>
      <c r="P1103" s="6" t="s">
        <v>10890</v>
      </c>
      <c r="Q1103" s="6" t="s">
        <v>10891</v>
      </c>
      <c r="R1103" s="6" t="s">
        <v>246</v>
      </c>
      <c r="S1103" s="6" t="s">
        <v>147</v>
      </c>
      <c r="T1103" s="6" t="s">
        <v>250</v>
      </c>
      <c r="U1103" s="6" t="s">
        <v>2254</v>
      </c>
      <c r="V1103" s="6" t="s">
        <v>246</v>
      </c>
      <c r="W1103" s="6" t="s">
        <v>158</v>
      </c>
      <c r="X1103" s="6" t="s">
        <v>250</v>
      </c>
      <c r="Y1103" s="6" t="s">
        <v>162</v>
      </c>
      <c r="Z1103" s="6" t="s">
        <v>165</v>
      </c>
      <c r="AA1103" s="6" t="s">
        <v>262</v>
      </c>
      <c r="AB1103" s="6" t="s">
        <v>521</v>
      </c>
      <c r="AC1103" s="6" t="s">
        <v>1669</v>
      </c>
      <c r="AD1103" s="6" t="s">
        <v>1723</v>
      </c>
      <c r="AE1103" s="6" t="s">
        <v>178</v>
      </c>
      <c r="AF1103" s="6" t="s">
        <v>181</v>
      </c>
      <c r="AG1103" s="6" t="s">
        <v>182</v>
      </c>
      <c r="AH1103" s="7"/>
      <c r="AI1103" s="7"/>
      <c r="AJ1103" s="7"/>
      <c r="AK1103" s="7"/>
      <c r="AL1103" s="7"/>
      <c r="AM1103" s="7"/>
      <c r="AN1103" s="7"/>
      <c r="AO1103" s="7"/>
      <c r="AP1103" s="7"/>
      <c r="AQ1103" s="7"/>
      <c r="AR1103" s="7"/>
      <c r="AS1103" s="7"/>
      <c r="AT1103" s="7"/>
      <c r="AU1103" s="7"/>
      <c r="AV1103" s="7"/>
      <c r="AW1103" s="7"/>
      <c r="AX1103" s="7"/>
      <c r="AY1103" s="7"/>
      <c r="AZ1103" s="7"/>
      <c r="BA1103" s="7"/>
      <c r="BB1103" s="7"/>
      <c r="BC1103" s="7"/>
      <c r="BD1103" s="7"/>
      <c r="BE1103" s="7"/>
      <c r="BF1103" s="7"/>
      <c r="BG1103" s="7"/>
      <c r="BH1103" s="7"/>
      <c r="BI1103" s="7"/>
      <c r="BJ1103" s="7"/>
      <c r="BK1103" s="7"/>
    </row>
    <row r="1104" ht="22.5" customHeight="1">
      <c r="A1104" s="4">
        <v>46229.704047569445</v>
      </c>
      <c r="B1104" s="5">
        <v>0.0</v>
      </c>
      <c r="C1104" s="6" t="s">
        <v>114</v>
      </c>
      <c r="D1104" s="6" t="s">
        <v>902</v>
      </c>
      <c r="E1104" s="6" t="s">
        <v>2273</v>
      </c>
      <c r="F1104" s="6">
        <v>6.9070500072E10</v>
      </c>
      <c r="G1104" s="6" t="s">
        <v>4580</v>
      </c>
      <c r="H1104" s="7"/>
      <c r="I1104" s="6" t="s">
        <v>10892</v>
      </c>
      <c r="J1104" s="6" t="s">
        <v>10893</v>
      </c>
      <c r="K1104" s="6" t="s">
        <v>10894</v>
      </c>
      <c r="L1104" s="6" t="s">
        <v>6353</v>
      </c>
      <c r="M1104" s="6" t="s">
        <v>10895</v>
      </c>
      <c r="N1104" s="7"/>
      <c r="O1104" s="6" t="s">
        <v>10896</v>
      </c>
      <c r="P1104" s="6" t="s">
        <v>10897</v>
      </c>
      <c r="Q1104" s="6" t="s">
        <v>10898</v>
      </c>
      <c r="R1104" s="6" t="s">
        <v>246</v>
      </c>
      <c r="S1104" s="6" t="s">
        <v>147</v>
      </c>
      <c r="T1104" s="6" t="s">
        <v>149</v>
      </c>
      <c r="U1104" s="6" t="s">
        <v>252</v>
      </c>
      <c r="V1104" s="6" t="s">
        <v>246</v>
      </c>
      <c r="W1104" s="6" t="s">
        <v>158</v>
      </c>
      <c r="X1104" s="6" t="s">
        <v>257</v>
      </c>
      <c r="Y1104" s="6" t="s">
        <v>162</v>
      </c>
      <c r="Z1104" s="6" t="s">
        <v>165</v>
      </c>
      <c r="AA1104" s="6" t="s">
        <v>262</v>
      </c>
      <c r="AB1104" s="6" t="s">
        <v>171</v>
      </c>
      <c r="AC1104" s="6" t="s">
        <v>174</v>
      </c>
      <c r="AD1104" s="6" t="s">
        <v>175</v>
      </c>
      <c r="AE1104" s="6" t="s">
        <v>524</v>
      </c>
      <c r="AF1104" s="6" t="s">
        <v>181</v>
      </c>
      <c r="AG1104" s="6" t="s">
        <v>182</v>
      </c>
      <c r="AH1104" s="7"/>
      <c r="AI1104" s="7"/>
      <c r="AJ1104" s="7"/>
      <c r="AK1104" s="7"/>
      <c r="AL1104" s="7"/>
      <c r="AM1104" s="7"/>
      <c r="AN1104" s="7"/>
      <c r="AO1104" s="7"/>
      <c r="AP1104" s="7"/>
      <c r="AQ1104" s="7"/>
      <c r="AR1104" s="7"/>
      <c r="AS1104" s="7"/>
      <c r="AT1104" s="7"/>
      <c r="AU1104" s="7"/>
      <c r="AV1104" s="7"/>
      <c r="AW1104" s="7"/>
      <c r="AX1104" s="7"/>
      <c r="AY1104" s="7"/>
      <c r="AZ1104" s="7"/>
      <c r="BA1104" s="7"/>
      <c r="BB1104" s="7"/>
      <c r="BC1104" s="7"/>
      <c r="BD1104" s="7"/>
      <c r="BE1104" s="7"/>
      <c r="BF1104" s="7"/>
      <c r="BG1104" s="7"/>
      <c r="BH1104" s="7"/>
      <c r="BI1104" s="7"/>
      <c r="BJ1104" s="7"/>
      <c r="BK1104" s="7"/>
    </row>
    <row r="1105" ht="22.5" customHeight="1">
      <c r="A1105" s="4">
        <v>46229.70413922454</v>
      </c>
      <c r="B1105" s="5">
        <v>0.0</v>
      </c>
      <c r="C1105" s="6" t="s">
        <v>114</v>
      </c>
      <c r="D1105" s="6" t="s">
        <v>2274</v>
      </c>
      <c r="E1105" s="6" t="s">
        <v>2275</v>
      </c>
      <c r="F1105" s="6">
        <v>6.9070508851E10</v>
      </c>
      <c r="G1105" s="6" t="s">
        <v>5399</v>
      </c>
      <c r="H1105" s="7"/>
      <c r="I1105" s="6" t="s">
        <v>10107</v>
      </c>
      <c r="J1105" s="6" t="s">
        <v>10638</v>
      </c>
      <c r="K1105" s="6" t="s">
        <v>10899</v>
      </c>
      <c r="L1105" s="6" t="s">
        <v>10900</v>
      </c>
      <c r="M1105" s="6" t="s">
        <v>10901</v>
      </c>
      <c r="N1105" s="6" t="s">
        <v>10902</v>
      </c>
      <c r="O1105" s="6" t="s">
        <v>10903</v>
      </c>
      <c r="P1105" s="6" t="s">
        <v>10904</v>
      </c>
      <c r="Q1105" s="6" t="s">
        <v>10905</v>
      </c>
      <c r="R1105" s="6" t="s">
        <v>861</v>
      </c>
      <c r="S1105" s="6" t="s">
        <v>147</v>
      </c>
      <c r="T1105" s="6" t="s">
        <v>246</v>
      </c>
      <c r="U1105" s="6" t="s">
        <v>252</v>
      </c>
      <c r="V1105" s="6" t="s">
        <v>246</v>
      </c>
      <c r="W1105" s="6" t="s">
        <v>158</v>
      </c>
      <c r="X1105" s="6" t="s">
        <v>257</v>
      </c>
      <c r="Y1105" s="6" t="s">
        <v>162</v>
      </c>
      <c r="Z1105" s="6" t="s">
        <v>165</v>
      </c>
      <c r="AA1105" s="6" t="s">
        <v>262</v>
      </c>
      <c r="AB1105" s="6" t="s">
        <v>521</v>
      </c>
      <c r="AC1105" s="6" t="s">
        <v>174</v>
      </c>
      <c r="AD1105" s="6" t="s">
        <v>1723</v>
      </c>
      <c r="AE1105" s="6" t="s">
        <v>271</v>
      </c>
      <c r="AF1105" s="6" t="s">
        <v>181</v>
      </c>
      <c r="AG1105" s="6" t="s">
        <v>182</v>
      </c>
      <c r="AH1105" s="7"/>
      <c r="AI1105" s="7"/>
      <c r="AJ1105" s="7"/>
      <c r="AK1105" s="7"/>
      <c r="AL1105" s="7"/>
      <c r="AM1105" s="7"/>
      <c r="AN1105" s="7"/>
      <c r="AO1105" s="7"/>
      <c r="AP1105" s="7"/>
      <c r="AQ1105" s="7"/>
      <c r="AR1105" s="7"/>
      <c r="AS1105" s="7"/>
      <c r="AT1105" s="7"/>
      <c r="AU1105" s="7"/>
      <c r="AV1105" s="7"/>
      <c r="AW1105" s="7"/>
      <c r="AX1105" s="7"/>
      <c r="AY1105" s="7"/>
      <c r="AZ1105" s="7"/>
      <c r="BA1105" s="7"/>
      <c r="BB1105" s="7"/>
      <c r="BC1105" s="7"/>
      <c r="BD1105" s="7"/>
      <c r="BE1105" s="7"/>
      <c r="BF1105" s="7"/>
      <c r="BG1105" s="7"/>
      <c r="BH1105" s="7"/>
      <c r="BI1105" s="7"/>
      <c r="BJ1105" s="7"/>
      <c r="BK1105" s="7"/>
    </row>
    <row r="1106" ht="22.5" customHeight="1">
      <c r="A1106" s="4">
        <v>46229.7041477662</v>
      </c>
      <c r="B1106" s="5">
        <v>0.0</v>
      </c>
      <c r="C1106" s="6" t="s">
        <v>114</v>
      </c>
      <c r="D1106" s="6" t="s">
        <v>2276</v>
      </c>
      <c r="E1106" s="6" t="s">
        <v>2277</v>
      </c>
      <c r="F1106" s="6">
        <v>6.9070500314E10</v>
      </c>
      <c r="G1106" s="6" t="s">
        <v>599</v>
      </c>
      <c r="H1106" s="7"/>
      <c r="I1106" s="6" t="s">
        <v>10906</v>
      </c>
      <c r="J1106" s="6" t="s">
        <v>10907</v>
      </c>
      <c r="K1106" s="6" t="s">
        <v>10908</v>
      </c>
      <c r="L1106" s="6" t="s">
        <v>4004</v>
      </c>
      <c r="M1106" s="6" t="s">
        <v>10909</v>
      </c>
      <c r="N1106" s="7"/>
      <c r="O1106" s="6" t="s">
        <v>10910</v>
      </c>
      <c r="P1106" s="6" t="s">
        <v>10911</v>
      </c>
      <c r="Q1106" s="6" t="s">
        <v>10912</v>
      </c>
      <c r="R1106" s="6" t="s">
        <v>246</v>
      </c>
      <c r="S1106" s="6" t="s">
        <v>147</v>
      </c>
      <c r="T1106" s="6" t="s">
        <v>246</v>
      </c>
      <c r="U1106" s="6" t="s">
        <v>2254</v>
      </c>
      <c r="V1106" s="6" t="s">
        <v>246</v>
      </c>
      <c r="W1106" s="6" t="s">
        <v>158</v>
      </c>
      <c r="X1106" s="6" t="s">
        <v>257</v>
      </c>
      <c r="Y1106" s="6" t="s">
        <v>162</v>
      </c>
      <c r="Z1106" s="6" t="s">
        <v>629</v>
      </c>
      <c r="AA1106" s="6" t="s">
        <v>262</v>
      </c>
      <c r="AB1106" s="6" t="s">
        <v>521</v>
      </c>
      <c r="AC1106" s="6" t="s">
        <v>174</v>
      </c>
      <c r="AD1106" s="6" t="s">
        <v>175</v>
      </c>
      <c r="AE1106" s="6" t="s">
        <v>178</v>
      </c>
      <c r="AF1106" s="6" t="s">
        <v>181</v>
      </c>
      <c r="AG1106" s="6" t="s">
        <v>182</v>
      </c>
      <c r="AH1106" s="7"/>
      <c r="AI1106" s="7"/>
      <c r="AJ1106" s="7"/>
      <c r="AK1106" s="7"/>
      <c r="AL1106" s="7"/>
      <c r="AM1106" s="7"/>
      <c r="AN1106" s="7"/>
      <c r="AO1106" s="7"/>
      <c r="AP1106" s="7"/>
      <c r="AQ1106" s="7"/>
      <c r="AR1106" s="7"/>
      <c r="AS1106" s="7"/>
      <c r="AT1106" s="7"/>
      <c r="AU1106" s="7"/>
      <c r="AV1106" s="7"/>
      <c r="AW1106" s="7"/>
      <c r="AX1106" s="7"/>
      <c r="AY1106" s="7"/>
      <c r="AZ1106" s="7"/>
      <c r="BA1106" s="7"/>
      <c r="BB1106" s="7"/>
      <c r="BC1106" s="7"/>
      <c r="BD1106" s="7"/>
      <c r="BE1106" s="7"/>
      <c r="BF1106" s="7"/>
      <c r="BG1106" s="7"/>
      <c r="BH1106" s="7"/>
      <c r="BI1106" s="7"/>
      <c r="BJ1106" s="7"/>
      <c r="BK1106" s="7"/>
    </row>
    <row r="1107" ht="22.5" customHeight="1">
      <c r="A1107" s="4">
        <v>46229.704194652775</v>
      </c>
      <c r="B1107" s="5">
        <v>0.0</v>
      </c>
      <c r="C1107" s="6" t="s">
        <v>114</v>
      </c>
      <c r="D1107" s="6" t="s">
        <v>2278</v>
      </c>
      <c r="E1107" s="6" t="s">
        <v>2279</v>
      </c>
      <c r="F1107" s="6">
        <v>6.9070508424E10</v>
      </c>
      <c r="G1107" s="6" t="s">
        <v>4580</v>
      </c>
      <c r="H1107" s="7"/>
      <c r="I1107" s="6" t="s">
        <v>10913</v>
      </c>
      <c r="J1107" s="6" t="s">
        <v>10914</v>
      </c>
      <c r="K1107" s="6" t="s">
        <v>10915</v>
      </c>
      <c r="L1107" s="6" t="s">
        <v>10916</v>
      </c>
      <c r="M1107" s="6" t="s">
        <v>10917</v>
      </c>
      <c r="N1107" s="7"/>
      <c r="O1107" s="6" t="s">
        <v>10918</v>
      </c>
      <c r="P1107" s="6" t="s">
        <v>10919</v>
      </c>
      <c r="Q1107" s="6" t="s">
        <v>10920</v>
      </c>
      <c r="R1107" s="6" t="s">
        <v>246</v>
      </c>
      <c r="S1107" s="6" t="s">
        <v>147</v>
      </c>
      <c r="T1107" s="6" t="s">
        <v>250</v>
      </c>
      <c r="U1107" s="6" t="s">
        <v>2254</v>
      </c>
      <c r="V1107" s="6" t="s">
        <v>246</v>
      </c>
      <c r="W1107" s="6" t="s">
        <v>158</v>
      </c>
      <c r="X1107" s="6" t="s">
        <v>257</v>
      </c>
      <c r="Y1107" s="6" t="s">
        <v>162</v>
      </c>
      <c r="Z1107" s="6" t="s">
        <v>165</v>
      </c>
      <c r="AA1107" s="6" t="s">
        <v>2307</v>
      </c>
      <c r="AB1107" s="6" t="s">
        <v>171</v>
      </c>
      <c r="AC1107" s="6" t="s">
        <v>174</v>
      </c>
      <c r="AD1107" s="6" t="s">
        <v>1723</v>
      </c>
      <c r="AE1107" s="6" t="s">
        <v>178</v>
      </c>
      <c r="AF1107" s="6" t="s">
        <v>181</v>
      </c>
      <c r="AG1107" s="6" t="s">
        <v>182</v>
      </c>
      <c r="AH1107" s="7"/>
      <c r="AI1107" s="7"/>
      <c r="AJ1107" s="7"/>
      <c r="AK1107" s="7"/>
      <c r="AL1107" s="7"/>
      <c r="AM1107" s="7"/>
      <c r="AN1107" s="7"/>
      <c r="AO1107" s="7"/>
      <c r="AP1107" s="7"/>
      <c r="AQ1107" s="7"/>
      <c r="AR1107" s="7"/>
      <c r="AS1107" s="7"/>
      <c r="AT1107" s="7"/>
      <c r="AU1107" s="7"/>
      <c r="AV1107" s="7"/>
      <c r="AW1107" s="7"/>
      <c r="AX1107" s="7"/>
      <c r="AY1107" s="7"/>
      <c r="AZ1107" s="7"/>
      <c r="BA1107" s="7"/>
      <c r="BB1107" s="7"/>
      <c r="BC1107" s="7"/>
      <c r="BD1107" s="7"/>
      <c r="BE1107" s="7"/>
      <c r="BF1107" s="7"/>
      <c r="BG1107" s="7"/>
      <c r="BH1107" s="7"/>
      <c r="BI1107" s="7"/>
      <c r="BJ1107" s="7"/>
      <c r="BK1107" s="7"/>
    </row>
    <row r="1108" ht="22.5" customHeight="1">
      <c r="A1108" s="4">
        <v>46229.70419674768</v>
      </c>
      <c r="B1108" s="5">
        <v>0.0</v>
      </c>
      <c r="C1108" s="6" t="s">
        <v>114</v>
      </c>
      <c r="D1108" s="6" t="s">
        <v>2280</v>
      </c>
      <c r="E1108" s="6" t="s">
        <v>2281</v>
      </c>
      <c r="F1108" s="6">
        <v>6.9070500608E10</v>
      </c>
      <c r="G1108" s="6" t="s">
        <v>6140</v>
      </c>
      <c r="H1108" s="7"/>
      <c r="I1108" s="6" t="s">
        <v>10921</v>
      </c>
      <c r="J1108" s="6" t="s">
        <v>5791</v>
      </c>
      <c r="K1108" s="6" t="s">
        <v>10922</v>
      </c>
      <c r="L1108" s="6" t="s">
        <v>10923</v>
      </c>
      <c r="M1108" s="6" t="s">
        <v>10924</v>
      </c>
      <c r="N1108" s="6" t="s">
        <v>10925</v>
      </c>
      <c r="O1108" s="6" t="s">
        <v>10926</v>
      </c>
      <c r="P1108" s="6" t="s">
        <v>10927</v>
      </c>
      <c r="Q1108" s="6" t="s">
        <v>10928</v>
      </c>
      <c r="R1108" s="6" t="s">
        <v>257</v>
      </c>
      <c r="S1108" s="6" t="s">
        <v>147</v>
      </c>
      <c r="T1108" s="6" t="s">
        <v>250</v>
      </c>
      <c r="U1108" s="6" t="s">
        <v>2254</v>
      </c>
      <c r="V1108" s="6" t="s">
        <v>246</v>
      </c>
      <c r="W1108" s="6" t="s">
        <v>158</v>
      </c>
      <c r="X1108" s="6" t="s">
        <v>257</v>
      </c>
      <c r="Y1108" s="6" t="s">
        <v>162</v>
      </c>
      <c r="Z1108" s="6" t="s">
        <v>165</v>
      </c>
      <c r="AA1108" s="6" t="s">
        <v>262</v>
      </c>
      <c r="AB1108" s="6" t="s">
        <v>521</v>
      </c>
      <c r="AC1108" s="6" t="s">
        <v>174</v>
      </c>
      <c r="AD1108" s="6" t="s">
        <v>175</v>
      </c>
      <c r="AE1108" s="6" t="s">
        <v>271</v>
      </c>
      <c r="AF1108" s="6" t="s">
        <v>181</v>
      </c>
      <c r="AG1108" s="6" t="s">
        <v>182</v>
      </c>
      <c r="AH1108" s="7"/>
      <c r="AI1108" s="7"/>
      <c r="AJ1108" s="7"/>
      <c r="AK1108" s="7"/>
      <c r="AL1108" s="7"/>
      <c r="AM1108" s="7"/>
      <c r="AN1108" s="7"/>
      <c r="AO1108" s="7"/>
      <c r="AP1108" s="7"/>
      <c r="AQ1108" s="7"/>
      <c r="AR1108" s="7"/>
      <c r="AS1108" s="7"/>
      <c r="AT1108" s="7"/>
      <c r="AU1108" s="7"/>
      <c r="AV1108" s="7"/>
      <c r="AW1108" s="7"/>
      <c r="AX1108" s="7"/>
      <c r="AY1108" s="7"/>
      <c r="AZ1108" s="7"/>
      <c r="BA1108" s="7"/>
      <c r="BB1108" s="7"/>
      <c r="BC1108" s="7"/>
      <c r="BD1108" s="7"/>
      <c r="BE1108" s="7"/>
      <c r="BF1108" s="7"/>
      <c r="BG1108" s="7"/>
      <c r="BH1108" s="7"/>
      <c r="BI1108" s="7"/>
      <c r="BJ1108" s="7"/>
      <c r="BK1108" s="7"/>
    </row>
    <row r="1109" ht="22.5" customHeight="1">
      <c r="A1109" s="4">
        <v>46229.704201817134</v>
      </c>
      <c r="B1109" s="5">
        <v>0.0</v>
      </c>
      <c r="C1109" s="6" t="s">
        <v>114</v>
      </c>
      <c r="D1109" s="6" t="s">
        <v>1883</v>
      </c>
      <c r="E1109" s="6" t="s">
        <v>2282</v>
      </c>
      <c r="F1109" s="6">
        <v>6.907050244E10</v>
      </c>
      <c r="G1109" s="6" t="s">
        <v>122</v>
      </c>
      <c r="H1109" s="7"/>
      <c r="I1109" s="6" t="s">
        <v>10929</v>
      </c>
      <c r="J1109" s="6" t="s">
        <v>10930</v>
      </c>
      <c r="K1109" s="6" t="s">
        <v>10931</v>
      </c>
      <c r="L1109" s="6" t="s">
        <v>10932</v>
      </c>
      <c r="M1109" s="6" t="s">
        <v>10933</v>
      </c>
      <c r="N1109" s="7"/>
      <c r="O1109" s="6" t="s">
        <v>10934</v>
      </c>
      <c r="P1109" s="6" t="s">
        <v>10935</v>
      </c>
      <c r="Q1109" s="6" t="s">
        <v>10936</v>
      </c>
      <c r="R1109" s="6" t="s">
        <v>246</v>
      </c>
      <c r="S1109" s="6" t="s">
        <v>147</v>
      </c>
      <c r="T1109" s="6" t="s">
        <v>250</v>
      </c>
      <c r="U1109" s="6" t="s">
        <v>686</v>
      </c>
      <c r="V1109" s="6" t="s">
        <v>246</v>
      </c>
      <c r="W1109" s="6" t="s">
        <v>158</v>
      </c>
      <c r="X1109" s="6" t="s">
        <v>257</v>
      </c>
      <c r="Y1109" s="6" t="s">
        <v>162</v>
      </c>
      <c r="Z1109" s="6" t="s">
        <v>165</v>
      </c>
      <c r="AA1109" s="6" t="s">
        <v>262</v>
      </c>
      <c r="AB1109" s="6" t="s">
        <v>171</v>
      </c>
      <c r="AC1109" s="6" t="s">
        <v>174</v>
      </c>
      <c r="AD1109" s="6" t="s">
        <v>175</v>
      </c>
      <c r="AE1109" s="6" t="s">
        <v>271</v>
      </c>
      <c r="AF1109" s="6" t="s">
        <v>181</v>
      </c>
      <c r="AG1109" s="6" t="s">
        <v>182</v>
      </c>
      <c r="AH1109" s="7"/>
      <c r="AI1109" s="7"/>
      <c r="AJ1109" s="7"/>
      <c r="AK1109" s="7"/>
      <c r="AL1109" s="7"/>
      <c r="AM1109" s="7"/>
      <c r="AN1109" s="7"/>
      <c r="AO1109" s="7"/>
      <c r="AP1109" s="7"/>
      <c r="AQ1109" s="7"/>
      <c r="AR1109" s="7"/>
      <c r="AS1109" s="7"/>
      <c r="AT1109" s="7"/>
      <c r="AU1109" s="7"/>
      <c r="AV1109" s="7"/>
      <c r="AW1109" s="7"/>
      <c r="AX1109" s="7"/>
      <c r="AY1109" s="7"/>
      <c r="AZ1109" s="7"/>
      <c r="BA1109" s="7"/>
      <c r="BB1109" s="7"/>
      <c r="BC1109" s="7"/>
      <c r="BD1109" s="7"/>
      <c r="BE1109" s="7"/>
      <c r="BF1109" s="7"/>
      <c r="BG1109" s="7"/>
      <c r="BH1109" s="7"/>
      <c r="BI1109" s="7"/>
      <c r="BJ1109" s="7"/>
      <c r="BK1109" s="7"/>
    </row>
    <row r="1110" ht="22.5" customHeight="1">
      <c r="A1110" s="4">
        <v>46229.704216770835</v>
      </c>
      <c r="B1110" s="5">
        <v>0.0</v>
      </c>
      <c r="C1110" s="6" t="s">
        <v>3296</v>
      </c>
      <c r="D1110" s="7"/>
      <c r="E1110" s="7"/>
      <c r="F1110" s="7"/>
      <c r="G1110" s="7"/>
      <c r="H1110" s="7"/>
      <c r="I1110" s="7"/>
      <c r="J1110" s="7"/>
      <c r="K1110" s="7"/>
      <c r="L1110" s="7"/>
      <c r="M1110" s="7"/>
      <c r="N1110" s="7"/>
      <c r="O1110" s="7"/>
      <c r="P1110" s="7"/>
      <c r="Q1110" s="7"/>
      <c r="R1110" s="7"/>
      <c r="S1110" s="7"/>
      <c r="T1110" s="7"/>
      <c r="U1110" s="7"/>
      <c r="V1110" s="7"/>
      <c r="W1110" s="7"/>
      <c r="X1110" s="7"/>
      <c r="Y1110" s="7"/>
      <c r="Z1110" s="7"/>
      <c r="AA1110" s="7"/>
      <c r="AB1110" s="7"/>
      <c r="AC1110" s="7"/>
      <c r="AD1110" s="7"/>
      <c r="AE1110" s="7"/>
      <c r="AF1110" s="7"/>
      <c r="AG1110" s="7"/>
      <c r="AH1110" s="6" t="s">
        <v>2877</v>
      </c>
      <c r="AI1110" s="6" t="s">
        <v>2878</v>
      </c>
      <c r="AJ1110" s="6">
        <v>6.9070503417E10</v>
      </c>
      <c r="AK1110" s="6" t="s">
        <v>3297</v>
      </c>
      <c r="AL1110" s="7"/>
      <c r="AM1110" s="6" t="s">
        <v>10937</v>
      </c>
      <c r="AN1110" s="6" t="s">
        <v>10938</v>
      </c>
      <c r="AO1110" s="6" t="s">
        <v>10939</v>
      </c>
      <c r="AP1110" s="6" t="s">
        <v>10940</v>
      </c>
      <c r="AQ1110" s="6" t="s">
        <v>10941</v>
      </c>
      <c r="AR1110" s="7"/>
      <c r="AS1110" s="6" t="s">
        <v>10942</v>
      </c>
      <c r="AT1110" s="6" t="s">
        <v>10943</v>
      </c>
      <c r="AU1110" s="6" t="s">
        <v>10944</v>
      </c>
      <c r="AV1110" s="6" t="s">
        <v>3312</v>
      </c>
      <c r="AW1110" s="6" t="s">
        <v>3307</v>
      </c>
      <c r="AX1110" s="6" t="s">
        <v>3306</v>
      </c>
      <c r="AY1110" s="6" t="s">
        <v>3309</v>
      </c>
      <c r="AZ1110" s="6" t="s">
        <v>8123</v>
      </c>
      <c r="BA1110" s="6" t="s">
        <v>3311</v>
      </c>
      <c r="BB1110" s="6" t="s">
        <v>3887</v>
      </c>
      <c r="BC1110" s="6" t="s">
        <v>3313</v>
      </c>
      <c r="BD1110" s="6" t="s">
        <v>165</v>
      </c>
      <c r="BE1110" s="6" t="s">
        <v>3888</v>
      </c>
      <c r="BF1110" s="6" t="s">
        <v>3315</v>
      </c>
      <c r="BG1110" s="6" t="s">
        <v>4068</v>
      </c>
      <c r="BH1110" s="6" t="s">
        <v>8124</v>
      </c>
      <c r="BI1110" s="6" t="s">
        <v>271</v>
      </c>
      <c r="BJ1110" s="6" t="s">
        <v>5247</v>
      </c>
      <c r="BK1110" s="6" t="s">
        <v>4695</v>
      </c>
    </row>
    <row r="1111" ht="22.5" customHeight="1">
      <c r="A1111" s="4">
        <v>46229.7042408912</v>
      </c>
      <c r="B1111" s="5">
        <v>0.0</v>
      </c>
      <c r="C1111" s="6" t="s">
        <v>114</v>
      </c>
      <c r="D1111" s="6" t="s">
        <v>2265</v>
      </c>
      <c r="E1111" s="6" t="s">
        <v>2283</v>
      </c>
      <c r="F1111" s="6">
        <v>6.9070500635E10</v>
      </c>
      <c r="G1111" s="6" t="s">
        <v>6140</v>
      </c>
      <c r="H1111" s="7"/>
      <c r="I1111" s="6" t="s">
        <v>6912</v>
      </c>
      <c r="J1111" s="6" t="s">
        <v>10166</v>
      </c>
      <c r="K1111" s="6" t="s">
        <v>6913</v>
      </c>
      <c r="L1111" s="6" t="s">
        <v>10742</v>
      </c>
      <c r="M1111" s="6" t="s">
        <v>9590</v>
      </c>
      <c r="N1111" s="7"/>
      <c r="O1111" s="6" t="s">
        <v>10945</v>
      </c>
      <c r="P1111" s="6" t="s">
        <v>10946</v>
      </c>
      <c r="Q1111" s="6" t="s">
        <v>10947</v>
      </c>
      <c r="R1111" s="6" t="s">
        <v>246</v>
      </c>
      <c r="S1111" s="6" t="s">
        <v>147</v>
      </c>
      <c r="T1111" s="6" t="s">
        <v>250</v>
      </c>
      <c r="U1111" s="6" t="s">
        <v>252</v>
      </c>
      <c r="V1111" s="6" t="s">
        <v>246</v>
      </c>
      <c r="W1111" s="6" t="s">
        <v>158</v>
      </c>
      <c r="X1111" s="6" t="s">
        <v>257</v>
      </c>
      <c r="Y1111" s="6" t="s">
        <v>162</v>
      </c>
      <c r="Z1111" s="6" t="s">
        <v>165</v>
      </c>
      <c r="AA1111" s="6" t="s">
        <v>262</v>
      </c>
      <c r="AB1111" s="6" t="s">
        <v>171</v>
      </c>
      <c r="AC1111" s="6" t="s">
        <v>174</v>
      </c>
      <c r="AD1111" s="6" t="s">
        <v>175</v>
      </c>
      <c r="AE1111" s="6" t="s">
        <v>271</v>
      </c>
      <c r="AF1111" s="6" t="s">
        <v>181</v>
      </c>
      <c r="AG1111" s="6" t="s">
        <v>182</v>
      </c>
      <c r="AH1111" s="7"/>
      <c r="AI1111" s="7"/>
      <c r="AJ1111" s="7"/>
      <c r="AK1111" s="7"/>
      <c r="AL1111" s="7"/>
      <c r="AM1111" s="7"/>
      <c r="AN1111" s="7"/>
      <c r="AO1111" s="7"/>
      <c r="AP1111" s="7"/>
      <c r="AQ1111" s="7"/>
      <c r="AR1111" s="7"/>
      <c r="AS1111" s="7"/>
      <c r="AT1111" s="7"/>
      <c r="AU1111" s="7"/>
      <c r="AV1111" s="7"/>
      <c r="AW1111" s="7"/>
      <c r="AX1111" s="7"/>
      <c r="AY1111" s="7"/>
      <c r="AZ1111" s="7"/>
      <c r="BA1111" s="7"/>
      <c r="BB1111" s="7"/>
      <c r="BC1111" s="7"/>
      <c r="BD1111" s="7"/>
      <c r="BE1111" s="7"/>
      <c r="BF1111" s="7"/>
      <c r="BG1111" s="7"/>
      <c r="BH1111" s="7"/>
      <c r="BI1111" s="7"/>
      <c r="BJ1111" s="7"/>
      <c r="BK1111" s="7"/>
    </row>
    <row r="1112" ht="22.5" customHeight="1">
      <c r="A1112" s="4">
        <v>46229.70424537037</v>
      </c>
      <c r="B1112" s="5">
        <v>0.0</v>
      </c>
      <c r="C1112" s="6" t="s">
        <v>114</v>
      </c>
      <c r="D1112" s="6" t="s">
        <v>2284</v>
      </c>
      <c r="E1112" s="6" t="s">
        <v>2285</v>
      </c>
      <c r="F1112" s="6">
        <v>6.9070500681E10</v>
      </c>
      <c r="G1112" s="6" t="s">
        <v>6140</v>
      </c>
      <c r="H1112" s="7"/>
      <c r="I1112" s="6" t="s">
        <v>10948</v>
      </c>
      <c r="J1112" s="6" t="s">
        <v>10949</v>
      </c>
      <c r="K1112" s="6" t="s">
        <v>10950</v>
      </c>
      <c r="L1112" s="6" t="s">
        <v>10951</v>
      </c>
      <c r="M1112" s="6" t="s">
        <v>10952</v>
      </c>
      <c r="N1112" s="7"/>
      <c r="O1112" s="6" t="s">
        <v>10953</v>
      </c>
      <c r="P1112" s="6" t="s">
        <v>10954</v>
      </c>
      <c r="Q1112" s="6" t="s">
        <v>10955</v>
      </c>
      <c r="R1112" s="6" t="s">
        <v>246</v>
      </c>
      <c r="S1112" s="6" t="s">
        <v>147</v>
      </c>
      <c r="T1112" s="6" t="s">
        <v>246</v>
      </c>
      <c r="U1112" s="6" t="s">
        <v>560</v>
      </c>
      <c r="V1112" s="6" t="s">
        <v>155</v>
      </c>
      <c r="W1112" s="6" t="s">
        <v>158</v>
      </c>
      <c r="X1112" s="6" t="s">
        <v>257</v>
      </c>
      <c r="Y1112" s="6" t="s">
        <v>162</v>
      </c>
      <c r="Z1112" s="6" t="s">
        <v>4804</v>
      </c>
      <c r="AA1112" s="6" t="s">
        <v>262</v>
      </c>
      <c r="AB1112" s="6" t="s">
        <v>171</v>
      </c>
      <c r="AC1112" s="6" t="s">
        <v>174</v>
      </c>
      <c r="AD1112" s="6" t="s">
        <v>175</v>
      </c>
      <c r="AE1112" s="6" t="s">
        <v>524</v>
      </c>
      <c r="AF1112" s="6" t="s">
        <v>181</v>
      </c>
      <c r="AG1112" s="6" t="s">
        <v>182</v>
      </c>
      <c r="AH1112" s="7"/>
      <c r="AI1112" s="7"/>
      <c r="AJ1112" s="7"/>
      <c r="AK1112" s="7"/>
      <c r="AL1112" s="7"/>
      <c r="AM1112" s="7"/>
      <c r="AN1112" s="7"/>
      <c r="AO1112" s="7"/>
      <c r="AP1112" s="7"/>
      <c r="AQ1112" s="7"/>
      <c r="AR1112" s="7"/>
      <c r="AS1112" s="7"/>
      <c r="AT1112" s="7"/>
      <c r="AU1112" s="7"/>
      <c r="AV1112" s="7"/>
      <c r="AW1112" s="7"/>
      <c r="AX1112" s="7"/>
      <c r="AY1112" s="7"/>
      <c r="AZ1112" s="7"/>
      <c r="BA1112" s="7"/>
      <c r="BB1112" s="7"/>
      <c r="BC1112" s="7"/>
      <c r="BD1112" s="7"/>
      <c r="BE1112" s="7"/>
      <c r="BF1112" s="7"/>
      <c r="BG1112" s="7"/>
      <c r="BH1112" s="7"/>
      <c r="BI1112" s="7"/>
      <c r="BJ1112" s="7"/>
      <c r="BK1112" s="7"/>
    </row>
    <row r="1113" ht="22.5" customHeight="1">
      <c r="A1113" s="4">
        <v>46229.70427219907</v>
      </c>
      <c r="B1113" s="5">
        <v>0.0</v>
      </c>
      <c r="C1113" s="6" t="s">
        <v>114</v>
      </c>
      <c r="D1113" s="6" t="s">
        <v>680</v>
      </c>
      <c r="E1113" s="6" t="s">
        <v>2288</v>
      </c>
      <c r="F1113" s="6">
        <v>6.9070501072E10</v>
      </c>
      <c r="G1113" s="6" t="s">
        <v>1470</v>
      </c>
      <c r="H1113" s="7"/>
      <c r="I1113" s="6" t="s">
        <v>10956</v>
      </c>
      <c r="J1113" s="6" t="s">
        <v>10957</v>
      </c>
      <c r="K1113" s="6" t="s">
        <v>10958</v>
      </c>
      <c r="L1113" s="6" t="s">
        <v>1754</v>
      </c>
      <c r="M1113" s="6" t="s">
        <v>1138</v>
      </c>
      <c r="N1113" s="6" t="s">
        <v>2633</v>
      </c>
      <c r="O1113" s="6" t="s">
        <v>10959</v>
      </c>
      <c r="P1113" s="6" t="s">
        <v>10960</v>
      </c>
      <c r="Q1113" s="6" t="s">
        <v>10961</v>
      </c>
      <c r="R1113" s="6" t="s">
        <v>246</v>
      </c>
      <c r="S1113" s="6" t="s">
        <v>147</v>
      </c>
      <c r="T1113" s="6" t="s">
        <v>250</v>
      </c>
      <c r="U1113" s="6" t="s">
        <v>560</v>
      </c>
      <c r="V1113" s="6" t="s">
        <v>246</v>
      </c>
      <c r="W1113" s="6" t="s">
        <v>158</v>
      </c>
      <c r="X1113" s="6" t="s">
        <v>257</v>
      </c>
      <c r="Y1113" s="6" t="s">
        <v>162</v>
      </c>
      <c r="Z1113" s="6" t="s">
        <v>165</v>
      </c>
      <c r="AA1113" s="6" t="s">
        <v>262</v>
      </c>
      <c r="AB1113" s="6" t="s">
        <v>171</v>
      </c>
      <c r="AC1113" s="6" t="s">
        <v>174</v>
      </c>
      <c r="AD1113" s="6" t="s">
        <v>635</v>
      </c>
      <c r="AE1113" s="6" t="s">
        <v>178</v>
      </c>
      <c r="AF1113" s="6" t="s">
        <v>174</v>
      </c>
      <c r="AG1113" s="6" t="s">
        <v>182</v>
      </c>
      <c r="AH1113" s="7"/>
      <c r="AI1113" s="7"/>
      <c r="AJ1113" s="7"/>
      <c r="AK1113" s="7"/>
      <c r="AL1113" s="7"/>
      <c r="AM1113" s="7"/>
      <c r="AN1113" s="7"/>
      <c r="AO1113" s="7"/>
      <c r="AP1113" s="7"/>
      <c r="AQ1113" s="7"/>
      <c r="AR1113" s="7"/>
      <c r="AS1113" s="7"/>
      <c r="AT1113" s="7"/>
      <c r="AU1113" s="7"/>
      <c r="AV1113" s="7"/>
      <c r="AW1113" s="7"/>
      <c r="AX1113" s="7"/>
      <c r="AY1113" s="7"/>
      <c r="AZ1113" s="7"/>
      <c r="BA1113" s="7"/>
      <c r="BB1113" s="7"/>
      <c r="BC1113" s="7"/>
      <c r="BD1113" s="7"/>
      <c r="BE1113" s="7"/>
      <c r="BF1113" s="7"/>
      <c r="BG1113" s="7"/>
      <c r="BH1113" s="7"/>
      <c r="BI1113" s="7"/>
      <c r="BJ1113" s="7"/>
      <c r="BK1113" s="7"/>
    </row>
    <row r="1114" ht="22.5" customHeight="1">
      <c r="A1114" s="4">
        <v>46229.70428503472</v>
      </c>
      <c r="B1114" s="5">
        <v>0.0</v>
      </c>
      <c r="C1114" s="6" t="s">
        <v>3296</v>
      </c>
      <c r="D1114" s="7"/>
      <c r="E1114" s="7"/>
      <c r="F1114" s="7"/>
      <c r="G1114" s="7"/>
      <c r="H1114" s="7"/>
      <c r="I1114" s="7"/>
      <c r="J1114" s="7"/>
      <c r="K1114" s="7"/>
      <c r="L1114" s="7"/>
      <c r="M1114" s="7"/>
      <c r="N1114" s="7"/>
      <c r="O1114" s="7"/>
      <c r="P1114" s="7"/>
      <c r="Q1114" s="7"/>
      <c r="R1114" s="7"/>
      <c r="S1114" s="7"/>
      <c r="T1114" s="7"/>
      <c r="U1114" s="7"/>
      <c r="V1114" s="7"/>
      <c r="W1114" s="7"/>
      <c r="X1114" s="7"/>
      <c r="Y1114" s="7"/>
      <c r="Z1114" s="7"/>
      <c r="AA1114" s="7"/>
      <c r="AB1114" s="7"/>
      <c r="AC1114" s="7"/>
      <c r="AD1114" s="7"/>
      <c r="AE1114" s="7"/>
      <c r="AF1114" s="7"/>
      <c r="AG1114" s="7"/>
      <c r="AH1114" s="6" t="s">
        <v>2879</v>
      </c>
      <c r="AI1114" s="6" t="s">
        <v>2880</v>
      </c>
      <c r="AJ1114" s="6">
        <v>6.9070503211E10</v>
      </c>
      <c r="AK1114" s="6" t="s">
        <v>9323</v>
      </c>
      <c r="AL1114" s="7"/>
      <c r="AM1114" s="6" t="s">
        <v>10962</v>
      </c>
      <c r="AN1114" s="6" t="s">
        <v>10963</v>
      </c>
      <c r="AO1114" s="6" t="s">
        <v>10964</v>
      </c>
      <c r="AP1114" s="6" t="s">
        <v>10965</v>
      </c>
      <c r="AQ1114" s="6" t="s">
        <v>10966</v>
      </c>
      <c r="AR1114" s="6" t="s">
        <v>10967</v>
      </c>
      <c r="AS1114" s="6" t="s">
        <v>10968</v>
      </c>
      <c r="AT1114" s="6" t="s">
        <v>10969</v>
      </c>
      <c r="AU1114" s="6" t="s">
        <v>10970</v>
      </c>
      <c r="AV1114" s="6" t="s">
        <v>8899</v>
      </c>
      <c r="AW1114" s="6" t="s">
        <v>9070</v>
      </c>
      <c r="AX1114" s="6" t="s">
        <v>4887</v>
      </c>
      <c r="AY1114" s="6" t="s">
        <v>152</v>
      </c>
      <c r="AZ1114" s="6" t="s">
        <v>6098</v>
      </c>
      <c r="BA1114" s="6" t="s">
        <v>7204</v>
      </c>
      <c r="BB1114" s="6" t="s">
        <v>6098</v>
      </c>
      <c r="BC1114" s="6" t="s">
        <v>3313</v>
      </c>
      <c r="BD1114" s="6" t="s">
        <v>152</v>
      </c>
      <c r="BE1114" s="6" t="s">
        <v>5761</v>
      </c>
      <c r="BF1114" s="6" t="s">
        <v>3315</v>
      </c>
      <c r="BG1114" s="6" t="s">
        <v>3316</v>
      </c>
      <c r="BH1114" s="6" t="s">
        <v>5761</v>
      </c>
      <c r="BI1114" s="6" t="s">
        <v>178</v>
      </c>
      <c r="BJ1114" s="6" t="s">
        <v>4068</v>
      </c>
      <c r="BK1114" s="6" t="s">
        <v>7178</v>
      </c>
    </row>
    <row r="1115" ht="22.5" customHeight="1">
      <c r="A1115" s="4">
        <v>46229.704303715276</v>
      </c>
      <c r="B1115" s="5">
        <v>0.0</v>
      </c>
      <c r="C1115" s="6" t="s">
        <v>3296</v>
      </c>
      <c r="D1115" s="7"/>
      <c r="E1115" s="7"/>
      <c r="F1115" s="7"/>
      <c r="G1115" s="7"/>
      <c r="H1115" s="7"/>
      <c r="I1115" s="7"/>
      <c r="J1115" s="7"/>
      <c r="K1115" s="7"/>
      <c r="L1115" s="7"/>
      <c r="M1115" s="7"/>
      <c r="N1115" s="7"/>
      <c r="O1115" s="7"/>
      <c r="P1115" s="7"/>
      <c r="Q1115" s="7"/>
      <c r="R1115" s="7"/>
      <c r="S1115" s="7"/>
      <c r="T1115" s="7"/>
      <c r="U1115" s="7"/>
      <c r="V1115" s="7"/>
      <c r="W1115" s="7"/>
      <c r="X1115" s="7"/>
      <c r="Y1115" s="7"/>
      <c r="Z1115" s="7"/>
      <c r="AA1115" s="7"/>
      <c r="AB1115" s="7"/>
      <c r="AC1115" s="7"/>
      <c r="AD1115" s="7"/>
      <c r="AE1115" s="7"/>
      <c r="AF1115" s="7"/>
      <c r="AG1115" s="7"/>
      <c r="AH1115" s="6" t="s">
        <v>879</v>
      </c>
      <c r="AI1115" s="6" t="s">
        <v>2881</v>
      </c>
      <c r="AJ1115" s="6">
        <v>6.9070503409E10</v>
      </c>
      <c r="AK1115" s="6" t="s">
        <v>3297</v>
      </c>
      <c r="AL1115" s="7"/>
      <c r="AM1115" s="6" t="s">
        <v>10971</v>
      </c>
      <c r="AN1115" s="6" t="s">
        <v>9572</v>
      </c>
      <c r="AO1115" s="6" t="s">
        <v>1750</v>
      </c>
      <c r="AP1115" s="6" t="s">
        <v>9081</v>
      </c>
      <c r="AQ1115" s="6" t="s">
        <v>10972</v>
      </c>
      <c r="AR1115" s="7"/>
      <c r="AS1115" s="6" t="s">
        <v>10973</v>
      </c>
      <c r="AT1115" s="6" t="s">
        <v>10974</v>
      </c>
      <c r="AU1115" s="6" t="s">
        <v>10975</v>
      </c>
      <c r="AV1115" s="6" t="s">
        <v>3306</v>
      </c>
      <c r="AW1115" s="6" t="s">
        <v>3307</v>
      </c>
      <c r="AX1115" s="6" t="s">
        <v>3887</v>
      </c>
      <c r="AY1115" s="6" t="s">
        <v>152</v>
      </c>
      <c r="AZ1115" s="6" t="s">
        <v>3306</v>
      </c>
      <c r="BA1115" s="6" t="s">
        <v>3311</v>
      </c>
      <c r="BB1115" s="6" t="s">
        <v>3312</v>
      </c>
      <c r="BC1115" s="6" t="s">
        <v>3313</v>
      </c>
      <c r="BD1115" s="6" t="s">
        <v>165</v>
      </c>
      <c r="BE1115" s="6" t="s">
        <v>3888</v>
      </c>
      <c r="BF1115" s="6" t="s">
        <v>3315</v>
      </c>
      <c r="BG1115" s="6" t="s">
        <v>4068</v>
      </c>
      <c r="BH1115" s="6" t="s">
        <v>3317</v>
      </c>
      <c r="BI1115" s="6" t="s">
        <v>271</v>
      </c>
      <c r="BJ1115" s="6" t="s">
        <v>3318</v>
      </c>
      <c r="BK1115" s="6" t="s">
        <v>4695</v>
      </c>
    </row>
    <row r="1116" ht="22.5" customHeight="1">
      <c r="A1116" s="4">
        <v>46229.70433997685</v>
      </c>
      <c r="B1116" s="5">
        <v>0.0</v>
      </c>
      <c r="C1116" s="6" t="s">
        <v>3296</v>
      </c>
      <c r="D1116" s="7"/>
      <c r="E1116" s="7"/>
      <c r="F1116" s="7"/>
      <c r="G1116" s="7"/>
      <c r="H1116" s="7"/>
      <c r="I1116" s="7"/>
      <c r="J1116" s="7"/>
      <c r="K1116" s="7"/>
      <c r="L1116" s="7"/>
      <c r="M1116" s="7"/>
      <c r="N1116" s="7"/>
      <c r="O1116" s="7"/>
      <c r="P1116" s="7"/>
      <c r="Q1116" s="7"/>
      <c r="R1116" s="7"/>
      <c r="S1116" s="7"/>
      <c r="T1116" s="7"/>
      <c r="U1116" s="7"/>
      <c r="V1116" s="7"/>
      <c r="W1116" s="7"/>
      <c r="X1116" s="7"/>
      <c r="Y1116" s="7"/>
      <c r="Z1116" s="7"/>
      <c r="AA1116" s="7"/>
      <c r="AB1116" s="7"/>
      <c r="AC1116" s="7"/>
      <c r="AD1116" s="7"/>
      <c r="AE1116" s="7"/>
      <c r="AF1116" s="7"/>
      <c r="AG1116" s="7"/>
      <c r="AH1116" s="6" t="s">
        <v>2882</v>
      </c>
      <c r="AI1116" s="6" t="s">
        <v>2883</v>
      </c>
      <c r="AJ1116" s="6">
        <v>6.9070508618E10</v>
      </c>
      <c r="AK1116" s="6" t="s">
        <v>9716</v>
      </c>
      <c r="AL1116" s="7"/>
      <c r="AM1116" s="6" t="s">
        <v>10976</v>
      </c>
      <c r="AN1116" s="6" t="s">
        <v>10977</v>
      </c>
      <c r="AO1116" s="6" t="s">
        <v>10978</v>
      </c>
      <c r="AP1116" s="6" t="s">
        <v>10979</v>
      </c>
      <c r="AQ1116" s="6" t="s">
        <v>10980</v>
      </c>
      <c r="AR1116" s="7"/>
      <c r="AS1116" s="6" t="s">
        <v>10981</v>
      </c>
      <c r="AT1116" s="6" t="s">
        <v>10982</v>
      </c>
      <c r="AU1116" s="6" t="s">
        <v>10983</v>
      </c>
      <c r="AV1116" s="6" t="s">
        <v>3306</v>
      </c>
      <c r="AW1116" s="6" t="s">
        <v>3307</v>
      </c>
      <c r="AX1116" s="6" t="s">
        <v>3887</v>
      </c>
      <c r="AY1116" s="6" t="s">
        <v>4067</v>
      </c>
      <c r="AZ1116" s="6" t="s">
        <v>3306</v>
      </c>
      <c r="BA1116" s="6" t="s">
        <v>3311</v>
      </c>
      <c r="BB1116" s="6" t="s">
        <v>4693</v>
      </c>
      <c r="BC1116" s="6" t="s">
        <v>3313</v>
      </c>
      <c r="BD1116" s="6" t="s">
        <v>165</v>
      </c>
      <c r="BE1116" s="6" t="s">
        <v>5761</v>
      </c>
      <c r="BF1116" s="6" t="s">
        <v>3315</v>
      </c>
      <c r="BG1116" s="6" t="s">
        <v>3316</v>
      </c>
      <c r="BH1116" s="6" t="s">
        <v>8124</v>
      </c>
      <c r="BI1116" s="6" t="s">
        <v>3105</v>
      </c>
      <c r="BJ1116" s="6" t="s">
        <v>5247</v>
      </c>
      <c r="BK1116" s="6" t="s">
        <v>3319</v>
      </c>
    </row>
    <row r="1117" ht="22.5" customHeight="1">
      <c r="A1117" s="4">
        <v>46229.70436033564</v>
      </c>
      <c r="B1117" s="5">
        <v>0.0</v>
      </c>
      <c r="C1117" s="6" t="s">
        <v>3296</v>
      </c>
      <c r="D1117" s="7"/>
      <c r="E1117" s="7"/>
      <c r="F1117" s="7"/>
      <c r="G1117" s="7"/>
      <c r="H1117" s="7"/>
      <c r="I1117" s="7"/>
      <c r="J1117" s="7"/>
      <c r="K1117" s="7"/>
      <c r="L1117" s="7"/>
      <c r="M1117" s="7"/>
      <c r="N1117" s="7"/>
      <c r="O1117" s="7"/>
      <c r="P1117" s="7"/>
      <c r="Q1117" s="7"/>
      <c r="R1117" s="7"/>
      <c r="S1117" s="7"/>
      <c r="T1117" s="7"/>
      <c r="U1117" s="7"/>
      <c r="V1117" s="7"/>
      <c r="W1117" s="7"/>
      <c r="X1117" s="7"/>
      <c r="Y1117" s="7"/>
      <c r="Z1117" s="7"/>
      <c r="AA1117" s="7"/>
      <c r="AB1117" s="7"/>
      <c r="AC1117" s="7"/>
      <c r="AD1117" s="7"/>
      <c r="AE1117" s="7"/>
      <c r="AF1117" s="7"/>
      <c r="AG1117" s="7"/>
      <c r="AH1117" s="6" t="s">
        <v>2884</v>
      </c>
      <c r="AI1117" s="6" t="s">
        <v>2885</v>
      </c>
      <c r="AJ1117" s="6">
        <v>6.9070504031E10</v>
      </c>
      <c r="AK1117" s="6" t="s">
        <v>4331</v>
      </c>
      <c r="AL1117" s="6" t="s">
        <v>10984</v>
      </c>
      <c r="AM1117" s="6" t="s">
        <v>8918</v>
      </c>
      <c r="AN1117" s="6" t="s">
        <v>8920</v>
      </c>
      <c r="AO1117" s="6" t="s">
        <v>10239</v>
      </c>
      <c r="AP1117" s="6" t="s">
        <v>10985</v>
      </c>
      <c r="AQ1117" s="6" t="s">
        <v>10240</v>
      </c>
      <c r="AR1117" s="6" t="s">
        <v>10986</v>
      </c>
      <c r="AS1117" s="6" t="s">
        <v>10987</v>
      </c>
      <c r="AT1117" s="6" t="s">
        <v>10988</v>
      </c>
      <c r="AU1117" s="6" t="s">
        <v>10989</v>
      </c>
      <c r="AV1117" s="6" t="s">
        <v>3306</v>
      </c>
      <c r="AW1117" s="6" t="s">
        <v>3307</v>
      </c>
      <c r="AX1117" s="6" t="s">
        <v>3887</v>
      </c>
      <c r="AY1117" s="6" t="s">
        <v>152</v>
      </c>
      <c r="AZ1117" s="6" t="s">
        <v>3306</v>
      </c>
      <c r="BA1117" s="6" t="s">
        <v>3311</v>
      </c>
      <c r="BB1117" s="6" t="s">
        <v>6098</v>
      </c>
      <c r="BC1117" s="6" t="s">
        <v>3313</v>
      </c>
      <c r="BD1117" s="6" t="s">
        <v>165</v>
      </c>
      <c r="BE1117" s="6" t="s">
        <v>3888</v>
      </c>
      <c r="BF1117" s="6" t="s">
        <v>3889</v>
      </c>
      <c r="BG1117" s="6" t="s">
        <v>4068</v>
      </c>
      <c r="BH1117" s="6" t="s">
        <v>3317</v>
      </c>
      <c r="BI1117" s="6" t="s">
        <v>271</v>
      </c>
      <c r="BJ1117" s="6" t="s">
        <v>3318</v>
      </c>
      <c r="BK1117" s="6" t="s">
        <v>3319</v>
      </c>
    </row>
    <row r="1118" ht="22.5" customHeight="1">
      <c r="A1118" s="4">
        <v>46229.70437126157</v>
      </c>
      <c r="B1118" s="5">
        <v>0.0</v>
      </c>
      <c r="C1118" s="6" t="s">
        <v>3296</v>
      </c>
      <c r="D1118" s="7"/>
      <c r="E1118" s="7"/>
      <c r="F1118" s="7"/>
      <c r="G1118" s="7"/>
      <c r="H1118" s="7"/>
      <c r="I1118" s="7"/>
      <c r="J1118" s="7"/>
      <c r="K1118" s="7"/>
      <c r="L1118" s="7"/>
      <c r="M1118" s="7"/>
      <c r="N1118" s="7"/>
      <c r="O1118" s="7"/>
      <c r="P1118" s="7"/>
      <c r="Q1118" s="7"/>
      <c r="R1118" s="7"/>
      <c r="S1118" s="7"/>
      <c r="T1118" s="7"/>
      <c r="U1118" s="7"/>
      <c r="V1118" s="7"/>
      <c r="W1118" s="7"/>
      <c r="X1118" s="7"/>
      <c r="Y1118" s="7"/>
      <c r="Z1118" s="7"/>
      <c r="AA1118" s="7"/>
      <c r="AB1118" s="7"/>
      <c r="AC1118" s="7"/>
      <c r="AD1118" s="7"/>
      <c r="AE1118" s="7"/>
      <c r="AF1118" s="7"/>
      <c r="AG1118" s="7"/>
      <c r="AH1118" s="6" t="s">
        <v>2886</v>
      </c>
      <c r="AI1118" s="6" t="s">
        <v>2887</v>
      </c>
      <c r="AJ1118" s="6">
        <v>6.9070504018E10</v>
      </c>
      <c r="AK1118" s="6" t="s">
        <v>4331</v>
      </c>
      <c r="AL1118" s="6" t="s">
        <v>6911</v>
      </c>
      <c r="AM1118" s="6" t="s">
        <v>10990</v>
      </c>
      <c r="AN1118" s="6" t="s">
        <v>10991</v>
      </c>
      <c r="AO1118" s="6" t="s">
        <v>10992</v>
      </c>
      <c r="AP1118" s="6" t="s">
        <v>10993</v>
      </c>
      <c r="AQ1118" s="6" t="s">
        <v>10994</v>
      </c>
      <c r="AR1118" s="6" t="s">
        <v>2633</v>
      </c>
      <c r="AS1118" s="6" t="s">
        <v>10995</v>
      </c>
      <c r="AT1118" s="6" t="s">
        <v>10996</v>
      </c>
      <c r="AU1118" s="6" t="s">
        <v>10997</v>
      </c>
      <c r="AV1118" s="6" t="s">
        <v>3312</v>
      </c>
      <c r="AW1118" s="6" t="s">
        <v>3307</v>
      </c>
      <c r="AX1118" s="6" t="s">
        <v>3887</v>
      </c>
      <c r="AY1118" s="6" t="s">
        <v>5759</v>
      </c>
      <c r="AZ1118" s="6" t="s">
        <v>3306</v>
      </c>
      <c r="BA1118" s="6" t="s">
        <v>3311</v>
      </c>
      <c r="BB1118" s="6" t="s">
        <v>4693</v>
      </c>
      <c r="BC1118" s="6" t="s">
        <v>8802</v>
      </c>
      <c r="BD1118" s="6" t="s">
        <v>629</v>
      </c>
      <c r="BE1118" s="6" t="s">
        <v>3888</v>
      </c>
      <c r="BF1118" s="6" t="s">
        <v>3315</v>
      </c>
      <c r="BG1118" s="6" t="s">
        <v>5760</v>
      </c>
      <c r="BH1118" s="6" t="s">
        <v>5246</v>
      </c>
      <c r="BI1118" s="6" t="s">
        <v>524</v>
      </c>
      <c r="BJ1118" s="6" t="s">
        <v>8499</v>
      </c>
      <c r="BK1118" s="6" t="s">
        <v>3319</v>
      </c>
    </row>
    <row r="1119" ht="22.5" customHeight="1">
      <c r="A1119" s="4">
        <v>46229.7043735301</v>
      </c>
      <c r="B1119" s="5">
        <v>0.0</v>
      </c>
      <c r="C1119" s="6" t="s">
        <v>114</v>
      </c>
      <c r="D1119" s="6" t="s">
        <v>2291</v>
      </c>
      <c r="E1119" s="6" t="s">
        <v>2292</v>
      </c>
      <c r="F1119" s="6">
        <v>6.9070509406E10</v>
      </c>
      <c r="G1119" s="6" t="s">
        <v>122</v>
      </c>
      <c r="H1119" s="7"/>
      <c r="I1119" s="6" t="s">
        <v>10998</v>
      </c>
      <c r="J1119" s="6" t="s">
        <v>10999</v>
      </c>
      <c r="K1119" s="6" t="s">
        <v>11000</v>
      </c>
      <c r="L1119" s="6" t="s">
        <v>11001</v>
      </c>
      <c r="M1119" s="6" t="s">
        <v>11002</v>
      </c>
      <c r="N1119" s="7"/>
      <c r="O1119" s="6" t="s">
        <v>11003</v>
      </c>
      <c r="P1119" s="6" t="s">
        <v>11004</v>
      </c>
      <c r="Q1119" s="6" t="s">
        <v>11005</v>
      </c>
      <c r="R1119" s="6" t="s">
        <v>257</v>
      </c>
      <c r="S1119" s="6" t="s">
        <v>147</v>
      </c>
      <c r="T1119" s="6" t="s">
        <v>250</v>
      </c>
      <c r="U1119" s="6" t="s">
        <v>560</v>
      </c>
      <c r="V1119" s="6" t="s">
        <v>246</v>
      </c>
      <c r="W1119" s="6" t="s">
        <v>158</v>
      </c>
      <c r="X1119" s="6" t="s">
        <v>458</v>
      </c>
      <c r="Y1119" s="6" t="s">
        <v>162</v>
      </c>
      <c r="Z1119" s="6" t="s">
        <v>165</v>
      </c>
      <c r="AA1119" s="6" t="s">
        <v>262</v>
      </c>
      <c r="AB1119" s="6" t="s">
        <v>521</v>
      </c>
      <c r="AC1119" s="6" t="s">
        <v>174</v>
      </c>
      <c r="AD1119" s="6" t="s">
        <v>635</v>
      </c>
      <c r="AE1119" s="6" t="s">
        <v>1211</v>
      </c>
      <c r="AF1119" s="6" t="s">
        <v>181</v>
      </c>
      <c r="AG1119" s="6" t="s">
        <v>182</v>
      </c>
      <c r="AH1119" s="7"/>
      <c r="AI1119" s="7"/>
      <c r="AJ1119" s="7"/>
      <c r="AK1119" s="7"/>
      <c r="AL1119" s="7"/>
      <c r="AM1119" s="7"/>
      <c r="AN1119" s="7"/>
      <c r="AO1119" s="7"/>
      <c r="AP1119" s="7"/>
      <c r="AQ1119" s="7"/>
      <c r="AR1119" s="7"/>
      <c r="AS1119" s="7"/>
      <c r="AT1119" s="7"/>
      <c r="AU1119" s="7"/>
      <c r="AV1119" s="7"/>
      <c r="AW1119" s="7"/>
      <c r="AX1119" s="7"/>
      <c r="AY1119" s="7"/>
      <c r="AZ1119" s="7"/>
      <c r="BA1119" s="7"/>
      <c r="BB1119" s="7"/>
      <c r="BC1119" s="7"/>
      <c r="BD1119" s="7"/>
      <c r="BE1119" s="7"/>
      <c r="BF1119" s="7"/>
      <c r="BG1119" s="7"/>
      <c r="BH1119" s="7"/>
      <c r="BI1119" s="7"/>
      <c r="BJ1119" s="7"/>
      <c r="BK1119" s="7"/>
    </row>
    <row r="1120" ht="22.5" customHeight="1">
      <c r="A1120" s="4">
        <v>46229.704383749995</v>
      </c>
      <c r="B1120" s="5">
        <v>0.0</v>
      </c>
      <c r="C1120" s="6" t="s">
        <v>114</v>
      </c>
      <c r="D1120" s="6" t="s">
        <v>540</v>
      </c>
      <c r="E1120" s="6" t="s">
        <v>2295</v>
      </c>
      <c r="F1120" s="6">
        <v>6.9070500655E10</v>
      </c>
      <c r="G1120" s="6" t="s">
        <v>6140</v>
      </c>
      <c r="H1120" s="7"/>
      <c r="I1120" s="6" t="s">
        <v>7482</v>
      </c>
      <c r="J1120" s="6" t="s">
        <v>10734</v>
      </c>
      <c r="K1120" s="6" t="s">
        <v>11006</v>
      </c>
      <c r="L1120" s="6" t="s">
        <v>5944</v>
      </c>
      <c r="M1120" s="6" t="s">
        <v>3733</v>
      </c>
      <c r="N1120" s="6" t="s">
        <v>11007</v>
      </c>
      <c r="O1120" s="6" t="s">
        <v>11008</v>
      </c>
      <c r="P1120" s="6" t="s">
        <v>11009</v>
      </c>
      <c r="Q1120" s="6" t="s">
        <v>11009</v>
      </c>
      <c r="R1120" s="6" t="s">
        <v>246</v>
      </c>
      <c r="S1120" s="6" t="s">
        <v>147</v>
      </c>
      <c r="T1120" s="6" t="s">
        <v>250</v>
      </c>
      <c r="U1120" s="6" t="s">
        <v>252</v>
      </c>
      <c r="V1120" s="6" t="s">
        <v>246</v>
      </c>
      <c r="W1120" s="6" t="s">
        <v>158</v>
      </c>
      <c r="X1120" s="6" t="s">
        <v>257</v>
      </c>
      <c r="Y1120" s="6" t="s">
        <v>162</v>
      </c>
      <c r="Z1120" s="6" t="s">
        <v>165</v>
      </c>
      <c r="AA1120" s="6" t="s">
        <v>262</v>
      </c>
      <c r="AB1120" s="6" t="s">
        <v>521</v>
      </c>
      <c r="AC1120" s="6" t="s">
        <v>174</v>
      </c>
      <c r="AD1120" s="6" t="s">
        <v>175</v>
      </c>
      <c r="AE1120" s="6" t="s">
        <v>271</v>
      </c>
      <c r="AF1120" s="6" t="s">
        <v>181</v>
      </c>
      <c r="AG1120" s="6" t="s">
        <v>182</v>
      </c>
      <c r="AH1120" s="7"/>
      <c r="AI1120" s="7"/>
      <c r="AJ1120" s="7"/>
      <c r="AK1120" s="7"/>
      <c r="AL1120" s="7"/>
      <c r="AM1120" s="7"/>
      <c r="AN1120" s="7"/>
      <c r="AO1120" s="7"/>
      <c r="AP1120" s="7"/>
      <c r="AQ1120" s="7"/>
      <c r="AR1120" s="7"/>
      <c r="AS1120" s="7"/>
      <c r="AT1120" s="7"/>
      <c r="AU1120" s="7"/>
      <c r="AV1120" s="7"/>
      <c r="AW1120" s="7"/>
      <c r="AX1120" s="7"/>
      <c r="AY1120" s="7"/>
      <c r="AZ1120" s="7"/>
      <c r="BA1120" s="7"/>
      <c r="BB1120" s="7"/>
      <c r="BC1120" s="7"/>
      <c r="BD1120" s="7"/>
      <c r="BE1120" s="7"/>
      <c r="BF1120" s="7"/>
      <c r="BG1120" s="7"/>
      <c r="BH1120" s="7"/>
      <c r="BI1120" s="7"/>
      <c r="BJ1120" s="7"/>
      <c r="BK1120" s="7"/>
    </row>
    <row r="1121" ht="22.5" customHeight="1">
      <c r="A1121" s="4">
        <v>46229.70438678241</v>
      </c>
      <c r="B1121" s="5">
        <v>0.0</v>
      </c>
      <c r="C1121" s="6" t="s">
        <v>114</v>
      </c>
      <c r="D1121" s="6" t="s">
        <v>2298</v>
      </c>
      <c r="E1121" s="6" t="s">
        <v>2300</v>
      </c>
      <c r="F1121" s="6">
        <v>6.9070500693E10</v>
      </c>
      <c r="G1121" s="6" t="s">
        <v>6140</v>
      </c>
      <c r="H1121" s="7"/>
      <c r="I1121" s="6" t="s">
        <v>11010</v>
      </c>
      <c r="J1121" s="6" t="s">
        <v>11011</v>
      </c>
      <c r="K1121" s="6" t="s">
        <v>11012</v>
      </c>
      <c r="L1121" s="6" t="s">
        <v>11013</v>
      </c>
      <c r="M1121" s="6" t="s">
        <v>1907</v>
      </c>
      <c r="N1121" s="7"/>
      <c r="O1121" s="6" t="s">
        <v>11014</v>
      </c>
      <c r="P1121" s="6" t="s">
        <v>11015</v>
      </c>
      <c r="Q1121" s="6" t="s">
        <v>11016</v>
      </c>
      <c r="R1121" s="6" t="s">
        <v>246</v>
      </c>
      <c r="S1121" s="6" t="s">
        <v>147</v>
      </c>
      <c r="T1121" s="6" t="s">
        <v>250</v>
      </c>
      <c r="U1121" s="6" t="s">
        <v>252</v>
      </c>
      <c r="V1121" s="6" t="s">
        <v>246</v>
      </c>
      <c r="W1121" s="6" t="s">
        <v>158</v>
      </c>
      <c r="X1121" s="6" t="s">
        <v>257</v>
      </c>
      <c r="Y1121" s="6" t="s">
        <v>162</v>
      </c>
      <c r="Z1121" s="6" t="s">
        <v>165</v>
      </c>
      <c r="AA1121" s="6" t="s">
        <v>262</v>
      </c>
      <c r="AB1121" s="6" t="s">
        <v>521</v>
      </c>
      <c r="AC1121" s="6" t="s">
        <v>2718</v>
      </c>
      <c r="AD1121" s="6" t="s">
        <v>175</v>
      </c>
      <c r="AE1121" s="6" t="s">
        <v>271</v>
      </c>
      <c r="AF1121" s="6" t="s">
        <v>181</v>
      </c>
      <c r="AG1121" s="6" t="s">
        <v>182</v>
      </c>
      <c r="AH1121" s="7"/>
      <c r="AI1121" s="7"/>
      <c r="AJ1121" s="7"/>
      <c r="AK1121" s="7"/>
      <c r="AL1121" s="7"/>
      <c r="AM1121" s="7"/>
      <c r="AN1121" s="7"/>
      <c r="AO1121" s="7"/>
      <c r="AP1121" s="7"/>
      <c r="AQ1121" s="7"/>
      <c r="AR1121" s="7"/>
      <c r="AS1121" s="7"/>
      <c r="AT1121" s="7"/>
      <c r="AU1121" s="7"/>
      <c r="AV1121" s="7"/>
      <c r="AW1121" s="7"/>
      <c r="AX1121" s="7"/>
      <c r="AY1121" s="7"/>
      <c r="AZ1121" s="7"/>
      <c r="BA1121" s="7"/>
      <c r="BB1121" s="7"/>
      <c r="BC1121" s="7"/>
      <c r="BD1121" s="7"/>
      <c r="BE1121" s="7"/>
      <c r="BF1121" s="7"/>
      <c r="BG1121" s="7"/>
      <c r="BH1121" s="7"/>
      <c r="BI1121" s="7"/>
      <c r="BJ1121" s="7"/>
      <c r="BK1121" s="7"/>
    </row>
    <row r="1122" ht="22.5" customHeight="1">
      <c r="A1122" s="4">
        <v>46229.70439490741</v>
      </c>
      <c r="B1122" s="5">
        <v>0.0</v>
      </c>
      <c r="C1122" s="6" t="s">
        <v>114</v>
      </c>
      <c r="D1122" s="6" t="s">
        <v>249</v>
      </c>
      <c r="E1122" s="6" t="s">
        <v>2301</v>
      </c>
      <c r="F1122" s="6">
        <v>6.9070509457E10</v>
      </c>
      <c r="G1122" s="6" t="s">
        <v>122</v>
      </c>
      <c r="H1122" s="7"/>
      <c r="I1122" s="6" t="s">
        <v>11017</v>
      </c>
      <c r="J1122" s="6" t="s">
        <v>11018</v>
      </c>
      <c r="K1122" s="6" t="s">
        <v>11019</v>
      </c>
      <c r="L1122" s="6" t="s">
        <v>11020</v>
      </c>
      <c r="M1122" s="6" t="s">
        <v>11021</v>
      </c>
      <c r="N1122" s="6" t="s">
        <v>11022</v>
      </c>
      <c r="O1122" s="6" t="s">
        <v>11023</v>
      </c>
      <c r="P1122" s="6" t="s">
        <v>11024</v>
      </c>
      <c r="Q1122" s="6" t="s">
        <v>11025</v>
      </c>
      <c r="R1122" s="6" t="s">
        <v>257</v>
      </c>
      <c r="S1122" s="6" t="s">
        <v>147</v>
      </c>
      <c r="T1122" s="6" t="s">
        <v>149</v>
      </c>
      <c r="U1122" s="6" t="s">
        <v>560</v>
      </c>
      <c r="V1122" s="6" t="s">
        <v>2302</v>
      </c>
      <c r="W1122" s="6" t="s">
        <v>158</v>
      </c>
      <c r="X1122" s="6" t="s">
        <v>246</v>
      </c>
      <c r="Y1122" s="6" t="s">
        <v>162</v>
      </c>
      <c r="Z1122" s="6" t="s">
        <v>165</v>
      </c>
      <c r="AA1122" s="6" t="s">
        <v>2307</v>
      </c>
      <c r="AB1122" s="6" t="s">
        <v>171</v>
      </c>
      <c r="AC1122" s="6" t="s">
        <v>174</v>
      </c>
      <c r="AD1122" s="6" t="s">
        <v>635</v>
      </c>
      <c r="AE1122" s="6" t="s">
        <v>524</v>
      </c>
      <c r="AF1122" s="6" t="s">
        <v>174</v>
      </c>
      <c r="AG1122" s="6" t="s">
        <v>182</v>
      </c>
      <c r="AH1122" s="7"/>
      <c r="AI1122" s="7"/>
      <c r="AJ1122" s="7"/>
      <c r="AK1122" s="7"/>
      <c r="AL1122" s="7"/>
      <c r="AM1122" s="7"/>
      <c r="AN1122" s="7"/>
      <c r="AO1122" s="7"/>
      <c r="AP1122" s="7"/>
      <c r="AQ1122" s="7"/>
      <c r="AR1122" s="7"/>
      <c r="AS1122" s="7"/>
      <c r="AT1122" s="7"/>
      <c r="AU1122" s="7"/>
      <c r="AV1122" s="7"/>
      <c r="AW1122" s="7"/>
      <c r="AX1122" s="7"/>
      <c r="AY1122" s="7"/>
      <c r="AZ1122" s="7"/>
      <c r="BA1122" s="7"/>
      <c r="BB1122" s="7"/>
      <c r="BC1122" s="7"/>
      <c r="BD1122" s="7"/>
      <c r="BE1122" s="7"/>
      <c r="BF1122" s="7"/>
      <c r="BG1122" s="7"/>
      <c r="BH1122" s="7"/>
      <c r="BI1122" s="7"/>
      <c r="BJ1122" s="7"/>
      <c r="BK1122" s="7"/>
    </row>
    <row r="1123" ht="22.5" customHeight="1">
      <c r="A1123" s="4">
        <v>46229.70441453704</v>
      </c>
      <c r="B1123" s="5">
        <v>0.0</v>
      </c>
      <c r="C1123" s="6" t="s">
        <v>114</v>
      </c>
      <c r="D1123" s="6" t="s">
        <v>2303</v>
      </c>
      <c r="E1123" s="6" t="s">
        <v>2304</v>
      </c>
      <c r="F1123" s="6">
        <v>6.9070500233E10</v>
      </c>
      <c r="G1123" s="6" t="s">
        <v>599</v>
      </c>
      <c r="H1123" s="7"/>
      <c r="I1123" s="6" t="s">
        <v>7113</v>
      </c>
      <c r="J1123" s="6" t="s">
        <v>2864</v>
      </c>
      <c r="K1123" s="6" t="s">
        <v>8305</v>
      </c>
      <c r="L1123" s="6" t="s">
        <v>11026</v>
      </c>
      <c r="M1123" s="6" t="s">
        <v>7602</v>
      </c>
      <c r="N1123" s="7"/>
      <c r="O1123" s="6" t="s">
        <v>11027</v>
      </c>
      <c r="P1123" s="6" t="s">
        <v>11028</v>
      </c>
      <c r="Q1123" s="6" t="s">
        <v>11029</v>
      </c>
      <c r="R1123" s="6" t="s">
        <v>246</v>
      </c>
      <c r="S1123" s="6" t="s">
        <v>147</v>
      </c>
      <c r="T1123" s="6" t="s">
        <v>250</v>
      </c>
      <c r="U1123" s="6" t="s">
        <v>252</v>
      </c>
      <c r="V1123" s="6" t="s">
        <v>246</v>
      </c>
      <c r="W1123" s="6" t="s">
        <v>158</v>
      </c>
      <c r="X1123" s="6" t="s">
        <v>257</v>
      </c>
      <c r="Y1123" s="6" t="s">
        <v>162</v>
      </c>
      <c r="Z1123" s="6" t="s">
        <v>165</v>
      </c>
      <c r="AA1123" s="6" t="s">
        <v>262</v>
      </c>
      <c r="AB1123" s="6" t="s">
        <v>171</v>
      </c>
      <c r="AC1123" s="6" t="s">
        <v>174</v>
      </c>
      <c r="AD1123" s="6" t="s">
        <v>175</v>
      </c>
      <c r="AE1123" s="6" t="s">
        <v>271</v>
      </c>
      <c r="AF1123" s="6" t="s">
        <v>181</v>
      </c>
      <c r="AG1123" s="6" t="s">
        <v>182</v>
      </c>
      <c r="AH1123" s="7"/>
      <c r="AI1123" s="7"/>
      <c r="AJ1123" s="7"/>
      <c r="AK1123" s="7"/>
      <c r="AL1123" s="7"/>
      <c r="AM1123" s="7"/>
      <c r="AN1123" s="7"/>
      <c r="AO1123" s="7"/>
      <c r="AP1123" s="7"/>
      <c r="AQ1123" s="7"/>
      <c r="AR1123" s="7"/>
      <c r="AS1123" s="7"/>
      <c r="AT1123" s="7"/>
      <c r="AU1123" s="7"/>
      <c r="AV1123" s="7"/>
      <c r="AW1123" s="7"/>
      <c r="AX1123" s="7"/>
      <c r="AY1123" s="7"/>
      <c r="AZ1123" s="7"/>
      <c r="BA1123" s="7"/>
      <c r="BB1123" s="7"/>
      <c r="BC1123" s="7"/>
      <c r="BD1123" s="7"/>
      <c r="BE1123" s="7"/>
      <c r="BF1123" s="7"/>
      <c r="BG1123" s="7"/>
      <c r="BH1123" s="7"/>
      <c r="BI1123" s="7"/>
      <c r="BJ1123" s="7"/>
      <c r="BK1123" s="7"/>
    </row>
    <row r="1124" ht="22.5" customHeight="1">
      <c r="A1124" s="4">
        <v>46229.7044158912</v>
      </c>
      <c r="B1124" s="5">
        <v>0.0</v>
      </c>
      <c r="C1124" s="6" t="s">
        <v>114</v>
      </c>
      <c r="D1124" s="6" t="s">
        <v>2305</v>
      </c>
      <c r="E1124" s="6" t="s">
        <v>2306</v>
      </c>
      <c r="F1124" s="6">
        <v>6.9070500648E10</v>
      </c>
      <c r="G1124" s="6" t="s">
        <v>6140</v>
      </c>
      <c r="H1124" s="7"/>
      <c r="I1124" s="6" t="s">
        <v>11030</v>
      </c>
      <c r="J1124" s="6" t="s">
        <v>11031</v>
      </c>
      <c r="K1124" s="6" t="s">
        <v>11032</v>
      </c>
      <c r="L1124" s="6" t="s">
        <v>11033</v>
      </c>
      <c r="M1124" s="6" t="s">
        <v>11034</v>
      </c>
      <c r="N1124" s="6" t="s">
        <v>2633</v>
      </c>
      <c r="O1124" s="6" t="s">
        <v>11035</v>
      </c>
      <c r="P1124" s="6" t="s">
        <v>11036</v>
      </c>
      <c r="Q1124" s="6" t="s">
        <v>11036</v>
      </c>
      <c r="R1124" s="6" t="s">
        <v>246</v>
      </c>
      <c r="S1124" s="6" t="s">
        <v>147</v>
      </c>
      <c r="T1124" s="6" t="s">
        <v>250</v>
      </c>
      <c r="U1124" s="6" t="s">
        <v>252</v>
      </c>
      <c r="V1124" s="6" t="s">
        <v>246</v>
      </c>
      <c r="W1124" s="6" t="s">
        <v>158</v>
      </c>
      <c r="X1124" s="6" t="s">
        <v>257</v>
      </c>
      <c r="Y1124" s="6" t="s">
        <v>162</v>
      </c>
      <c r="Z1124" s="6" t="s">
        <v>165</v>
      </c>
      <c r="AA1124" s="6" t="s">
        <v>262</v>
      </c>
      <c r="AB1124" s="6" t="s">
        <v>521</v>
      </c>
      <c r="AC1124" s="6" t="s">
        <v>174</v>
      </c>
      <c r="AD1124" s="6" t="s">
        <v>175</v>
      </c>
      <c r="AE1124" s="6" t="s">
        <v>271</v>
      </c>
      <c r="AF1124" s="6" t="s">
        <v>181</v>
      </c>
      <c r="AG1124" s="6" t="s">
        <v>182</v>
      </c>
      <c r="AH1124" s="7"/>
      <c r="AI1124" s="7"/>
      <c r="AJ1124" s="7"/>
      <c r="AK1124" s="7"/>
      <c r="AL1124" s="7"/>
      <c r="AM1124" s="7"/>
      <c r="AN1124" s="7"/>
      <c r="AO1124" s="7"/>
      <c r="AP1124" s="7"/>
      <c r="AQ1124" s="7"/>
      <c r="AR1124" s="7"/>
      <c r="AS1124" s="7"/>
      <c r="AT1124" s="7"/>
      <c r="AU1124" s="7"/>
      <c r="AV1124" s="7"/>
      <c r="AW1124" s="7"/>
      <c r="AX1124" s="7"/>
      <c r="AY1124" s="7"/>
      <c r="AZ1124" s="7"/>
      <c r="BA1124" s="7"/>
      <c r="BB1124" s="7"/>
      <c r="BC1124" s="7"/>
      <c r="BD1124" s="7"/>
      <c r="BE1124" s="7"/>
      <c r="BF1124" s="7"/>
      <c r="BG1124" s="7"/>
      <c r="BH1124" s="7"/>
      <c r="BI1124" s="7"/>
      <c r="BJ1124" s="7"/>
      <c r="BK1124" s="7"/>
    </row>
    <row r="1125" ht="22.5" customHeight="1">
      <c r="A1125" s="4">
        <v>46229.70443657407</v>
      </c>
      <c r="B1125" s="5">
        <v>0.0</v>
      </c>
      <c r="C1125" s="6" t="s">
        <v>114</v>
      </c>
      <c r="D1125" s="6" t="s">
        <v>2308</v>
      </c>
      <c r="E1125" s="6" t="s">
        <v>2309</v>
      </c>
      <c r="F1125" s="6">
        <v>6.9070500685E10</v>
      </c>
      <c r="G1125" s="6" t="s">
        <v>6140</v>
      </c>
      <c r="H1125" s="7"/>
      <c r="I1125" s="6" t="s">
        <v>11037</v>
      </c>
      <c r="J1125" s="6" t="s">
        <v>11038</v>
      </c>
      <c r="K1125" s="6" t="s">
        <v>11039</v>
      </c>
      <c r="L1125" s="6" t="s">
        <v>11040</v>
      </c>
      <c r="M1125" s="6" t="s">
        <v>11041</v>
      </c>
      <c r="N1125" s="6" t="s">
        <v>11042</v>
      </c>
      <c r="O1125" s="6" t="s">
        <v>11043</v>
      </c>
      <c r="P1125" s="6" t="s">
        <v>11044</v>
      </c>
      <c r="Q1125" s="6" t="s">
        <v>11045</v>
      </c>
      <c r="R1125" s="6" t="s">
        <v>246</v>
      </c>
      <c r="S1125" s="6" t="s">
        <v>147</v>
      </c>
      <c r="T1125" s="6" t="s">
        <v>250</v>
      </c>
      <c r="U1125" s="6" t="s">
        <v>252</v>
      </c>
      <c r="V1125" s="6" t="s">
        <v>246</v>
      </c>
      <c r="W1125" s="6" t="s">
        <v>158</v>
      </c>
      <c r="X1125" s="6" t="s">
        <v>257</v>
      </c>
      <c r="Y1125" s="6" t="s">
        <v>162</v>
      </c>
      <c r="Z1125" s="6" t="s">
        <v>165</v>
      </c>
      <c r="AA1125" s="6" t="s">
        <v>262</v>
      </c>
      <c r="AB1125" s="6" t="s">
        <v>521</v>
      </c>
      <c r="AC1125" s="6" t="s">
        <v>174</v>
      </c>
      <c r="AD1125" s="6" t="s">
        <v>175</v>
      </c>
      <c r="AE1125" s="6" t="s">
        <v>271</v>
      </c>
      <c r="AF1125" s="6" t="s">
        <v>181</v>
      </c>
      <c r="AG1125" s="6" t="s">
        <v>182</v>
      </c>
      <c r="AH1125" s="7"/>
      <c r="AI1125" s="7"/>
      <c r="AJ1125" s="7"/>
      <c r="AK1125" s="7"/>
      <c r="AL1125" s="7"/>
      <c r="AM1125" s="7"/>
      <c r="AN1125" s="7"/>
      <c r="AO1125" s="7"/>
      <c r="AP1125" s="7"/>
      <c r="AQ1125" s="7"/>
      <c r="AR1125" s="7"/>
      <c r="AS1125" s="7"/>
      <c r="AT1125" s="7"/>
      <c r="AU1125" s="7"/>
      <c r="AV1125" s="7"/>
      <c r="AW1125" s="7"/>
      <c r="AX1125" s="7"/>
      <c r="AY1125" s="7"/>
      <c r="AZ1125" s="7"/>
      <c r="BA1125" s="7"/>
      <c r="BB1125" s="7"/>
      <c r="BC1125" s="7"/>
      <c r="BD1125" s="7"/>
      <c r="BE1125" s="7"/>
      <c r="BF1125" s="7"/>
      <c r="BG1125" s="7"/>
      <c r="BH1125" s="7"/>
      <c r="BI1125" s="7"/>
      <c r="BJ1125" s="7"/>
      <c r="BK1125" s="7"/>
    </row>
    <row r="1126" ht="22.5" customHeight="1">
      <c r="A1126" s="4">
        <v>46229.70446850694</v>
      </c>
      <c r="B1126" s="5">
        <v>0.0</v>
      </c>
      <c r="C1126" s="6" t="s">
        <v>3296</v>
      </c>
      <c r="D1126" s="7"/>
      <c r="E1126" s="7"/>
      <c r="F1126" s="7"/>
      <c r="G1126" s="7"/>
      <c r="H1126" s="7"/>
      <c r="I1126" s="7"/>
      <c r="J1126" s="7"/>
      <c r="K1126" s="7"/>
      <c r="L1126" s="7"/>
      <c r="M1126" s="7"/>
      <c r="N1126" s="7"/>
      <c r="O1126" s="7"/>
      <c r="P1126" s="7"/>
      <c r="Q1126" s="7"/>
      <c r="R1126" s="7"/>
      <c r="S1126" s="7"/>
      <c r="T1126" s="7"/>
      <c r="U1126" s="7"/>
      <c r="V1126" s="7"/>
      <c r="W1126" s="7"/>
      <c r="X1126" s="7"/>
      <c r="Y1126" s="7"/>
      <c r="Z1126" s="7"/>
      <c r="AA1126" s="7"/>
      <c r="AB1126" s="7"/>
      <c r="AC1126" s="7"/>
      <c r="AD1126" s="7"/>
      <c r="AE1126" s="7"/>
      <c r="AF1126" s="7"/>
      <c r="AG1126" s="7"/>
      <c r="AH1126" s="6" t="s">
        <v>2888</v>
      </c>
      <c r="AI1126" s="6" t="s">
        <v>2889</v>
      </c>
      <c r="AJ1126" s="6">
        <v>6.907050401E10</v>
      </c>
      <c r="AK1126" s="6" t="s">
        <v>4331</v>
      </c>
      <c r="AL1126" s="7"/>
      <c r="AM1126" s="6" t="s">
        <v>8918</v>
      </c>
      <c r="AN1126" s="6" t="s">
        <v>8919</v>
      </c>
      <c r="AO1126" s="6" t="s">
        <v>10986</v>
      </c>
      <c r="AP1126" s="6" t="s">
        <v>10239</v>
      </c>
      <c r="AQ1126" s="6" t="s">
        <v>11046</v>
      </c>
      <c r="AR1126" s="6" t="s">
        <v>11047</v>
      </c>
      <c r="AS1126" s="6" t="s">
        <v>11048</v>
      </c>
      <c r="AT1126" s="6" t="s">
        <v>11049</v>
      </c>
      <c r="AU1126" s="6" t="s">
        <v>11050</v>
      </c>
      <c r="AV1126" s="6" t="s">
        <v>3306</v>
      </c>
      <c r="AW1126" s="6" t="s">
        <v>3307</v>
      </c>
      <c r="AX1126" s="6" t="s">
        <v>3887</v>
      </c>
      <c r="AY1126" s="6" t="s">
        <v>4067</v>
      </c>
      <c r="AZ1126" s="6" t="s">
        <v>3306</v>
      </c>
      <c r="BA1126" s="6" t="s">
        <v>3311</v>
      </c>
      <c r="BB1126" s="6" t="s">
        <v>4693</v>
      </c>
      <c r="BC1126" s="6" t="s">
        <v>3313</v>
      </c>
      <c r="BD1126" s="6" t="s">
        <v>165</v>
      </c>
      <c r="BE1126" s="6" t="s">
        <v>3888</v>
      </c>
      <c r="BF1126" s="6" t="s">
        <v>3889</v>
      </c>
      <c r="BG1126" s="6" t="s">
        <v>4068</v>
      </c>
      <c r="BH1126" s="6" t="s">
        <v>3317</v>
      </c>
      <c r="BI1126" s="6" t="s">
        <v>271</v>
      </c>
      <c r="BJ1126" s="6" t="s">
        <v>3318</v>
      </c>
      <c r="BK1126" s="6" t="s">
        <v>3319</v>
      </c>
    </row>
    <row r="1127" ht="22.5" customHeight="1">
      <c r="A1127" s="4">
        <v>46229.70448545139</v>
      </c>
      <c r="B1127" s="5">
        <v>0.0</v>
      </c>
      <c r="C1127" s="6" t="s">
        <v>114</v>
      </c>
      <c r="D1127" s="6" t="s">
        <v>2310</v>
      </c>
      <c r="E1127" s="6" t="s">
        <v>2311</v>
      </c>
      <c r="F1127" s="6">
        <v>6.907050061E10</v>
      </c>
      <c r="G1127" s="6" t="s">
        <v>6140</v>
      </c>
      <c r="H1127" s="7"/>
      <c r="I1127" s="6" t="s">
        <v>6625</v>
      </c>
      <c r="J1127" s="6" t="s">
        <v>11051</v>
      </c>
      <c r="K1127" s="6" t="s">
        <v>11052</v>
      </c>
      <c r="L1127" s="6" t="s">
        <v>11053</v>
      </c>
      <c r="M1127" s="6" t="s">
        <v>11054</v>
      </c>
      <c r="N1127" s="7"/>
      <c r="O1127" s="6" t="s">
        <v>11055</v>
      </c>
      <c r="P1127" s="6" t="s">
        <v>11056</v>
      </c>
      <c r="Q1127" s="6" t="s">
        <v>11057</v>
      </c>
      <c r="R1127" s="6" t="s">
        <v>246</v>
      </c>
      <c r="S1127" s="6" t="s">
        <v>147</v>
      </c>
      <c r="T1127" s="6" t="s">
        <v>246</v>
      </c>
      <c r="U1127" s="6" t="s">
        <v>252</v>
      </c>
      <c r="V1127" s="6" t="s">
        <v>246</v>
      </c>
      <c r="W1127" s="6" t="s">
        <v>158</v>
      </c>
      <c r="X1127" s="6" t="s">
        <v>250</v>
      </c>
      <c r="Y1127" s="6" t="s">
        <v>162</v>
      </c>
      <c r="Z1127" s="6" t="s">
        <v>165</v>
      </c>
      <c r="AA1127" s="6" t="s">
        <v>262</v>
      </c>
      <c r="AB1127" s="6" t="s">
        <v>171</v>
      </c>
      <c r="AC1127" s="6" t="s">
        <v>174</v>
      </c>
      <c r="AD1127" s="6" t="s">
        <v>175</v>
      </c>
      <c r="AE1127" s="6" t="s">
        <v>271</v>
      </c>
      <c r="AF1127" s="6" t="s">
        <v>181</v>
      </c>
      <c r="AG1127" s="6" t="s">
        <v>182</v>
      </c>
      <c r="AH1127" s="7"/>
      <c r="AI1127" s="7"/>
      <c r="AJ1127" s="7"/>
      <c r="AK1127" s="7"/>
      <c r="AL1127" s="7"/>
      <c r="AM1127" s="7"/>
      <c r="AN1127" s="7"/>
      <c r="AO1127" s="7"/>
      <c r="AP1127" s="7"/>
      <c r="AQ1127" s="7"/>
      <c r="AR1127" s="7"/>
      <c r="AS1127" s="7"/>
      <c r="AT1127" s="7"/>
      <c r="AU1127" s="7"/>
      <c r="AV1127" s="7"/>
      <c r="AW1127" s="7"/>
      <c r="AX1127" s="7"/>
      <c r="AY1127" s="7"/>
      <c r="AZ1127" s="7"/>
      <c r="BA1127" s="7"/>
      <c r="BB1127" s="7"/>
      <c r="BC1127" s="7"/>
      <c r="BD1127" s="7"/>
      <c r="BE1127" s="7"/>
      <c r="BF1127" s="7"/>
      <c r="BG1127" s="7"/>
      <c r="BH1127" s="7"/>
      <c r="BI1127" s="7"/>
      <c r="BJ1127" s="7"/>
      <c r="BK1127" s="7"/>
    </row>
    <row r="1128" ht="22.5" customHeight="1">
      <c r="A1128" s="4">
        <v>46229.70449045139</v>
      </c>
      <c r="B1128" s="5">
        <v>0.0</v>
      </c>
      <c r="C1128" s="6" t="s">
        <v>114</v>
      </c>
      <c r="D1128" s="6" t="s">
        <v>2312</v>
      </c>
      <c r="E1128" s="6" t="s">
        <v>2313</v>
      </c>
      <c r="F1128" s="6">
        <v>6.9070501227E10</v>
      </c>
      <c r="G1128" s="6" t="s">
        <v>228</v>
      </c>
      <c r="H1128" s="7"/>
      <c r="I1128" s="6" t="s">
        <v>11058</v>
      </c>
      <c r="J1128" s="6" t="s">
        <v>11059</v>
      </c>
      <c r="K1128" s="6" t="s">
        <v>11060</v>
      </c>
      <c r="L1128" s="6" t="s">
        <v>11061</v>
      </c>
      <c r="M1128" s="6" t="s">
        <v>11062</v>
      </c>
      <c r="N1128" s="7"/>
      <c r="O1128" s="6" t="s">
        <v>11063</v>
      </c>
      <c r="P1128" s="6" t="s">
        <v>11064</v>
      </c>
      <c r="Q1128" s="6" t="s">
        <v>11065</v>
      </c>
      <c r="R1128" s="6" t="s">
        <v>257</v>
      </c>
      <c r="S1128" s="6" t="s">
        <v>147</v>
      </c>
      <c r="T1128" s="6" t="s">
        <v>250</v>
      </c>
      <c r="U1128" s="6" t="s">
        <v>686</v>
      </c>
      <c r="V1128" s="6" t="s">
        <v>246</v>
      </c>
      <c r="W1128" s="6" t="s">
        <v>158</v>
      </c>
      <c r="X1128" s="6" t="s">
        <v>257</v>
      </c>
      <c r="Y1128" s="6" t="s">
        <v>162</v>
      </c>
      <c r="Z1128" s="6" t="s">
        <v>165</v>
      </c>
      <c r="AA1128" s="6" t="s">
        <v>262</v>
      </c>
      <c r="AB1128" s="6" t="s">
        <v>171</v>
      </c>
      <c r="AC1128" s="6" t="s">
        <v>174</v>
      </c>
      <c r="AD1128" s="6" t="s">
        <v>175</v>
      </c>
      <c r="AE1128" s="6" t="s">
        <v>271</v>
      </c>
      <c r="AF1128" s="6" t="s">
        <v>181</v>
      </c>
      <c r="AG1128" s="6" t="s">
        <v>182</v>
      </c>
      <c r="AH1128" s="7"/>
      <c r="AI1128" s="7"/>
      <c r="AJ1128" s="7"/>
      <c r="AK1128" s="7"/>
      <c r="AL1128" s="7"/>
      <c r="AM1128" s="7"/>
      <c r="AN1128" s="7"/>
      <c r="AO1128" s="7"/>
      <c r="AP1128" s="7"/>
      <c r="AQ1128" s="7"/>
      <c r="AR1128" s="7"/>
      <c r="AS1128" s="7"/>
      <c r="AT1128" s="7"/>
      <c r="AU1128" s="7"/>
      <c r="AV1128" s="7"/>
      <c r="AW1128" s="7"/>
      <c r="AX1128" s="7"/>
      <c r="AY1128" s="7"/>
      <c r="AZ1128" s="7"/>
      <c r="BA1128" s="7"/>
      <c r="BB1128" s="7"/>
      <c r="BC1128" s="7"/>
      <c r="BD1128" s="7"/>
      <c r="BE1128" s="7"/>
      <c r="BF1128" s="7"/>
      <c r="BG1128" s="7"/>
      <c r="BH1128" s="7"/>
      <c r="BI1128" s="7"/>
      <c r="BJ1128" s="7"/>
      <c r="BK1128" s="7"/>
    </row>
    <row r="1129" ht="22.5" customHeight="1">
      <c r="A1129" s="4">
        <v>46229.70450768519</v>
      </c>
      <c r="B1129" s="5">
        <v>0.0</v>
      </c>
      <c r="C1129" s="6" t="s">
        <v>3296</v>
      </c>
      <c r="D1129" s="7"/>
      <c r="E1129" s="7"/>
      <c r="F1129" s="7"/>
      <c r="G1129" s="7"/>
      <c r="H1129" s="7"/>
      <c r="I1129" s="7"/>
      <c r="J1129" s="7"/>
      <c r="K1129" s="7"/>
      <c r="L1129" s="7"/>
      <c r="M1129" s="7"/>
      <c r="N1129" s="7"/>
      <c r="O1129" s="7"/>
      <c r="P1129" s="7"/>
      <c r="Q1129" s="7"/>
      <c r="R1129" s="7"/>
      <c r="S1129" s="7"/>
      <c r="T1129" s="7"/>
      <c r="U1129" s="7"/>
      <c r="V1129" s="7"/>
      <c r="W1129" s="7"/>
      <c r="X1129" s="7"/>
      <c r="Y1129" s="7"/>
      <c r="Z1129" s="7"/>
      <c r="AA1129" s="7"/>
      <c r="AB1129" s="7"/>
      <c r="AC1129" s="7"/>
      <c r="AD1129" s="7"/>
      <c r="AE1129" s="7"/>
      <c r="AF1129" s="7"/>
      <c r="AG1129" s="7"/>
      <c r="AH1129" s="6" t="s">
        <v>2890</v>
      </c>
      <c r="AI1129" s="6" t="s">
        <v>2891</v>
      </c>
      <c r="AJ1129" s="6">
        <v>6.9070508615E10</v>
      </c>
      <c r="AK1129" s="6" t="s">
        <v>9716</v>
      </c>
      <c r="AL1129" s="7"/>
      <c r="AM1129" s="6" t="s">
        <v>11066</v>
      </c>
      <c r="AN1129" s="6" t="s">
        <v>11067</v>
      </c>
      <c r="AO1129" s="6" t="s">
        <v>11068</v>
      </c>
      <c r="AP1129" s="6" t="s">
        <v>11069</v>
      </c>
      <c r="AQ1129" s="6" t="s">
        <v>11070</v>
      </c>
      <c r="AR1129" s="7"/>
      <c r="AS1129" s="6" t="s">
        <v>11071</v>
      </c>
      <c r="AT1129" s="6" t="s">
        <v>11072</v>
      </c>
      <c r="AU1129" s="6" t="s">
        <v>11073</v>
      </c>
      <c r="AV1129" s="6" t="s">
        <v>3306</v>
      </c>
      <c r="AW1129" s="6" t="s">
        <v>3307</v>
      </c>
      <c r="AX1129" s="6" t="s">
        <v>3887</v>
      </c>
      <c r="AY1129" s="6" t="s">
        <v>4067</v>
      </c>
      <c r="AZ1129" s="6" t="s">
        <v>3306</v>
      </c>
      <c r="BA1129" s="6" t="s">
        <v>3311</v>
      </c>
      <c r="BB1129" s="6" t="s">
        <v>4693</v>
      </c>
      <c r="BC1129" s="6" t="s">
        <v>3313</v>
      </c>
      <c r="BD1129" s="6" t="s">
        <v>165</v>
      </c>
      <c r="BE1129" s="6" t="s">
        <v>4341</v>
      </c>
      <c r="BF1129" s="6" t="s">
        <v>3315</v>
      </c>
      <c r="BG1129" s="6" t="s">
        <v>3316</v>
      </c>
      <c r="BH1129" s="6" t="s">
        <v>3317</v>
      </c>
      <c r="BI1129" s="6" t="s">
        <v>271</v>
      </c>
      <c r="BJ1129" s="6" t="s">
        <v>3318</v>
      </c>
      <c r="BK1129" s="6" t="s">
        <v>3319</v>
      </c>
    </row>
    <row r="1130" ht="22.5" customHeight="1">
      <c r="A1130" s="4">
        <v>46229.70452561343</v>
      </c>
      <c r="B1130" s="5">
        <v>0.0</v>
      </c>
      <c r="C1130" s="6" t="s">
        <v>3296</v>
      </c>
      <c r="D1130" s="7"/>
      <c r="E1130" s="7"/>
      <c r="F1130" s="7"/>
      <c r="G1130" s="7"/>
      <c r="H1130" s="7"/>
      <c r="I1130" s="7"/>
      <c r="J1130" s="7"/>
      <c r="K1130" s="7"/>
      <c r="L1130" s="7"/>
      <c r="M1130" s="7"/>
      <c r="N1130" s="7"/>
      <c r="O1130" s="7"/>
      <c r="P1130" s="7"/>
      <c r="Q1130" s="7"/>
      <c r="R1130" s="7"/>
      <c r="S1130" s="7"/>
      <c r="T1130" s="7"/>
      <c r="U1130" s="7"/>
      <c r="V1130" s="7"/>
      <c r="W1130" s="7"/>
      <c r="X1130" s="7"/>
      <c r="Y1130" s="7"/>
      <c r="Z1130" s="7"/>
      <c r="AA1130" s="7"/>
      <c r="AB1130" s="7"/>
      <c r="AC1130" s="7"/>
      <c r="AD1130" s="7"/>
      <c r="AE1130" s="7"/>
      <c r="AF1130" s="7"/>
      <c r="AG1130" s="7"/>
      <c r="AH1130" s="6" t="s">
        <v>2892</v>
      </c>
      <c r="AI1130" s="6" t="s">
        <v>2893</v>
      </c>
      <c r="AJ1130" s="6">
        <v>6.9070503465E10</v>
      </c>
      <c r="AK1130" s="6" t="s">
        <v>3297</v>
      </c>
      <c r="AL1130" s="7"/>
      <c r="AM1130" s="6" t="s">
        <v>11074</v>
      </c>
      <c r="AN1130" s="6" t="s">
        <v>11075</v>
      </c>
      <c r="AO1130" s="6" t="s">
        <v>11076</v>
      </c>
      <c r="AP1130" s="6" t="s">
        <v>11077</v>
      </c>
      <c r="AQ1130" s="6" t="s">
        <v>11078</v>
      </c>
      <c r="AR1130" s="7"/>
      <c r="AS1130" s="6" t="s">
        <v>11079</v>
      </c>
      <c r="AT1130" s="6" t="s">
        <v>11080</v>
      </c>
      <c r="AU1130" s="6" t="s">
        <v>11081</v>
      </c>
      <c r="AV1130" s="6" t="s">
        <v>3306</v>
      </c>
      <c r="AW1130" s="6" t="s">
        <v>3307</v>
      </c>
      <c r="AX1130" s="6" t="s">
        <v>3887</v>
      </c>
      <c r="AY1130" s="6" t="s">
        <v>3309</v>
      </c>
      <c r="AZ1130" s="6" t="s">
        <v>3306</v>
      </c>
      <c r="BA1130" s="6" t="s">
        <v>3311</v>
      </c>
      <c r="BB1130" s="6" t="s">
        <v>6098</v>
      </c>
      <c r="BC1130" s="6" t="s">
        <v>3313</v>
      </c>
      <c r="BD1130" s="6" t="s">
        <v>165</v>
      </c>
      <c r="BE1130" s="6" t="s">
        <v>3888</v>
      </c>
      <c r="BF1130" s="6" t="s">
        <v>3315</v>
      </c>
      <c r="BG1130" s="6" t="s">
        <v>4068</v>
      </c>
      <c r="BH1130" s="6" t="s">
        <v>3317</v>
      </c>
      <c r="BI1130" s="6" t="s">
        <v>271</v>
      </c>
      <c r="BJ1130" s="6" t="s">
        <v>3318</v>
      </c>
      <c r="BK1130" s="6" t="s">
        <v>3319</v>
      </c>
    </row>
    <row r="1131" ht="22.5" customHeight="1">
      <c r="A1131" s="4">
        <v>46229.70452907408</v>
      </c>
      <c r="B1131" s="5">
        <v>0.0</v>
      </c>
      <c r="C1131" s="6" t="s">
        <v>3296</v>
      </c>
      <c r="D1131" s="7"/>
      <c r="E1131" s="7"/>
      <c r="F1131" s="7"/>
      <c r="G1131" s="7"/>
      <c r="H1131" s="7"/>
      <c r="I1131" s="7"/>
      <c r="J1131" s="7"/>
      <c r="K1131" s="7"/>
      <c r="L1131" s="7"/>
      <c r="M1131" s="7"/>
      <c r="N1131" s="7"/>
      <c r="O1131" s="7"/>
      <c r="P1131" s="7"/>
      <c r="Q1131" s="7"/>
      <c r="R1131" s="7"/>
      <c r="S1131" s="7"/>
      <c r="T1131" s="7"/>
      <c r="U1131" s="7"/>
      <c r="V1131" s="7"/>
      <c r="W1131" s="7"/>
      <c r="X1131" s="7"/>
      <c r="Y1131" s="7"/>
      <c r="Z1131" s="7"/>
      <c r="AA1131" s="7"/>
      <c r="AB1131" s="7"/>
      <c r="AC1131" s="7"/>
      <c r="AD1131" s="7"/>
      <c r="AE1131" s="7"/>
      <c r="AF1131" s="7"/>
      <c r="AG1131" s="7"/>
      <c r="AH1131" s="6" t="s">
        <v>2894</v>
      </c>
      <c r="AI1131" s="6" t="s">
        <v>2895</v>
      </c>
      <c r="AJ1131" s="6">
        <v>6.9070508621E10</v>
      </c>
      <c r="AK1131" s="6" t="s">
        <v>9716</v>
      </c>
      <c r="AL1131" s="6" t="s">
        <v>11082</v>
      </c>
      <c r="AM1131" s="6" t="s">
        <v>11083</v>
      </c>
      <c r="AN1131" s="6" t="s">
        <v>11084</v>
      </c>
      <c r="AO1131" s="6" t="s">
        <v>11085</v>
      </c>
      <c r="AP1131" s="6" t="s">
        <v>11086</v>
      </c>
      <c r="AQ1131" s="6" t="s">
        <v>11087</v>
      </c>
      <c r="AR1131" s="7"/>
      <c r="AS1131" s="6" t="s">
        <v>11088</v>
      </c>
      <c r="AT1131" s="6" t="s">
        <v>11089</v>
      </c>
      <c r="AU1131" s="6" t="s">
        <v>11090</v>
      </c>
      <c r="AV1131" s="6" t="s">
        <v>3306</v>
      </c>
      <c r="AW1131" s="6" t="s">
        <v>3307</v>
      </c>
      <c r="AX1131" s="6" t="s">
        <v>3887</v>
      </c>
      <c r="AY1131" s="6" t="s">
        <v>4067</v>
      </c>
      <c r="AZ1131" s="6" t="s">
        <v>3306</v>
      </c>
      <c r="BA1131" s="6" t="s">
        <v>3311</v>
      </c>
      <c r="BB1131" s="6" t="s">
        <v>4693</v>
      </c>
      <c r="BC1131" s="6" t="s">
        <v>3313</v>
      </c>
      <c r="BD1131" s="6" t="s">
        <v>165</v>
      </c>
      <c r="BE1131" s="6" t="s">
        <v>4341</v>
      </c>
      <c r="BF1131" s="6" t="s">
        <v>3315</v>
      </c>
      <c r="BG1131" s="6" t="s">
        <v>3316</v>
      </c>
      <c r="BH1131" s="6" t="s">
        <v>3317</v>
      </c>
      <c r="BI1131" s="6" t="s">
        <v>271</v>
      </c>
      <c r="BJ1131" s="6" t="s">
        <v>3318</v>
      </c>
      <c r="BK1131" s="6" t="s">
        <v>3319</v>
      </c>
    </row>
    <row r="1132" ht="22.5" customHeight="1">
      <c r="A1132" s="4">
        <v>46229.70457972222</v>
      </c>
      <c r="B1132" s="5">
        <v>0.0</v>
      </c>
      <c r="C1132" s="6" t="s">
        <v>114</v>
      </c>
      <c r="D1132" s="6" t="s">
        <v>2314</v>
      </c>
      <c r="E1132" s="6" t="s">
        <v>2315</v>
      </c>
      <c r="F1132" s="6">
        <v>6.9070506467E10</v>
      </c>
      <c r="G1132" s="6" t="s">
        <v>599</v>
      </c>
      <c r="H1132" s="6" t="s">
        <v>11091</v>
      </c>
      <c r="I1132" s="6" t="s">
        <v>11092</v>
      </c>
      <c r="J1132" s="6" t="s">
        <v>11093</v>
      </c>
      <c r="K1132" s="6" t="s">
        <v>11094</v>
      </c>
      <c r="L1132" s="6" t="s">
        <v>11095</v>
      </c>
      <c r="M1132" s="6" t="s">
        <v>11096</v>
      </c>
      <c r="N1132" s="6" t="s">
        <v>2633</v>
      </c>
      <c r="O1132" s="6" t="s">
        <v>11097</v>
      </c>
      <c r="P1132" s="6" t="s">
        <v>11098</v>
      </c>
      <c r="Q1132" s="6" t="s">
        <v>11099</v>
      </c>
      <c r="R1132" s="6" t="s">
        <v>246</v>
      </c>
      <c r="S1132" s="6" t="s">
        <v>147</v>
      </c>
      <c r="T1132" s="6" t="s">
        <v>250</v>
      </c>
      <c r="U1132" s="6" t="s">
        <v>252</v>
      </c>
      <c r="V1132" s="6" t="s">
        <v>2302</v>
      </c>
      <c r="W1132" s="6" t="s">
        <v>158</v>
      </c>
      <c r="X1132" s="6" t="s">
        <v>257</v>
      </c>
      <c r="Y1132" s="6" t="s">
        <v>162</v>
      </c>
      <c r="Z1132" s="6" t="s">
        <v>165</v>
      </c>
      <c r="AA1132" s="6" t="s">
        <v>262</v>
      </c>
      <c r="AB1132" s="6" t="s">
        <v>171</v>
      </c>
      <c r="AC1132" s="6" t="s">
        <v>174</v>
      </c>
      <c r="AD1132" s="6" t="s">
        <v>175</v>
      </c>
      <c r="AE1132" s="6" t="s">
        <v>271</v>
      </c>
      <c r="AF1132" s="6" t="s">
        <v>181</v>
      </c>
      <c r="AG1132" s="6" t="s">
        <v>182</v>
      </c>
      <c r="AH1132" s="7"/>
      <c r="AI1132" s="7"/>
      <c r="AJ1132" s="7"/>
      <c r="AK1132" s="7"/>
      <c r="AL1132" s="7"/>
      <c r="AM1132" s="7"/>
      <c r="AN1132" s="7"/>
      <c r="AO1132" s="7"/>
      <c r="AP1132" s="7"/>
      <c r="AQ1132" s="7"/>
      <c r="AR1132" s="7"/>
      <c r="AS1132" s="7"/>
      <c r="AT1132" s="7"/>
      <c r="AU1132" s="7"/>
      <c r="AV1132" s="7"/>
      <c r="AW1132" s="7"/>
      <c r="AX1132" s="7"/>
      <c r="AY1132" s="7"/>
      <c r="AZ1132" s="7"/>
      <c r="BA1132" s="7"/>
      <c r="BB1132" s="7"/>
      <c r="BC1132" s="7"/>
      <c r="BD1132" s="7"/>
      <c r="BE1132" s="7"/>
      <c r="BF1132" s="7"/>
      <c r="BG1132" s="7"/>
      <c r="BH1132" s="7"/>
      <c r="BI1132" s="7"/>
      <c r="BJ1132" s="7"/>
      <c r="BK1132" s="7"/>
    </row>
    <row r="1133" ht="22.5" customHeight="1">
      <c r="A1133" s="4">
        <v>46229.704599606484</v>
      </c>
      <c r="B1133" s="5">
        <v>0.0</v>
      </c>
      <c r="C1133" s="6" t="s">
        <v>114</v>
      </c>
      <c r="D1133" s="6" t="s">
        <v>2316</v>
      </c>
      <c r="E1133" s="6" t="s">
        <v>2317</v>
      </c>
      <c r="F1133" s="6">
        <v>6.9070500656E10</v>
      </c>
      <c r="G1133" s="6" t="s">
        <v>6140</v>
      </c>
      <c r="H1133" s="7"/>
      <c r="I1133" s="6" t="s">
        <v>11100</v>
      </c>
      <c r="J1133" s="6" t="s">
        <v>7820</v>
      </c>
      <c r="K1133" s="6" t="s">
        <v>6197</v>
      </c>
      <c r="L1133" s="6" t="s">
        <v>10821</v>
      </c>
      <c r="M1133" s="6" t="s">
        <v>11101</v>
      </c>
      <c r="N1133" s="6" t="s">
        <v>11102</v>
      </c>
      <c r="O1133" s="6" t="s">
        <v>11103</v>
      </c>
      <c r="P1133" s="6" t="s">
        <v>11104</v>
      </c>
      <c r="Q1133" s="6" t="s">
        <v>11105</v>
      </c>
      <c r="R1133" s="6" t="s">
        <v>246</v>
      </c>
      <c r="S1133" s="6" t="s">
        <v>147</v>
      </c>
      <c r="T1133" s="6" t="s">
        <v>250</v>
      </c>
      <c r="U1133" s="6" t="s">
        <v>252</v>
      </c>
      <c r="V1133" s="6" t="s">
        <v>246</v>
      </c>
      <c r="W1133" s="6" t="s">
        <v>158</v>
      </c>
      <c r="X1133" s="6" t="s">
        <v>257</v>
      </c>
      <c r="Y1133" s="6" t="s">
        <v>162</v>
      </c>
      <c r="Z1133" s="6" t="s">
        <v>165</v>
      </c>
      <c r="AA1133" s="6" t="s">
        <v>262</v>
      </c>
      <c r="AB1133" s="6" t="s">
        <v>171</v>
      </c>
      <c r="AC1133" s="6" t="s">
        <v>174</v>
      </c>
      <c r="AD1133" s="6" t="s">
        <v>175</v>
      </c>
      <c r="AE1133" s="6" t="s">
        <v>271</v>
      </c>
      <c r="AF1133" s="6" t="s">
        <v>181</v>
      </c>
      <c r="AG1133" s="6" t="s">
        <v>182</v>
      </c>
      <c r="AH1133" s="7"/>
      <c r="AI1133" s="7"/>
      <c r="AJ1133" s="7"/>
      <c r="AK1133" s="7"/>
      <c r="AL1133" s="7"/>
      <c r="AM1133" s="7"/>
      <c r="AN1133" s="7"/>
      <c r="AO1133" s="7"/>
      <c r="AP1133" s="7"/>
      <c r="AQ1133" s="7"/>
      <c r="AR1133" s="7"/>
      <c r="AS1133" s="7"/>
      <c r="AT1133" s="7"/>
      <c r="AU1133" s="7"/>
      <c r="AV1133" s="7"/>
      <c r="AW1133" s="7"/>
      <c r="AX1133" s="7"/>
      <c r="AY1133" s="7"/>
      <c r="AZ1133" s="7"/>
      <c r="BA1133" s="7"/>
      <c r="BB1133" s="7"/>
      <c r="BC1133" s="7"/>
      <c r="BD1133" s="7"/>
      <c r="BE1133" s="7"/>
      <c r="BF1133" s="7"/>
      <c r="BG1133" s="7"/>
      <c r="BH1133" s="7"/>
      <c r="BI1133" s="7"/>
      <c r="BJ1133" s="7"/>
      <c r="BK1133" s="7"/>
    </row>
    <row r="1134" ht="22.5" customHeight="1">
      <c r="A1134" s="4">
        <v>46229.70461770833</v>
      </c>
      <c r="B1134" s="5">
        <v>0.0</v>
      </c>
      <c r="C1134" s="6" t="s">
        <v>3296</v>
      </c>
      <c r="D1134" s="7"/>
      <c r="E1134" s="7"/>
      <c r="F1134" s="7"/>
      <c r="G1134" s="7"/>
      <c r="H1134" s="7"/>
      <c r="I1134" s="7"/>
      <c r="J1134" s="7"/>
      <c r="K1134" s="7"/>
      <c r="L1134" s="7"/>
      <c r="M1134" s="7"/>
      <c r="N1134" s="7"/>
      <c r="O1134" s="7"/>
      <c r="P1134" s="7"/>
      <c r="Q1134" s="7"/>
      <c r="R1134" s="7"/>
      <c r="S1134" s="7"/>
      <c r="T1134" s="7"/>
      <c r="U1134" s="7"/>
      <c r="V1134" s="7"/>
      <c r="W1134" s="7"/>
      <c r="X1134" s="7"/>
      <c r="Y1134" s="7"/>
      <c r="Z1134" s="7"/>
      <c r="AA1134" s="7"/>
      <c r="AB1134" s="7"/>
      <c r="AC1134" s="7"/>
      <c r="AD1134" s="7"/>
      <c r="AE1134" s="7"/>
      <c r="AF1134" s="7"/>
      <c r="AG1134" s="7"/>
      <c r="AH1134" s="6" t="s">
        <v>2896</v>
      </c>
      <c r="AI1134" s="6" t="s">
        <v>2897</v>
      </c>
      <c r="AJ1134" s="6">
        <v>6.9070507805E10</v>
      </c>
      <c r="AK1134" s="6" t="s">
        <v>5236</v>
      </c>
      <c r="AL1134" s="7"/>
      <c r="AM1134" s="6" t="s">
        <v>11106</v>
      </c>
      <c r="AN1134" s="6" t="s">
        <v>11107</v>
      </c>
      <c r="AO1134" s="6" t="s">
        <v>11108</v>
      </c>
      <c r="AP1134" s="6" t="s">
        <v>11109</v>
      </c>
      <c r="AQ1134" s="6" t="s">
        <v>11110</v>
      </c>
      <c r="AR1134" s="7"/>
      <c r="AS1134" s="6" t="s">
        <v>11111</v>
      </c>
      <c r="AT1134" s="6" t="s">
        <v>11112</v>
      </c>
      <c r="AU1134" s="6" t="s">
        <v>11113</v>
      </c>
      <c r="AV1134" s="6" t="s">
        <v>3312</v>
      </c>
      <c r="AW1134" s="6" t="s">
        <v>3307</v>
      </c>
      <c r="AX1134" s="6" t="s">
        <v>3887</v>
      </c>
      <c r="AY1134" s="6" t="s">
        <v>5759</v>
      </c>
      <c r="AZ1134" s="6" t="s">
        <v>3306</v>
      </c>
      <c r="BA1134" s="6" t="s">
        <v>3311</v>
      </c>
      <c r="BB1134" s="6" t="s">
        <v>3306</v>
      </c>
      <c r="BC1134" s="6" t="s">
        <v>3313</v>
      </c>
      <c r="BD1134" s="6" t="s">
        <v>165</v>
      </c>
      <c r="BE1134" s="6" t="s">
        <v>3888</v>
      </c>
      <c r="BF1134" s="6" t="s">
        <v>4862</v>
      </c>
      <c r="BG1134" s="6" t="s">
        <v>3316</v>
      </c>
      <c r="BH1134" s="6" t="s">
        <v>3317</v>
      </c>
      <c r="BI1134" s="6" t="s">
        <v>524</v>
      </c>
      <c r="BJ1134" s="6" t="s">
        <v>3318</v>
      </c>
      <c r="BK1134" s="6" t="s">
        <v>3319</v>
      </c>
    </row>
    <row r="1135" ht="22.5" customHeight="1">
      <c r="A1135" s="4">
        <v>46229.70462613426</v>
      </c>
      <c r="B1135" s="5">
        <v>0.0</v>
      </c>
      <c r="C1135" s="6" t="s">
        <v>114</v>
      </c>
      <c r="D1135" s="6" t="s">
        <v>1505</v>
      </c>
      <c r="E1135" s="6" t="s">
        <v>2318</v>
      </c>
      <c r="F1135" s="6">
        <v>6.9070500632E10</v>
      </c>
      <c r="G1135" s="6" t="s">
        <v>6140</v>
      </c>
      <c r="H1135" s="6" t="s">
        <v>11114</v>
      </c>
      <c r="I1135" s="6" t="s">
        <v>11115</v>
      </c>
      <c r="J1135" s="6" t="s">
        <v>9176</v>
      </c>
      <c r="K1135" s="6" t="s">
        <v>7482</v>
      </c>
      <c r="L1135" s="6" t="s">
        <v>11116</v>
      </c>
      <c r="M1135" s="6" t="s">
        <v>11117</v>
      </c>
      <c r="N1135" s="7"/>
      <c r="O1135" s="6" t="s">
        <v>11118</v>
      </c>
      <c r="P1135" s="6" t="s">
        <v>11119</v>
      </c>
      <c r="Q1135" s="6" t="s">
        <v>11120</v>
      </c>
      <c r="R1135" s="6" t="s">
        <v>246</v>
      </c>
      <c r="S1135" s="6" t="s">
        <v>147</v>
      </c>
      <c r="T1135" s="6" t="s">
        <v>250</v>
      </c>
      <c r="U1135" s="6" t="s">
        <v>252</v>
      </c>
      <c r="V1135" s="6" t="s">
        <v>246</v>
      </c>
      <c r="W1135" s="6" t="s">
        <v>158</v>
      </c>
      <c r="X1135" s="6" t="s">
        <v>458</v>
      </c>
      <c r="Y1135" s="6" t="s">
        <v>162</v>
      </c>
      <c r="Z1135" s="6" t="s">
        <v>165</v>
      </c>
      <c r="AA1135" s="6" t="s">
        <v>2307</v>
      </c>
      <c r="AB1135" s="6" t="s">
        <v>1266</v>
      </c>
      <c r="AC1135" s="6" t="s">
        <v>1669</v>
      </c>
      <c r="AD1135" s="6" t="s">
        <v>635</v>
      </c>
      <c r="AE1135" s="6" t="s">
        <v>1211</v>
      </c>
      <c r="AF1135" s="6" t="s">
        <v>633</v>
      </c>
      <c r="AG1135" s="6" t="s">
        <v>812</v>
      </c>
      <c r="AH1135" s="7"/>
      <c r="AI1135" s="7"/>
      <c r="AJ1135" s="7"/>
      <c r="AK1135" s="7"/>
      <c r="AL1135" s="7"/>
      <c r="AM1135" s="7"/>
      <c r="AN1135" s="7"/>
      <c r="AO1135" s="7"/>
      <c r="AP1135" s="7"/>
      <c r="AQ1135" s="7"/>
      <c r="AR1135" s="7"/>
      <c r="AS1135" s="7"/>
      <c r="AT1135" s="7"/>
      <c r="AU1135" s="7"/>
      <c r="AV1135" s="7"/>
      <c r="AW1135" s="7"/>
      <c r="AX1135" s="7"/>
      <c r="AY1135" s="7"/>
      <c r="AZ1135" s="7"/>
      <c r="BA1135" s="7"/>
      <c r="BB1135" s="7"/>
      <c r="BC1135" s="7"/>
      <c r="BD1135" s="7"/>
      <c r="BE1135" s="7"/>
      <c r="BF1135" s="7"/>
      <c r="BG1135" s="7"/>
      <c r="BH1135" s="7"/>
      <c r="BI1135" s="7"/>
      <c r="BJ1135" s="7"/>
      <c r="BK1135" s="7"/>
    </row>
    <row r="1136" ht="22.5" customHeight="1">
      <c r="A1136" s="4">
        <v>46229.704646631944</v>
      </c>
      <c r="B1136" s="5">
        <v>0.0</v>
      </c>
      <c r="C1136" s="6" t="s">
        <v>3296</v>
      </c>
      <c r="D1136" s="7"/>
      <c r="E1136" s="7"/>
      <c r="F1136" s="7"/>
      <c r="G1136" s="7"/>
      <c r="H1136" s="7"/>
      <c r="I1136" s="7"/>
      <c r="J1136" s="7"/>
      <c r="K1136" s="7"/>
      <c r="L1136" s="7"/>
      <c r="M1136" s="7"/>
      <c r="N1136" s="7"/>
      <c r="O1136" s="7"/>
      <c r="P1136" s="7"/>
      <c r="Q1136" s="7"/>
      <c r="R1136" s="7"/>
      <c r="S1136" s="7"/>
      <c r="T1136" s="7"/>
      <c r="U1136" s="7"/>
      <c r="V1136" s="7"/>
      <c r="W1136" s="7"/>
      <c r="X1136" s="7"/>
      <c r="Y1136" s="7"/>
      <c r="Z1136" s="7"/>
      <c r="AA1136" s="7"/>
      <c r="AB1136" s="7"/>
      <c r="AC1136" s="7"/>
      <c r="AD1136" s="7"/>
      <c r="AE1136" s="7"/>
      <c r="AF1136" s="7"/>
      <c r="AG1136" s="7"/>
      <c r="AH1136" s="6" t="s">
        <v>2898</v>
      </c>
      <c r="AI1136" s="6" t="s">
        <v>2899</v>
      </c>
      <c r="AJ1136" s="6">
        <v>6.9070508627E10</v>
      </c>
      <c r="AK1136" s="6" t="s">
        <v>9716</v>
      </c>
      <c r="AL1136" s="7"/>
      <c r="AM1136" s="6" t="s">
        <v>11121</v>
      </c>
      <c r="AN1136" s="6" t="s">
        <v>11122</v>
      </c>
      <c r="AO1136" s="6" t="s">
        <v>11123</v>
      </c>
      <c r="AP1136" s="6" t="s">
        <v>11124</v>
      </c>
      <c r="AQ1136" s="6" t="s">
        <v>11125</v>
      </c>
      <c r="AR1136" s="7"/>
      <c r="AS1136" s="6" t="s">
        <v>11126</v>
      </c>
      <c r="AT1136" s="6" t="s">
        <v>11127</v>
      </c>
      <c r="AU1136" s="6" t="s">
        <v>11127</v>
      </c>
      <c r="AV1136" s="6" t="s">
        <v>3306</v>
      </c>
      <c r="AW1136" s="6" t="s">
        <v>3307</v>
      </c>
      <c r="AX1136" s="6" t="s">
        <v>3887</v>
      </c>
      <c r="AY1136" s="6" t="s">
        <v>5759</v>
      </c>
      <c r="AZ1136" s="6" t="s">
        <v>3306</v>
      </c>
      <c r="BA1136" s="6" t="s">
        <v>3311</v>
      </c>
      <c r="BB1136" s="6" t="s">
        <v>3312</v>
      </c>
      <c r="BC1136" s="6" t="s">
        <v>3313</v>
      </c>
      <c r="BD1136" s="6" t="s">
        <v>165</v>
      </c>
      <c r="BE1136" s="6" t="s">
        <v>4341</v>
      </c>
      <c r="BF1136" s="6" t="s">
        <v>3315</v>
      </c>
      <c r="BG1136" s="6" t="s">
        <v>4694</v>
      </c>
      <c r="BH1136" s="6" t="s">
        <v>7150</v>
      </c>
      <c r="BI1136" s="6" t="s">
        <v>271</v>
      </c>
      <c r="BJ1136" s="6" t="s">
        <v>3318</v>
      </c>
      <c r="BK1136" s="6" t="s">
        <v>3319</v>
      </c>
    </row>
    <row r="1137" ht="22.5" customHeight="1">
      <c r="A1137" s="4">
        <v>46229.70470537037</v>
      </c>
      <c r="B1137" s="5">
        <v>0.0</v>
      </c>
      <c r="C1137" s="6" t="s">
        <v>3296</v>
      </c>
      <c r="D1137" s="7"/>
      <c r="E1137" s="7"/>
      <c r="F1137" s="7"/>
      <c r="G1137" s="7"/>
      <c r="H1137" s="7"/>
      <c r="I1137" s="7"/>
      <c r="J1137" s="7"/>
      <c r="K1137" s="7"/>
      <c r="L1137" s="7"/>
      <c r="M1137" s="7"/>
      <c r="N1137" s="7"/>
      <c r="O1137" s="7"/>
      <c r="P1137" s="7"/>
      <c r="Q1137" s="7"/>
      <c r="R1137" s="7"/>
      <c r="S1137" s="7"/>
      <c r="T1137" s="7"/>
      <c r="U1137" s="7"/>
      <c r="V1137" s="7"/>
      <c r="W1137" s="7"/>
      <c r="X1137" s="7"/>
      <c r="Y1137" s="7"/>
      <c r="Z1137" s="7"/>
      <c r="AA1137" s="7"/>
      <c r="AB1137" s="7"/>
      <c r="AC1137" s="7"/>
      <c r="AD1137" s="7"/>
      <c r="AE1137" s="7"/>
      <c r="AF1137" s="7"/>
      <c r="AG1137" s="7"/>
      <c r="AH1137" s="6" t="s">
        <v>2900</v>
      </c>
      <c r="AI1137" s="6" t="s">
        <v>2901</v>
      </c>
      <c r="AJ1137" s="6">
        <v>6.9070508625E10</v>
      </c>
      <c r="AK1137" s="6" t="s">
        <v>9716</v>
      </c>
      <c r="AL1137" s="6" t="s">
        <v>2633</v>
      </c>
      <c r="AM1137" s="6" t="s">
        <v>11128</v>
      </c>
      <c r="AN1137" s="6" t="s">
        <v>11129</v>
      </c>
      <c r="AO1137" s="6" t="s">
        <v>10110</v>
      </c>
      <c r="AP1137" s="6" t="s">
        <v>4091</v>
      </c>
      <c r="AQ1137" s="6" t="s">
        <v>11130</v>
      </c>
      <c r="AR1137" s="6" t="s">
        <v>11131</v>
      </c>
      <c r="AS1137" s="6" t="s">
        <v>11132</v>
      </c>
      <c r="AT1137" s="6" t="s">
        <v>11133</v>
      </c>
      <c r="AU1137" s="6" t="s">
        <v>11134</v>
      </c>
      <c r="AV1137" s="6" t="s">
        <v>3306</v>
      </c>
      <c r="AW1137" s="6" t="s">
        <v>3307</v>
      </c>
      <c r="AX1137" s="6" t="s">
        <v>4887</v>
      </c>
      <c r="AY1137" s="6" t="s">
        <v>4067</v>
      </c>
      <c r="AZ1137" s="6" t="s">
        <v>3306</v>
      </c>
      <c r="BA1137" s="6" t="s">
        <v>4692</v>
      </c>
      <c r="BB1137" s="6" t="s">
        <v>3306</v>
      </c>
      <c r="BC1137" s="6" t="s">
        <v>3313</v>
      </c>
      <c r="BD1137" s="6" t="s">
        <v>152</v>
      </c>
      <c r="BE1137" s="6" t="s">
        <v>4341</v>
      </c>
      <c r="BF1137" s="6" t="s">
        <v>3889</v>
      </c>
      <c r="BG1137" s="6" t="s">
        <v>5760</v>
      </c>
      <c r="BH1137" s="6" t="s">
        <v>5246</v>
      </c>
      <c r="BI1137" s="6" t="s">
        <v>178</v>
      </c>
      <c r="BJ1137" s="6" t="s">
        <v>4068</v>
      </c>
      <c r="BK1137" s="6" t="s">
        <v>3319</v>
      </c>
    </row>
    <row r="1138" ht="22.5" customHeight="1">
      <c r="A1138" s="4">
        <v>46229.70471239583</v>
      </c>
      <c r="B1138" s="5">
        <v>0.0</v>
      </c>
      <c r="C1138" s="6" t="s">
        <v>114</v>
      </c>
      <c r="D1138" s="6" t="s">
        <v>2319</v>
      </c>
      <c r="E1138" s="6" t="s">
        <v>2320</v>
      </c>
      <c r="F1138" s="6">
        <v>6.907050066E10</v>
      </c>
      <c r="G1138" s="6" t="s">
        <v>6140</v>
      </c>
      <c r="H1138" s="6" t="s">
        <v>2633</v>
      </c>
      <c r="I1138" s="6" t="s">
        <v>11135</v>
      </c>
      <c r="J1138" s="6" t="s">
        <v>11136</v>
      </c>
      <c r="K1138" s="6" t="s">
        <v>11137</v>
      </c>
      <c r="L1138" s="6" t="s">
        <v>11138</v>
      </c>
      <c r="M1138" s="6" t="s">
        <v>11139</v>
      </c>
      <c r="N1138" s="7"/>
      <c r="O1138" s="6" t="s">
        <v>11140</v>
      </c>
      <c r="P1138" s="6" t="s">
        <v>11141</v>
      </c>
      <c r="Q1138" s="6" t="s">
        <v>11142</v>
      </c>
      <c r="R1138" s="6" t="s">
        <v>246</v>
      </c>
      <c r="S1138" s="6" t="s">
        <v>147</v>
      </c>
      <c r="T1138" s="6" t="s">
        <v>250</v>
      </c>
      <c r="U1138" s="6" t="s">
        <v>152</v>
      </c>
      <c r="V1138" s="6" t="s">
        <v>246</v>
      </c>
      <c r="W1138" s="6" t="s">
        <v>158</v>
      </c>
      <c r="X1138" s="6" t="s">
        <v>257</v>
      </c>
      <c r="Y1138" s="6" t="s">
        <v>162</v>
      </c>
      <c r="Z1138" s="6" t="s">
        <v>165</v>
      </c>
      <c r="AA1138" s="6" t="s">
        <v>262</v>
      </c>
      <c r="AB1138" s="6" t="s">
        <v>171</v>
      </c>
      <c r="AC1138" s="6" t="s">
        <v>174</v>
      </c>
      <c r="AD1138" s="6" t="s">
        <v>175</v>
      </c>
      <c r="AE1138" s="6" t="s">
        <v>271</v>
      </c>
      <c r="AF1138" s="6" t="s">
        <v>181</v>
      </c>
      <c r="AG1138" s="6" t="s">
        <v>182</v>
      </c>
      <c r="AH1138" s="7"/>
      <c r="AI1138" s="7"/>
      <c r="AJ1138" s="7"/>
      <c r="AK1138" s="7"/>
      <c r="AL1138" s="7"/>
      <c r="AM1138" s="7"/>
      <c r="AN1138" s="7"/>
      <c r="AO1138" s="7"/>
      <c r="AP1138" s="7"/>
      <c r="AQ1138" s="7"/>
      <c r="AR1138" s="7"/>
      <c r="AS1138" s="7"/>
      <c r="AT1138" s="7"/>
      <c r="AU1138" s="7"/>
      <c r="AV1138" s="7"/>
      <c r="AW1138" s="7"/>
      <c r="AX1138" s="7"/>
      <c r="AY1138" s="7"/>
      <c r="AZ1138" s="7"/>
      <c r="BA1138" s="7"/>
      <c r="BB1138" s="7"/>
      <c r="BC1138" s="7"/>
      <c r="BD1138" s="7"/>
      <c r="BE1138" s="7"/>
      <c r="BF1138" s="7"/>
      <c r="BG1138" s="7"/>
      <c r="BH1138" s="7"/>
      <c r="BI1138" s="7"/>
      <c r="BJ1138" s="7"/>
      <c r="BK1138" s="7"/>
    </row>
    <row r="1139" ht="22.5" customHeight="1">
      <c r="A1139" s="4">
        <v>46229.70471240741</v>
      </c>
      <c r="B1139" s="5">
        <v>0.0</v>
      </c>
      <c r="C1139" s="6" t="s">
        <v>114</v>
      </c>
      <c r="D1139" s="6" t="s">
        <v>2321</v>
      </c>
      <c r="E1139" s="6" t="s">
        <v>2322</v>
      </c>
      <c r="F1139" s="6">
        <v>6.9070500683E10</v>
      </c>
      <c r="G1139" s="6" t="s">
        <v>6140</v>
      </c>
      <c r="H1139" s="6" t="s">
        <v>2633</v>
      </c>
      <c r="I1139" s="6" t="s">
        <v>11143</v>
      </c>
      <c r="J1139" s="6" t="s">
        <v>3156</v>
      </c>
      <c r="K1139" s="6" t="s">
        <v>11144</v>
      </c>
      <c r="L1139" s="6" t="s">
        <v>9891</v>
      </c>
      <c r="M1139" s="6" t="s">
        <v>11145</v>
      </c>
      <c r="N1139" s="6" t="s">
        <v>2633</v>
      </c>
      <c r="O1139" s="6" t="s">
        <v>11146</v>
      </c>
      <c r="P1139" s="6" t="s">
        <v>11147</v>
      </c>
      <c r="Q1139" s="6" t="s">
        <v>11148</v>
      </c>
      <c r="R1139" s="6" t="s">
        <v>246</v>
      </c>
      <c r="S1139" s="6" t="s">
        <v>147</v>
      </c>
      <c r="T1139" s="6" t="s">
        <v>250</v>
      </c>
      <c r="U1139" s="6" t="s">
        <v>152</v>
      </c>
      <c r="V1139" s="6" t="s">
        <v>246</v>
      </c>
      <c r="W1139" s="6" t="s">
        <v>158</v>
      </c>
      <c r="X1139" s="6" t="s">
        <v>257</v>
      </c>
      <c r="Y1139" s="6" t="s">
        <v>162</v>
      </c>
      <c r="Z1139" s="6" t="s">
        <v>165</v>
      </c>
      <c r="AA1139" s="6" t="s">
        <v>262</v>
      </c>
      <c r="AB1139" s="6" t="s">
        <v>171</v>
      </c>
      <c r="AC1139" s="6" t="s">
        <v>174</v>
      </c>
      <c r="AD1139" s="6" t="s">
        <v>175</v>
      </c>
      <c r="AE1139" s="6" t="s">
        <v>271</v>
      </c>
      <c r="AF1139" s="6" t="s">
        <v>181</v>
      </c>
      <c r="AG1139" s="6" t="s">
        <v>182</v>
      </c>
      <c r="AH1139" s="7"/>
      <c r="AI1139" s="7"/>
      <c r="AJ1139" s="7"/>
      <c r="AK1139" s="7"/>
      <c r="AL1139" s="7"/>
      <c r="AM1139" s="7"/>
      <c r="AN1139" s="7"/>
      <c r="AO1139" s="7"/>
      <c r="AP1139" s="7"/>
      <c r="AQ1139" s="7"/>
      <c r="AR1139" s="7"/>
      <c r="AS1139" s="7"/>
      <c r="AT1139" s="7"/>
      <c r="AU1139" s="7"/>
      <c r="AV1139" s="7"/>
      <c r="AW1139" s="7"/>
      <c r="AX1139" s="7"/>
      <c r="AY1139" s="7"/>
      <c r="AZ1139" s="7"/>
      <c r="BA1139" s="7"/>
      <c r="BB1139" s="7"/>
      <c r="BC1139" s="7"/>
      <c r="BD1139" s="7"/>
      <c r="BE1139" s="7"/>
      <c r="BF1139" s="7"/>
      <c r="BG1139" s="7"/>
      <c r="BH1139" s="7"/>
      <c r="BI1139" s="7"/>
      <c r="BJ1139" s="7"/>
      <c r="BK1139" s="7"/>
    </row>
    <row r="1140" ht="22.5" customHeight="1">
      <c r="A1140" s="4">
        <v>46229.704740393514</v>
      </c>
      <c r="B1140" s="5">
        <v>0.0</v>
      </c>
      <c r="C1140" s="6" t="s">
        <v>114</v>
      </c>
      <c r="D1140" s="6" t="s">
        <v>2323</v>
      </c>
      <c r="E1140" s="6" t="s">
        <v>2324</v>
      </c>
      <c r="F1140" s="6">
        <v>6.9070500641E10</v>
      </c>
      <c r="G1140" s="6" t="s">
        <v>6140</v>
      </c>
      <c r="H1140" s="7"/>
      <c r="I1140" s="6" t="s">
        <v>10425</v>
      </c>
      <c r="J1140" s="6" t="s">
        <v>10424</v>
      </c>
      <c r="K1140" s="6" t="s">
        <v>10423</v>
      </c>
      <c r="L1140" s="6" t="s">
        <v>11149</v>
      </c>
      <c r="M1140" s="6" t="s">
        <v>2122</v>
      </c>
      <c r="N1140" s="6" t="s">
        <v>10422</v>
      </c>
      <c r="O1140" s="6" t="s">
        <v>10426</v>
      </c>
      <c r="P1140" s="6" t="s">
        <v>8248</v>
      </c>
      <c r="Q1140" s="6" t="s">
        <v>11150</v>
      </c>
      <c r="R1140" s="6" t="s">
        <v>246</v>
      </c>
      <c r="S1140" s="6" t="s">
        <v>147</v>
      </c>
      <c r="T1140" s="6" t="s">
        <v>250</v>
      </c>
      <c r="U1140" s="6" t="s">
        <v>252</v>
      </c>
      <c r="V1140" s="6" t="s">
        <v>246</v>
      </c>
      <c r="W1140" s="6" t="s">
        <v>158</v>
      </c>
      <c r="X1140" s="6" t="s">
        <v>257</v>
      </c>
      <c r="Y1140" s="6" t="s">
        <v>162</v>
      </c>
      <c r="Z1140" s="6" t="s">
        <v>165</v>
      </c>
      <c r="AA1140" s="6" t="s">
        <v>262</v>
      </c>
      <c r="AB1140" s="6" t="s">
        <v>521</v>
      </c>
      <c r="AC1140" s="6" t="s">
        <v>174</v>
      </c>
      <c r="AD1140" s="6" t="s">
        <v>175</v>
      </c>
      <c r="AE1140" s="6" t="s">
        <v>271</v>
      </c>
      <c r="AF1140" s="6" t="s">
        <v>181</v>
      </c>
      <c r="AG1140" s="6" t="s">
        <v>182</v>
      </c>
      <c r="AH1140" s="7"/>
      <c r="AI1140" s="7"/>
      <c r="AJ1140" s="7"/>
      <c r="AK1140" s="7"/>
      <c r="AL1140" s="7"/>
      <c r="AM1140" s="7"/>
      <c r="AN1140" s="7"/>
      <c r="AO1140" s="7"/>
      <c r="AP1140" s="7"/>
      <c r="AQ1140" s="7"/>
      <c r="AR1140" s="7"/>
      <c r="AS1140" s="7"/>
      <c r="AT1140" s="7"/>
      <c r="AU1140" s="7"/>
      <c r="AV1140" s="7"/>
      <c r="AW1140" s="7"/>
      <c r="AX1140" s="7"/>
      <c r="AY1140" s="7"/>
      <c r="AZ1140" s="7"/>
      <c r="BA1140" s="7"/>
      <c r="BB1140" s="7"/>
      <c r="BC1140" s="7"/>
      <c r="BD1140" s="7"/>
      <c r="BE1140" s="7"/>
      <c r="BF1140" s="7"/>
      <c r="BG1140" s="7"/>
      <c r="BH1140" s="7"/>
      <c r="BI1140" s="7"/>
      <c r="BJ1140" s="7"/>
      <c r="BK1140" s="7"/>
    </row>
    <row r="1141" ht="22.5" customHeight="1">
      <c r="A1141" s="4">
        <v>46229.704742974536</v>
      </c>
      <c r="B1141" s="5">
        <v>0.0</v>
      </c>
      <c r="C1141" s="6" t="s">
        <v>114</v>
      </c>
      <c r="D1141" s="6" t="s">
        <v>2325</v>
      </c>
      <c r="E1141" s="6" t="s">
        <v>2326</v>
      </c>
      <c r="F1141" s="6">
        <v>6.9070506438E10</v>
      </c>
      <c r="G1141" s="6" t="s">
        <v>599</v>
      </c>
      <c r="H1141" s="7"/>
      <c r="I1141" s="6" t="s">
        <v>11151</v>
      </c>
      <c r="J1141" s="6" t="s">
        <v>11152</v>
      </c>
      <c r="K1141" s="6" t="s">
        <v>11153</v>
      </c>
      <c r="L1141" s="6" t="s">
        <v>11154</v>
      </c>
      <c r="M1141" s="6" t="s">
        <v>11155</v>
      </c>
      <c r="N1141" s="7"/>
      <c r="O1141" s="6" t="s">
        <v>11156</v>
      </c>
      <c r="P1141" s="6" t="s">
        <v>11157</v>
      </c>
      <c r="Q1141" s="6" t="s">
        <v>11158</v>
      </c>
      <c r="R1141" s="6" t="s">
        <v>257</v>
      </c>
      <c r="S1141" s="6" t="s">
        <v>147</v>
      </c>
      <c r="T1141" s="6" t="s">
        <v>250</v>
      </c>
      <c r="U1141" s="6" t="s">
        <v>686</v>
      </c>
      <c r="V1141" s="6" t="s">
        <v>246</v>
      </c>
      <c r="W1141" s="6" t="s">
        <v>158</v>
      </c>
      <c r="X1141" s="6" t="s">
        <v>458</v>
      </c>
      <c r="Y1141" s="6" t="s">
        <v>162</v>
      </c>
      <c r="Z1141" s="6" t="s">
        <v>165</v>
      </c>
      <c r="AA1141" s="6" t="s">
        <v>262</v>
      </c>
      <c r="AB1141" s="6" t="s">
        <v>521</v>
      </c>
      <c r="AC1141" s="6" t="s">
        <v>1669</v>
      </c>
      <c r="AD1141" s="6" t="s">
        <v>175</v>
      </c>
      <c r="AE1141" s="6" t="s">
        <v>178</v>
      </c>
      <c r="AF1141" s="6" t="s">
        <v>181</v>
      </c>
      <c r="AG1141" s="6" t="s">
        <v>182</v>
      </c>
      <c r="AH1141" s="7"/>
      <c r="AI1141" s="7"/>
      <c r="AJ1141" s="7"/>
      <c r="AK1141" s="7"/>
      <c r="AL1141" s="7"/>
      <c r="AM1141" s="7"/>
      <c r="AN1141" s="7"/>
      <c r="AO1141" s="7"/>
      <c r="AP1141" s="7"/>
      <c r="AQ1141" s="7"/>
      <c r="AR1141" s="7"/>
      <c r="AS1141" s="7"/>
      <c r="AT1141" s="7"/>
      <c r="AU1141" s="7"/>
      <c r="AV1141" s="7"/>
      <c r="AW1141" s="7"/>
      <c r="AX1141" s="7"/>
      <c r="AY1141" s="7"/>
      <c r="AZ1141" s="7"/>
      <c r="BA1141" s="7"/>
      <c r="BB1141" s="7"/>
      <c r="BC1141" s="7"/>
      <c r="BD1141" s="7"/>
      <c r="BE1141" s="7"/>
      <c r="BF1141" s="7"/>
      <c r="BG1141" s="7"/>
      <c r="BH1141" s="7"/>
      <c r="BI1141" s="7"/>
      <c r="BJ1141" s="7"/>
      <c r="BK1141" s="7"/>
    </row>
    <row r="1142" ht="22.5" customHeight="1">
      <c r="A1142" s="4">
        <v>46229.70475215278</v>
      </c>
      <c r="B1142" s="5">
        <v>0.0</v>
      </c>
      <c r="C1142" s="6" t="s">
        <v>3296</v>
      </c>
      <c r="D1142" s="7"/>
      <c r="E1142" s="7"/>
      <c r="F1142" s="7"/>
      <c r="G1142" s="7"/>
      <c r="H1142" s="7"/>
      <c r="I1142" s="7"/>
      <c r="J1142" s="7"/>
      <c r="K1142" s="7"/>
      <c r="L1142" s="7"/>
      <c r="M1142" s="7"/>
      <c r="N1142" s="7"/>
      <c r="O1142" s="7"/>
      <c r="P1142" s="7"/>
      <c r="Q1142" s="7"/>
      <c r="R1142" s="7"/>
      <c r="S1142" s="7"/>
      <c r="T1142" s="7"/>
      <c r="U1142" s="7"/>
      <c r="V1142" s="7"/>
      <c r="W1142" s="7"/>
      <c r="X1142" s="7"/>
      <c r="Y1142" s="7"/>
      <c r="Z1142" s="7"/>
      <c r="AA1142" s="7"/>
      <c r="AB1142" s="7"/>
      <c r="AC1142" s="7"/>
      <c r="AD1142" s="7"/>
      <c r="AE1142" s="7"/>
      <c r="AF1142" s="7"/>
      <c r="AG1142" s="7"/>
      <c r="AH1142" s="6" t="s">
        <v>2902</v>
      </c>
      <c r="AI1142" s="6" t="s">
        <v>2903</v>
      </c>
      <c r="AJ1142" s="6">
        <v>6.9070508638E10</v>
      </c>
      <c r="AK1142" s="6" t="s">
        <v>9716</v>
      </c>
      <c r="AL1142" s="7"/>
      <c r="AM1142" s="6" t="s">
        <v>8829</v>
      </c>
      <c r="AN1142" s="6" t="s">
        <v>8831</v>
      </c>
      <c r="AO1142" s="6" t="s">
        <v>11159</v>
      </c>
      <c r="AP1142" s="6" t="s">
        <v>9718</v>
      </c>
      <c r="AQ1142" s="6" t="s">
        <v>11160</v>
      </c>
      <c r="AR1142" s="7"/>
      <c r="AS1142" s="6" t="s">
        <v>11161</v>
      </c>
      <c r="AT1142" s="6" t="s">
        <v>11162</v>
      </c>
      <c r="AU1142" s="6" t="s">
        <v>11163</v>
      </c>
      <c r="AV1142" s="6" t="s">
        <v>3306</v>
      </c>
      <c r="AW1142" s="6" t="s">
        <v>3307</v>
      </c>
      <c r="AX1142" s="6" t="s">
        <v>4887</v>
      </c>
      <c r="AY1142" s="6" t="s">
        <v>5759</v>
      </c>
      <c r="AZ1142" s="6" t="s">
        <v>3306</v>
      </c>
      <c r="BA1142" s="6" t="s">
        <v>3311</v>
      </c>
      <c r="BB1142" s="6" t="s">
        <v>4693</v>
      </c>
      <c r="BC1142" s="6" t="s">
        <v>3313</v>
      </c>
      <c r="BD1142" s="6" t="s">
        <v>165</v>
      </c>
      <c r="BE1142" s="6" t="s">
        <v>3888</v>
      </c>
      <c r="BF1142" s="6" t="s">
        <v>3889</v>
      </c>
      <c r="BG1142" s="6" t="s">
        <v>5760</v>
      </c>
      <c r="BH1142" s="6" t="s">
        <v>3317</v>
      </c>
      <c r="BI1142" s="6" t="s">
        <v>178</v>
      </c>
      <c r="BJ1142" s="6" t="s">
        <v>3318</v>
      </c>
      <c r="BK1142" s="6" t="s">
        <v>4695</v>
      </c>
    </row>
    <row r="1143" ht="22.5" customHeight="1">
      <c r="A1143" s="4">
        <v>46229.70477802084</v>
      </c>
      <c r="B1143" s="5">
        <v>0.0</v>
      </c>
      <c r="C1143" s="6" t="s">
        <v>114</v>
      </c>
      <c r="D1143" s="6" t="s">
        <v>2327</v>
      </c>
      <c r="E1143" s="6" t="s">
        <v>2328</v>
      </c>
      <c r="F1143" s="6">
        <v>6.9070500612E10</v>
      </c>
      <c r="G1143" s="6" t="s">
        <v>6140</v>
      </c>
      <c r="H1143" s="6" t="s">
        <v>2633</v>
      </c>
      <c r="I1143" s="6" t="s">
        <v>11164</v>
      </c>
      <c r="J1143" s="6" t="s">
        <v>11165</v>
      </c>
      <c r="K1143" s="6" t="s">
        <v>11166</v>
      </c>
      <c r="L1143" s="6" t="s">
        <v>11167</v>
      </c>
      <c r="M1143" s="6" t="s">
        <v>11168</v>
      </c>
      <c r="N1143" s="7"/>
      <c r="O1143" s="6" t="s">
        <v>11169</v>
      </c>
      <c r="P1143" s="6" t="s">
        <v>11170</v>
      </c>
      <c r="Q1143" s="6" t="s">
        <v>11171</v>
      </c>
      <c r="R1143" s="6" t="s">
        <v>246</v>
      </c>
      <c r="S1143" s="6" t="s">
        <v>147</v>
      </c>
      <c r="T1143" s="6" t="s">
        <v>250</v>
      </c>
      <c r="U1143" s="6" t="s">
        <v>252</v>
      </c>
      <c r="V1143" s="6" t="s">
        <v>246</v>
      </c>
      <c r="W1143" s="6" t="s">
        <v>158</v>
      </c>
      <c r="X1143" s="6" t="s">
        <v>458</v>
      </c>
      <c r="Y1143" s="6" t="s">
        <v>162</v>
      </c>
      <c r="Z1143" s="6" t="s">
        <v>165</v>
      </c>
      <c r="AA1143" s="6" t="s">
        <v>262</v>
      </c>
      <c r="AB1143" s="6" t="s">
        <v>521</v>
      </c>
      <c r="AC1143" s="6" t="s">
        <v>174</v>
      </c>
      <c r="AD1143" s="6" t="s">
        <v>175</v>
      </c>
      <c r="AE1143" s="6" t="s">
        <v>1211</v>
      </c>
      <c r="AF1143" s="6" t="s">
        <v>181</v>
      </c>
      <c r="AG1143" s="6" t="s">
        <v>641</v>
      </c>
      <c r="AH1143" s="7"/>
      <c r="AI1143" s="7"/>
      <c r="AJ1143" s="7"/>
      <c r="AK1143" s="7"/>
      <c r="AL1143" s="7"/>
      <c r="AM1143" s="7"/>
      <c r="AN1143" s="7"/>
      <c r="AO1143" s="7"/>
      <c r="AP1143" s="7"/>
      <c r="AQ1143" s="7"/>
      <c r="AR1143" s="7"/>
      <c r="AS1143" s="7"/>
      <c r="AT1143" s="7"/>
      <c r="AU1143" s="7"/>
      <c r="AV1143" s="7"/>
      <c r="AW1143" s="7"/>
      <c r="AX1143" s="7"/>
      <c r="AY1143" s="7"/>
      <c r="AZ1143" s="7"/>
      <c r="BA1143" s="7"/>
      <c r="BB1143" s="7"/>
      <c r="BC1143" s="7"/>
      <c r="BD1143" s="7"/>
      <c r="BE1143" s="7"/>
      <c r="BF1143" s="7"/>
      <c r="BG1143" s="7"/>
      <c r="BH1143" s="7"/>
      <c r="BI1143" s="7"/>
      <c r="BJ1143" s="7"/>
      <c r="BK1143" s="7"/>
    </row>
    <row r="1144" ht="22.5" customHeight="1">
      <c r="A1144" s="4">
        <v>46229.7047975</v>
      </c>
      <c r="B1144" s="5">
        <v>0.0</v>
      </c>
      <c r="C1144" s="6" t="s">
        <v>114</v>
      </c>
      <c r="D1144" s="6" t="s">
        <v>2329</v>
      </c>
      <c r="E1144" s="6" t="s">
        <v>2330</v>
      </c>
      <c r="F1144" s="6">
        <v>6.9070509444E10</v>
      </c>
      <c r="G1144" s="6" t="s">
        <v>122</v>
      </c>
      <c r="H1144" s="7"/>
      <c r="I1144" s="6" t="s">
        <v>11172</v>
      </c>
      <c r="J1144" s="6" t="s">
        <v>11173</v>
      </c>
      <c r="K1144" s="6" t="s">
        <v>11174</v>
      </c>
      <c r="L1144" s="6" t="s">
        <v>11175</v>
      </c>
      <c r="M1144" s="6" t="s">
        <v>11176</v>
      </c>
      <c r="N1144" s="7"/>
      <c r="O1144" s="6" t="s">
        <v>11177</v>
      </c>
      <c r="P1144" s="6" t="s">
        <v>11178</v>
      </c>
      <c r="Q1144" s="6" t="s">
        <v>11179</v>
      </c>
      <c r="R1144" s="6" t="s">
        <v>246</v>
      </c>
      <c r="S1144" s="6" t="s">
        <v>147</v>
      </c>
      <c r="T1144" s="6" t="s">
        <v>250</v>
      </c>
      <c r="U1144" s="6" t="s">
        <v>252</v>
      </c>
      <c r="V1144" s="6" t="s">
        <v>246</v>
      </c>
      <c r="W1144" s="6" t="s">
        <v>158</v>
      </c>
      <c r="X1144" s="6" t="s">
        <v>257</v>
      </c>
      <c r="Y1144" s="6" t="s">
        <v>162</v>
      </c>
      <c r="Z1144" s="6" t="s">
        <v>165</v>
      </c>
      <c r="AA1144" s="6" t="s">
        <v>262</v>
      </c>
      <c r="AB1144" s="6" t="s">
        <v>171</v>
      </c>
      <c r="AC1144" s="6" t="s">
        <v>174</v>
      </c>
      <c r="AD1144" s="6" t="s">
        <v>175</v>
      </c>
      <c r="AE1144" s="6" t="s">
        <v>271</v>
      </c>
      <c r="AF1144" s="6" t="s">
        <v>181</v>
      </c>
      <c r="AG1144" s="6" t="s">
        <v>182</v>
      </c>
      <c r="AH1144" s="7"/>
      <c r="AI1144" s="7"/>
      <c r="AJ1144" s="7"/>
      <c r="AK1144" s="7"/>
      <c r="AL1144" s="7"/>
      <c r="AM1144" s="7"/>
      <c r="AN1144" s="7"/>
      <c r="AO1144" s="7"/>
      <c r="AP1144" s="7"/>
      <c r="AQ1144" s="7"/>
      <c r="AR1144" s="7"/>
      <c r="AS1144" s="7"/>
      <c r="AT1144" s="7"/>
      <c r="AU1144" s="7"/>
      <c r="AV1144" s="7"/>
      <c r="AW1144" s="7"/>
      <c r="AX1144" s="7"/>
      <c r="AY1144" s="7"/>
      <c r="AZ1144" s="7"/>
      <c r="BA1144" s="7"/>
      <c r="BB1144" s="7"/>
      <c r="BC1144" s="7"/>
      <c r="BD1144" s="7"/>
      <c r="BE1144" s="7"/>
      <c r="BF1144" s="7"/>
      <c r="BG1144" s="7"/>
      <c r="BH1144" s="7"/>
      <c r="BI1144" s="7"/>
      <c r="BJ1144" s="7"/>
      <c r="BK1144" s="7"/>
    </row>
    <row r="1145" ht="22.5" customHeight="1">
      <c r="A1145" s="4">
        <v>46229.70480349537</v>
      </c>
      <c r="B1145" s="5">
        <v>0.0</v>
      </c>
      <c r="C1145" s="6" t="s">
        <v>3296</v>
      </c>
      <c r="D1145" s="7"/>
      <c r="E1145" s="7"/>
      <c r="F1145" s="7"/>
      <c r="G1145" s="7"/>
      <c r="H1145" s="7"/>
      <c r="I1145" s="7"/>
      <c r="J1145" s="7"/>
      <c r="K1145" s="7"/>
      <c r="L1145" s="7"/>
      <c r="M1145" s="7"/>
      <c r="N1145" s="7"/>
      <c r="O1145" s="7"/>
      <c r="P1145" s="7"/>
      <c r="Q1145" s="7"/>
      <c r="R1145" s="7"/>
      <c r="S1145" s="7"/>
      <c r="T1145" s="7"/>
      <c r="U1145" s="7"/>
      <c r="V1145" s="7"/>
      <c r="W1145" s="7"/>
      <c r="X1145" s="7"/>
      <c r="Y1145" s="7"/>
      <c r="Z1145" s="7"/>
      <c r="AA1145" s="7"/>
      <c r="AB1145" s="7"/>
      <c r="AC1145" s="7"/>
      <c r="AD1145" s="7"/>
      <c r="AE1145" s="7"/>
      <c r="AF1145" s="7"/>
      <c r="AG1145" s="7"/>
      <c r="AH1145" s="6" t="s">
        <v>2904</v>
      </c>
      <c r="AI1145" s="6" t="s">
        <v>2905</v>
      </c>
      <c r="AJ1145" s="6">
        <v>6.907050405E10</v>
      </c>
      <c r="AK1145" s="6" t="s">
        <v>4331</v>
      </c>
      <c r="AL1145" s="7"/>
      <c r="AM1145" s="6" t="s">
        <v>11180</v>
      </c>
      <c r="AN1145" s="6" t="s">
        <v>11181</v>
      </c>
      <c r="AO1145" s="6" t="s">
        <v>11182</v>
      </c>
      <c r="AP1145" s="6" t="s">
        <v>11183</v>
      </c>
      <c r="AQ1145" s="6" t="s">
        <v>10750</v>
      </c>
      <c r="AR1145" s="7"/>
      <c r="AS1145" s="6" t="s">
        <v>11184</v>
      </c>
      <c r="AT1145" s="6" t="s">
        <v>11185</v>
      </c>
      <c r="AU1145" s="6" t="s">
        <v>11186</v>
      </c>
      <c r="AV1145" s="6" t="s">
        <v>3306</v>
      </c>
      <c r="AW1145" s="6" t="s">
        <v>3307</v>
      </c>
      <c r="AX1145" s="6" t="s">
        <v>3887</v>
      </c>
      <c r="AY1145" s="6" t="s">
        <v>804</v>
      </c>
      <c r="AZ1145" s="6" t="s">
        <v>3310</v>
      </c>
      <c r="BA1145" s="6" t="s">
        <v>3311</v>
      </c>
      <c r="BB1145" s="6" t="s">
        <v>4693</v>
      </c>
      <c r="BC1145" s="6" t="s">
        <v>3313</v>
      </c>
      <c r="BD1145" s="6" t="s">
        <v>165</v>
      </c>
      <c r="BE1145" s="6" t="s">
        <v>3888</v>
      </c>
      <c r="BF1145" s="6" t="s">
        <v>3315</v>
      </c>
      <c r="BG1145" s="6" t="s">
        <v>3316</v>
      </c>
      <c r="BH1145" s="6" t="s">
        <v>3317</v>
      </c>
      <c r="BI1145" s="6" t="s">
        <v>271</v>
      </c>
      <c r="BJ1145" s="6" t="s">
        <v>3318</v>
      </c>
      <c r="BK1145" s="6" t="s">
        <v>3319</v>
      </c>
    </row>
    <row r="1146" ht="22.5" customHeight="1">
      <c r="A1146" s="4">
        <v>46229.704834386575</v>
      </c>
      <c r="B1146" s="5">
        <v>0.0</v>
      </c>
      <c r="C1146" s="6" t="s">
        <v>114</v>
      </c>
      <c r="D1146" s="6" t="s">
        <v>2331</v>
      </c>
      <c r="E1146" s="6" t="s">
        <v>2332</v>
      </c>
      <c r="F1146" s="6">
        <v>6.9070501272E10</v>
      </c>
      <c r="G1146" s="6" t="s">
        <v>228</v>
      </c>
      <c r="H1146" s="7"/>
      <c r="I1146" s="6" t="s">
        <v>11187</v>
      </c>
      <c r="J1146" s="6" t="s">
        <v>11188</v>
      </c>
      <c r="K1146" s="6" t="s">
        <v>11189</v>
      </c>
      <c r="L1146" s="6" t="s">
        <v>11190</v>
      </c>
      <c r="M1146" s="6" t="s">
        <v>11191</v>
      </c>
      <c r="N1146" s="7"/>
      <c r="O1146" s="6" t="s">
        <v>11192</v>
      </c>
      <c r="P1146" s="6" t="s">
        <v>11193</v>
      </c>
      <c r="Q1146" s="6" t="s">
        <v>11194</v>
      </c>
      <c r="R1146" s="6" t="s">
        <v>246</v>
      </c>
      <c r="S1146" s="6" t="s">
        <v>147</v>
      </c>
      <c r="T1146" s="6" t="s">
        <v>250</v>
      </c>
      <c r="U1146" s="6" t="s">
        <v>560</v>
      </c>
      <c r="V1146" s="6" t="s">
        <v>246</v>
      </c>
      <c r="W1146" s="6" t="s">
        <v>158</v>
      </c>
      <c r="X1146" s="6" t="s">
        <v>246</v>
      </c>
      <c r="Y1146" s="6" t="s">
        <v>162</v>
      </c>
      <c r="Z1146" s="6" t="s">
        <v>165</v>
      </c>
      <c r="AA1146" s="6" t="s">
        <v>262</v>
      </c>
      <c r="AB1146" s="6" t="s">
        <v>521</v>
      </c>
      <c r="AC1146" s="6" t="s">
        <v>174</v>
      </c>
      <c r="AD1146" s="6" t="s">
        <v>175</v>
      </c>
      <c r="AE1146" s="6" t="s">
        <v>271</v>
      </c>
      <c r="AF1146" s="6" t="s">
        <v>181</v>
      </c>
      <c r="AG1146" s="6" t="s">
        <v>641</v>
      </c>
      <c r="AH1146" s="7"/>
      <c r="AI1146" s="7"/>
      <c r="AJ1146" s="7"/>
      <c r="AK1146" s="7"/>
      <c r="AL1146" s="7"/>
      <c r="AM1146" s="7"/>
      <c r="AN1146" s="7"/>
      <c r="AO1146" s="7"/>
      <c r="AP1146" s="7"/>
      <c r="AQ1146" s="7"/>
      <c r="AR1146" s="7"/>
      <c r="AS1146" s="7"/>
      <c r="AT1146" s="7"/>
      <c r="AU1146" s="7"/>
      <c r="AV1146" s="7"/>
      <c r="AW1146" s="7"/>
      <c r="AX1146" s="7"/>
      <c r="AY1146" s="7"/>
      <c r="AZ1146" s="7"/>
      <c r="BA1146" s="7"/>
      <c r="BB1146" s="7"/>
      <c r="BC1146" s="7"/>
      <c r="BD1146" s="7"/>
      <c r="BE1146" s="7"/>
      <c r="BF1146" s="7"/>
      <c r="BG1146" s="7"/>
      <c r="BH1146" s="7"/>
      <c r="BI1146" s="7"/>
      <c r="BJ1146" s="7"/>
      <c r="BK1146" s="7"/>
    </row>
    <row r="1147" ht="22.5" customHeight="1">
      <c r="A1147" s="4">
        <v>46229.704839074075</v>
      </c>
      <c r="B1147" s="5">
        <v>0.0</v>
      </c>
      <c r="C1147" s="6" t="s">
        <v>114</v>
      </c>
      <c r="D1147" s="6" t="s">
        <v>2333</v>
      </c>
      <c r="E1147" s="6" t="s">
        <v>2334</v>
      </c>
      <c r="F1147" s="6">
        <v>6.9070500688E10</v>
      </c>
      <c r="G1147" s="6" t="s">
        <v>6140</v>
      </c>
      <c r="H1147" s="7"/>
      <c r="I1147" s="6" t="s">
        <v>11195</v>
      </c>
      <c r="J1147" s="6" t="s">
        <v>11196</v>
      </c>
      <c r="K1147" s="6" t="s">
        <v>11197</v>
      </c>
      <c r="L1147" s="6" t="s">
        <v>3562</v>
      </c>
      <c r="M1147" s="6" t="s">
        <v>11198</v>
      </c>
      <c r="N1147" s="6" t="s">
        <v>2633</v>
      </c>
      <c r="O1147" s="6" t="s">
        <v>11199</v>
      </c>
      <c r="P1147" s="6" t="s">
        <v>11200</v>
      </c>
      <c r="Q1147" s="6" t="s">
        <v>11201</v>
      </c>
      <c r="R1147" s="6" t="s">
        <v>246</v>
      </c>
      <c r="S1147" s="6" t="s">
        <v>147</v>
      </c>
      <c r="T1147" s="6" t="s">
        <v>246</v>
      </c>
      <c r="U1147" s="6" t="s">
        <v>252</v>
      </c>
      <c r="V1147" s="6" t="s">
        <v>246</v>
      </c>
      <c r="W1147" s="6" t="s">
        <v>158</v>
      </c>
      <c r="X1147" s="6" t="s">
        <v>257</v>
      </c>
      <c r="Y1147" s="6" t="s">
        <v>162</v>
      </c>
      <c r="Z1147" s="6" t="s">
        <v>165</v>
      </c>
      <c r="AA1147" s="6" t="s">
        <v>262</v>
      </c>
      <c r="AB1147" s="6" t="s">
        <v>1266</v>
      </c>
      <c r="AC1147" s="6" t="s">
        <v>1210</v>
      </c>
      <c r="AD1147" s="6" t="s">
        <v>175</v>
      </c>
      <c r="AE1147" s="6" t="s">
        <v>178</v>
      </c>
      <c r="AF1147" s="6" t="s">
        <v>174</v>
      </c>
      <c r="AG1147" s="6" t="s">
        <v>641</v>
      </c>
      <c r="AH1147" s="7"/>
      <c r="AI1147" s="7"/>
      <c r="AJ1147" s="7"/>
      <c r="AK1147" s="7"/>
      <c r="AL1147" s="7"/>
      <c r="AM1147" s="7"/>
      <c r="AN1147" s="7"/>
      <c r="AO1147" s="7"/>
      <c r="AP1147" s="7"/>
      <c r="AQ1147" s="7"/>
      <c r="AR1147" s="7"/>
      <c r="AS1147" s="7"/>
      <c r="AT1147" s="7"/>
      <c r="AU1147" s="7"/>
      <c r="AV1147" s="7"/>
      <c r="AW1147" s="7"/>
      <c r="AX1147" s="7"/>
      <c r="AY1147" s="7"/>
      <c r="AZ1147" s="7"/>
      <c r="BA1147" s="7"/>
      <c r="BB1147" s="7"/>
      <c r="BC1147" s="7"/>
      <c r="BD1147" s="7"/>
      <c r="BE1147" s="7"/>
      <c r="BF1147" s="7"/>
      <c r="BG1147" s="7"/>
      <c r="BH1147" s="7"/>
      <c r="BI1147" s="7"/>
      <c r="BJ1147" s="7"/>
      <c r="BK1147" s="7"/>
    </row>
    <row r="1148" ht="22.5" customHeight="1">
      <c r="A1148" s="4">
        <v>46229.70490351852</v>
      </c>
      <c r="B1148" s="5">
        <v>0.0</v>
      </c>
      <c r="C1148" s="6" t="s">
        <v>114</v>
      </c>
      <c r="D1148" s="6" t="s">
        <v>2335</v>
      </c>
      <c r="E1148" s="6" t="s">
        <v>2336</v>
      </c>
      <c r="F1148" s="6">
        <v>6.9070500603E10</v>
      </c>
      <c r="G1148" s="6" t="s">
        <v>6140</v>
      </c>
      <c r="H1148" s="7"/>
      <c r="I1148" s="6" t="s">
        <v>11202</v>
      </c>
      <c r="J1148" s="6" t="s">
        <v>11203</v>
      </c>
      <c r="K1148" s="6" t="s">
        <v>11204</v>
      </c>
      <c r="L1148" s="6" t="s">
        <v>11205</v>
      </c>
      <c r="M1148" s="6" t="s">
        <v>11206</v>
      </c>
      <c r="N1148" s="7"/>
      <c r="O1148" s="6" t="s">
        <v>11207</v>
      </c>
      <c r="P1148" s="6" t="s">
        <v>11208</v>
      </c>
      <c r="Q1148" s="6" t="s">
        <v>11209</v>
      </c>
      <c r="R1148" s="6" t="s">
        <v>257</v>
      </c>
      <c r="S1148" s="6" t="s">
        <v>147</v>
      </c>
      <c r="T1148" s="6" t="s">
        <v>250</v>
      </c>
      <c r="U1148" s="6" t="s">
        <v>152</v>
      </c>
      <c r="V1148" s="6" t="s">
        <v>246</v>
      </c>
      <c r="W1148" s="6" t="s">
        <v>158</v>
      </c>
      <c r="X1148" s="6" t="s">
        <v>257</v>
      </c>
      <c r="Y1148" s="6" t="s">
        <v>162</v>
      </c>
      <c r="Z1148" s="6" t="s">
        <v>165</v>
      </c>
      <c r="AA1148" s="6" t="s">
        <v>262</v>
      </c>
      <c r="AB1148" s="6" t="s">
        <v>521</v>
      </c>
      <c r="AC1148" s="6" t="s">
        <v>1669</v>
      </c>
      <c r="AD1148" s="6" t="s">
        <v>1324</v>
      </c>
      <c r="AE1148" s="6" t="s">
        <v>271</v>
      </c>
      <c r="AF1148" s="6" t="s">
        <v>181</v>
      </c>
      <c r="AG1148" s="6" t="s">
        <v>182</v>
      </c>
      <c r="AH1148" s="7"/>
      <c r="AI1148" s="7"/>
      <c r="AJ1148" s="7"/>
      <c r="AK1148" s="7"/>
      <c r="AL1148" s="7"/>
      <c r="AM1148" s="7"/>
      <c r="AN1148" s="7"/>
      <c r="AO1148" s="7"/>
      <c r="AP1148" s="7"/>
      <c r="AQ1148" s="7"/>
      <c r="AR1148" s="7"/>
      <c r="AS1148" s="7"/>
      <c r="AT1148" s="7"/>
      <c r="AU1148" s="7"/>
      <c r="AV1148" s="7"/>
      <c r="AW1148" s="7"/>
      <c r="AX1148" s="7"/>
      <c r="AY1148" s="7"/>
      <c r="AZ1148" s="7"/>
      <c r="BA1148" s="7"/>
      <c r="BB1148" s="7"/>
      <c r="BC1148" s="7"/>
      <c r="BD1148" s="7"/>
      <c r="BE1148" s="7"/>
      <c r="BF1148" s="7"/>
      <c r="BG1148" s="7"/>
      <c r="BH1148" s="7"/>
      <c r="BI1148" s="7"/>
      <c r="BJ1148" s="7"/>
      <c r="BK1148" s="7"/>
    </row>
    <row r="1149" ht="22.5" customHeight="1">
      <c r="A1149" s="4">
        <v>46229.70490503473</v>
      </c>
      <c r="B1149" s="5">
        <v>0.0</v>
      </c>
      <c r="C1149" s="6" t="s">
        <v>3296</v>
      </c>
      <c r="D1149" s="7"/>
      <c r="E1149" s="7"/>
      <c r="F1149" s="7"/>
      <c r="G1149" s="7"/>
      <c r="H1149" s="7"/>
      <c r="I1149" s="7"/>
      <c r="J1149" s="7"/>
      <c r="K1149" s="7"/>
      <c r="L1149" s="7"/>
      <c r="M1149" s="7"/>
      <c r="N1149" s="7"/>
      <c r="O1149" s="7"/>
      <c r="P1149" s="7"/>
      <c r="Q1149" s="7"/>
      <c r="R1149" s="7"/>
      <c r="S1149" s="7"/>
      <c r="T1149" s="7"/>
      <c r="U1149" s="7"/>
      <c r="V1149" s="7"/>
      <c r="W1149" s="7"/>
      <c r="X1149" s="7"/>
      <c r="Y1149" s="7"/>
      <c r="Z1149" s="7"/>
      <c r="AA1149" s="7"/>
      <c r="AB1149" s="7"/>
      <c r="AC1149" s="7"/>
      <c r="AD1149" s="7"/>
      <c r="AE1149" s="7"/>
      <c r="AF1149" s="7"/>
      <c r="AG1149" s="7"/>
      <c r="AH1149" s="6" t="s">
        <v>2906</v>
      </c>
      <c r="AI1149" s="6" t="s">
        <v>2907</v>
      </c>
      <c r="AJ1149" s="6">
        <v>6.9070509213E10</v>
      </c>
      <c r="AK1149" s="6" t="s">
        <v>4331</v>
      </c>
      <c r="AL1149" s="6">
        <v>6.0</v>
      </c>
      <c r="AM1149" s="6" t="s">
        <v>11210</v>
      </c>
      <c r="AN1149" s="6" t="s">
        <v>11211</v>
      </c>
      <c r="AO1149" s="6" t="s">
        <v>6724</v>
      </c>
      <c r="AP1149" s="6" t="s">
        <v>6725</v>
      </c>
      <c r="AQ1149" s="6" t="s">
        <v>7050</v>
      </c>
      <c r="AR1149" s="6" t="s">
        <v>8495</v>
      </c>
      <c r="AS1149" s="6" t="s">
        <v>11212</v>
      </c>
      <c r="AT1149" s="6" t="s">
        <v>11213</v>
      </c>
      <c r="AU1149" s="6" t="s">
        <v>11214</v>
      </c>
      <c r="AV1149" s="6" t="s">
        <v>3306</v>
      </c>
      <c r="AW1149" s="6" t="s">
        <v>3307</v>
      </c>
      <c r="AX1149" s="6" t="s">
        <v>3887</v>
      </c>
      <c r="AY1149" s="6" t="s">
        <v>152</v>
      </c>
      <c r="AZ1149" s="6" t="s">
        <v>3306</v>
      </c>
      <c r="BA1149" s="6" t="s">
        <v>3311</v>
      </c>
      <c r="BB1149" s="6" t="s">
        <v>3306</v>
      </c>
      <c r="BC1149" s="6" t="s">
        <v>3313</v>
      </c>
      <c r="BD1149" s="6" t="s">
        <v>165</v>
      </c>
      <c r="BE1149" s="6" t="s">
        <v>3888</v>
      </c>
      <c r="BF1149" s="6" t="s">
        <v>3889</v>
      </c>
      <c r="BG1149" s="6" t="s">
        <v>5760</v>
      </c>
      <c r="BH1149" s="6" t="s">
        <v>3317</v>
      </c>
      <c r="BI1149" s="6" t="s">
        <v>271</v>
      </c>
      <c r="BJ1149" s="6" t="s">
        <v>3318</v>
      </c>
      <c r="BK1149" s="6" t="s">
        <v>3319</v>
      </c>
    </row>
    <row r="1150" ht="22.5" customHeight="1">
      <c r="A1150" s="4">
        <v>46229.70492001157</v>
      </c>
      <c r="B1150" s="5">
        <v>0.0</v>
      </c>
      <c r="C1150" s="6" t="s">
        <v>114</v>
      </c>
      <c r="D1150" s="6" t="s">
        <v>209</v>
      </c>
      <c r="E1150" s="6" t="s">
        <v>2337</v>
      </c>
      <c r="F1150" s="6">
        <v>6.9070509436E10</v>
      </c>
      <c r="G1150" s="6" t="s">
        <v>122</v>
      </c>
      <c r="H1150" s="6" t="s">
        <v>11215</v>
      </c>
      <c r="I1150" s="6" t="s">
        <v>11216</v>
      </c>
      <c r="J1150" s="6" t="s">
        <v>11217</v>
      </c>
      <c r="K1150" s="6" t="s">
        <v>11218</v>
      </c>
      <c r="L1150" s="6" t="s">
        <v>11219</v>
      </c>
      <c r="M1150" s="6" t="s">
        <v>11220</v>
      </c>
      <c r="N1150" s="6" t="s">
        <v>11221</v>
      </c>
      <c r="O1150" s="6" t="s">
        <v>11222</v>
      </c>
      <c r="P1150" s="6" t="s">
        <v>11223</v>
      </c>
      <c r="Q1150" s="6" t="s">
        <v>11224</v>
      </c>
      <c r="R1150" s="6" t="s">
        <v>246</v>
      </c>
      <c r="S1150" s="6" t="s">
        <v>147</v>
      </c>
      <c r="T1150" s="6" t="s">
        <v>250</v>
      </c>
      <c r="U1150" s="6" t="s">
        <v>252</v>
      </c>
      <c r="V1150" s="6" t="s">
        <v>246</v>
      </c>
      <c r="W1150" s="6" t="s">
        <v>158</v>
      </c>
      <c r="X1150" s="6" t="s">
        <v>257</v>
      </c>
      <c r="Y1150" s="6" t="s">
        <v>162</v>
      </c>
      <c r="Z1150" s="6" t="s">
        <v>165</v>
      </c>
      <c r="AA1150" s="6" t="s">
        <v>262</v>
      </c>
      <c r="AB1150" s="6" t="s">
        <v>171</v>
      </c>
      <c r="AC1150" s="6" t="s">
        <v>174</v>
      </c>
      <c r="AD1150" s="6" t="s">
        <v>175</v>
      </c>
      <c r="AE1150" s="6" t="s">
        <v>271</v>
      </c>
      <c r="AF1150" s="6" t="s">
        <v>181</v>
      </c>
      <c r="AG1150" s="6" t="s">
        <v>182</v>
      </c>
      <c r="AH1150" s="7"/>
      <c r="AI1150" s="7"/>
      <c r="AJ1150" s="7"/>
      <c r="AK1150" s="7"/>
      <c r="AL1150" s="7"/>
      <c r="AM1150" s="7"/>
      <c r="AN1150" s="7"/>
      <c r="AO1150" s="7"/>
      <c r="AP1150" s="7"/>
      <c r="AQ1150" s="7"/>
      <c r="AR1150" s="7"/>
      <c r="AS1150" s="7"/>
      <c r="AT1150" s="7"/>
      <c r="AU1150" s="7"/>
      <c r="AV1150" s="7"/>
      <c r="AW1150" s="7"/>
      <c r="AX1150" s="7"/>
      <c r="AY1150" s="7"/>
      <c r="AZ1150" s="7"/>
      <c r="BA1150" s="7"/>
      <c r="BB1150" s="7"/>
      <c r="BC1150" s="7"/>
      <c r="BD1150" s="7"/>
      <c r="BE1150" s="7"/>
      <c r="BF1150" s="7"/>
      <c r="BG1150" s="7"/>
      <c r="BH1150" s="7"/>
      <c r="BI1150" s="7"/>
      <c r="BJ1150" s="7"/>
      <c r="BK1150" s="7"/>
    </row>
    <row r="1151" ht="22.5" customHeight="1">
      <c r="A1151" s="4">
        <v>46229.704954120374</v>
      </c>
      <c r="B1151" s="5">
        <v>0.0</v>
      </c>
      <c r="C1151" s="6" t="s">
        <v>114</v>
      </c>
      <c r="D1151" s="6" t="s">
        <v>2338</v>
      </c>
      <c r="E1151" s="6" t="s">
        <v>2339</v>
      </c>
      <c r="F1151" s="6">
        <v>6.9070509427E10</v>
      </c>
      <c r="G1151" s="6" t="s">
        <v>122</v>
      </c>
      <c r="H1151" s="6" t="s">
        <v>11225</v>
      </c>
      <c r="I1151" s="6" t="s">
        <v>11226</v>
      </c>
      <c r="J1151" s="6" t="s">
        <v>11227</v>
      </c>
      <c r="K1151" s="6" t="s">
        <v>11228</v>
      </c>
      <c r="L1151" s="6" t="s">
        <v>11229</v>
      </c>
      <c r="M1151" s="6" t="s">
        <v>11230</v>
      </c>
      <c r="N1151" s="6" t="s">
        <v>11231</v>
      </c>
      <c r="O1151" s="6" t="s">
        <v>11232</v>
      </c>
      <c r="P1151" s="6" t="s">
        <v>11233</v>
      </c>
      <c r="Q1151" s="6" t="s">
        <v>11234</v>
      </c>
      <c r="R1151" s="6" t="s">
        <v>246</v>
      </c>
      <c r="S1151" s="6" t="s">
        <v>147</v>
      </c>
      <c r="T1151" s="6" t="s">
        <v>250</v>
      </c>
      <c r="U1151" s="6" t="s">
        <v>252</v>
      </c>
      <c r="V1151" s="6" t="s">
        <v>246</v>
      </c>
      <c r="W1151" s="6" t="s">
        <v>158</v>
      </c>
      <c r="X1151" s="6" t="s">
        <v>257</v>
      </c>
      <c r="Y1151" s="6" t="s">
        <v>162</v>
      </c>
      <c r="Z1151" s="6" t="s">
        <v>165</v>
      </c>
      <c r="AA1151" s="6" t="s">
        <v>262</v>
      </c>
      <c r="AB1151" s="6" t="s">
        <v>171</v>
      </c>
      <c r="AC1151" s="6" t="s">
        <v>174</v>
      </c>
      <c r="AD1151" s="6" t="s">
        <v>175</v>
      </c>
      <c r="AE1151" s="6" t="s">
        <v>524</v>
      </c>
      <c r="AF1151" s="6" t="s">
        <v>181</v>
      </c>
      <c r="AG1151" s="6" t="s">
        <v>182</v>
      </c>
      <c r="AH1151" s="7"/>
      <c r="AI1151" s="7"/>
      <c r="AJ1151" s="7"/>
      <c r="AK1151" s="7"/>
      <c r="AL1151" s="7"/>
      <c r="AM1151" s="7"/>
      <c r="AN1151" s="7"/>
      <c r="AO1151" s="7"/>
      <c r="AP1151" s="7"/>
      <c r="AQ1151" s="7"/>
      <c r="AR1151" s="7"/>
      <c r="AS1151" s="7"/>
      <c r="AT1151" s="7"/>
      <c r="AU1151" s="7"/>
      <c r="AV1151" s="7"/>
      <c r="AW1151" s="7"/>
      <c r="AX1151" s="7"/>
      <c r="AY1151" s="7"/>
      <c r="AZ1151" s="7"/>
      <c r="BA1151" s="7"/>
      <c r="BB1151" s="7"/>
      <c r="BC1151" s="7"/>
      <c r="BD1151" s="7"/>
      <c r="BE1151" s="7"/>
      <c r="BF1151" s="7"/>
      <c r="BG1151" s="7"/>
      <c r="BH1151" s="7"/>
      <c r="BI1151" s="7"/>
      <c r="BJ1151" s="7"/>
      <c r="BK1151" s="7"/>
    </row>
    <row r="1152" ht="22.5" customHeight="1">
      <c r="A1152" s="4">
        <v>46229.704986770834</v>
      </c>
      <c r="B1152" s="5">
        <v>0.0</v>
      </c>
      <c r="C1152" s="6" t="s">
        <v>114</v>
      </c>
      <c r="D1152" s="6" t="s">
        <v>2340</v>
      </c>
      <c r="E1152" s="6" t="s">
        <v>2341</v>
      </c>
      <c r="F1152" s="6">
        <v>6.9070500675E10</v>
      </c>
      <c r="G1152" s="6" t="s">
        <v>6140</v>
      </c>
      <c r="H1152" s="7"/>
      <c r="I1152" s="6" t="s">
        <v>11235</v>
      </c>
      <c r="J1152" s="6" t="s">
        <v>6343</v>
      </c>
      <c r="K1152" s="6" t="s">
        <v>11236</v>
      </c>
      <c r="L1152" s="6" t="s">
        <v>379</v>
      </c>
      <c r="M1152" s="6" t="s">
        <v>11237</v>
      </c>
      <c r="N1152" s="6" t="s">
        <v>4750</v>
      </c>
      <c r="O1152" s="6" t="s">
        <v>11238</v>
      </c>
      <c r="P1152" s="6" t="s">
        <v>11239</v>
      </c>
      <c r="Q1152" s="6" t="s">
        <v>11240</v>
      </c>
      <c r="R1152" s="6" t="s">
        <v>246</v>
      </c>
      <c r="S1152" s="6" t="s">
        <v>147</v>
      </c>
      <c r="T1152" s="6" t="s">
        <v>250</v>
      </c>
      <c r="U1152" s="6" t="s">
        <v>686</v>
      </c>
      <c r="V1152" s="6" t="s">
        <v>246</v>
      </c>
      <c r="W1152" s="6" t="s">
        <v>158</v>
      </c>
      <c r="X1152" s="6" t="s">
        <v>257</v>
      </c>
      <c r="Y1152" s="6" t="s">
        <v>162</v>
      </c>
      <c r="Z1152" s="6" t="s">
        <v>165</v>
      </c>
      <c r="AA1152" s="6" t="s">
        <v>262</v>
      </c>
      <c r="AB1152" s="6" t="s">
        <v>521</v>
      </c>
      <c r="AC1152" s="6" t="s">
        <v>174</v>
      </c>
      <c r="AD1152" s="6" t="s">
        <v>175</v>
      </c>
      <c r="AE1152" s="6" t="s">
        <v>271</v>
      </c>
      <c r="AF1152" s="6" t="s">
        <v>181</v>
      </c>
      <c r="AG1152" s="6" t="s">
        <v>182</v>
      </c>
      <c r="AH1152" s="7"/>
      <c r="AI1152" s="7"/>
      <c r="AJ1152" s="7"/>
      <c r="AK1152" s="7"/>
      <c r="AL1152" s="7"/>
      <c r="AM1152" s="7"/>
      <c r="AN1152" s="7"/>
      <c r="AO1152" s="7"/>
      <c r="AP1152" s="7"/>
      <c r="AQ1152" s="7"/>
      <c r="AR1152" s="7"/>
      <c r="AS1152" s="7"/>
      <c r="AT1152" s="7"/>
      <c r="AU1152" s="7"/>
      <c r="AV1152" s="7"/>
      <c r="AW1152" s="7"/>
      <c r="AX1152" s="7"/>
      <c r="AY1152" s="7"/>
      <c r="AZ1152" s="7"/>
      <c r="BA1152" s="7"/>
      <c r="BB1152" s="7"/>
      <c r="BC1152" s="7"/>
      <c r="BD1152" s="7"/>
      <c r="BE1152" s="7"/>
      <c r="BF1152" s="7"/>
      <c r="BG1152" s="7"/>
      <c r="BH1152" s="7"/>
      <c r="BI1152" s="7"/>
      <c r="BJ1152" s="7"/>
      <c r="BK1152" s="7"/>
    </row>
    <row r="1153" ht="22.5" customHeight="1">
      <c r="A1153" s="4">
        <v>46229.70498958333</v>
      </c>
      <c r="B1153" s="5">
        <v>0.0</v>
      </c>
      <c r="C1153" s="6" t="s">
        <v>3296</v>
      </c>
      <c r="D1153" s="7"/>
      <c r="E1153" s="7"/>
      <c r="F1153" s="7"/>
      <c r="G1153" s="7"/>
      <c r="H1153" s="7"/>
      <c r="I1153" s="7"/>
      <c r="J1153" s="7"/>
      <c r="K1153" s="7"/>
      <c r="L1153" s="7"/>
      <c r="M1153" s="7"/>
      <c r="N1153" s="7"/>
      <c r="O1153" s="7"/>
      <c r="P1153" s="7"/>
      <c r="Q1153" s="7"/>
      <c r="R1153" s="7"/>
      <c r="S1153" s="7"/>
      <c r="T1153" s="7"/>
      <c r="U1153" s="7"/>
      <c r="V1153" s="7"/>
      <c r="W1153" s="7"/>
      <c r="X1153" s="7"/>
      <c r="Y1153" s="7"/>
      <c r="Z1153" s="7"/>
      <c r="AA1153" s="7"/>
      <c r="AB1153" s="7"/>
      <c r="AC1153" s="7"/>
      <c r="AD1153" s="7"/>
      <c r="AE1153" s="7"/>
      <c r="AF1153" s="7"/>
      <c r="AG1153" s="7"/>
      <c r="AH1153" s="6" t="s">
        <v>2847</v>
      </c>
      <c r="AI1153" s="6" t="s">
        <v>2908</v>
      </c>
      <c r="AJ1153" s="6">
        <v>6.9070504044E10</v>
      </c>
      <c r="AK1153" s="6" t="s">
        <v>4331</v>
      </c>
      <c r="AL1153" s="6" t="s">
        <v>11241</v>
      </c>
      <c r="AM1153" s="6" t="s">
        <v>11242</v>
      </c>
      <c r="AN1153" s="6" t="s">
        <v>11243</v>
      </c>
      <c r="AO1153" s="6" t="s">
        <v>11244</v>
      </c>
      <c r="AP1153" s="6" t="s">
        <v>11245</v>
      </c>
      <c r="AQ1153" s="6" t="s">
        <v>11246</v>
      </c>
      <c r="AR1153" s="6" t="s">
        <v>11247</v>
      </c>
      <c r="AS1153" s="6" t="s">
        <v>11248</v>
      </c>
      <c r="AT1153" s="6" t="s">
        <v>11249</v>
      </c>
      <c r="AU1153" s="6" t="s">
        <v>11250</v>
      </c>
      <c r="AV1153" s="6" t="s">
        <v>3306</v>
      </c>
      <c r="AW1153" s="6" t="s">
        <v>3307</v>
      </c>
      <c r="AX1153" s="6" t="s">
        <v>3887</v>
      </c>
      <c r="AY1153" s="6" t="s">
        <v>5759</v>
      </c>
      <c r="AZ1153" s="6" t="s">
        <v>3306</v>
      </c>
      <c r="BA1153" s="6" t="s">
        <v>7430</v>
      </c>
      <c r="BB1153" s="6" t="s">
        <v>6098</v>
      </c>
      <c r="BC1153" s="6" t="s">
        <v>3313</v>
      </c>
      <c r="BD1153" s="6" t="s">
        <v>165</v>
      </c>
      <c r="BE1153" s="6" t="s">
        <v>3314</v>
      </c>
      <c r="BF1153" s="6" t="s">
        <v>3315</v>
      </c>
      <c r="BG1153" s="6" t="s">
        <v>5760</v>
      </c>
      <c r="BH1153" s="6" t="s">
        <v>3317</v>
      </c>
      <c r="BI1153" s="6" t="s">
        <v>178</v>
      </c>
      <c r="BJ1153" s="6" t="s">
        <v>5247</v>
      </c>
      <c r="BK1153" s="6" t="s">
        <v>3319</v>
      </c>
    </row>
    <row r="1154" ht="22.5" customHeight="1">
      <c r="A1154" s="4">
        <v>46229.70499032407</v>
      </c>
      <c r="B1154" s="5">
        <v>0.0</v>
      </c>
      <c r="C1154" s="6" t="s">
        <v>114</v>
      </c>
      <c r="D1154" s="6" t="s">
        <v>2344</v>
      </c>
      <c r="E1154" s="6" t="s">
        <v>2345</v>
      </c>
      <c r="F1154" s="6">
        <v>6.9070500601E10</v>
      </c>
      <c r="G1154" s="6" t="s">
        <v>6140</v>
      </c>
      <c r="H1154" s="7"/>
      <c r="I1154" s="6" t="s">
        <v>10166</v>
      </c>
      <c r="J1154" s="6" t="s">
        <v>6778</v>
      </c>
      <c r="K1154" s="6" t="s">
        <v>9590</v>
      </c>
      <c r="L1154" s="6" t="s">
        <v>2122</v>
      </c>
      <c r="M1154" s="6" t="s">
        <v>3066</v>
      </c>
      <c r="N1154" s="6" t="s">
        <v>4755</v>
      </c>
      <c r="O1154" s="6" t="s">
        <v>11251</v>
      </c>
      <c r="P1154" s="6" t="s">
        <v>11252</v>
      </c>
      <c r="Q1154" s="6" t="s">
        <v>11253</v>
      </c>
      <c r="R1154" s="6" t="s">
        <v>246</v>
      </c>
      <c r="S1154" s="6" t="s">
        <v>147</v>
      </c>
      <c r="T1154" s="6" t="s">
        <v>250</v>
      </c>
      <c r="U1154" s="6" t="s">
        <v>686</v>
      </c>
      <c r="V1154" s="6" t="s">
        <v>246</v>
      </c>
      <c r="W1154" s="6" t="s">
        <v>158</v>
      </c>
      <c r="X1154" s="6" t="s">
        <v>458</v>
      </c>
      <c r="Y1154" s="6" t="s">
        <v>162</v>
      </c>
      <c r="Z1154" s="6" t="s">
        <v>165</v>
      </c>
      <c r="AA1154" s="6" t="s">
        <v>262</v>
      </c>
      <c r="AB1154" s="6" t="s">
        <v>1266</v>
      </c>
      <c r="AC1154" s="6" t="s">
        <v>174</v>
      </c>
      <c r="AD1154" s="6" t="s">
        <v>175</v>
      </c>
      <c r="AE1154" s="6" t="s">
        <v>271</v>
      </c>
      <c r="AF1154" s="6" t="s">
        <v>181</v>
      </c>
      <c r="AG1154" s="6" t="s">
        <v>182</v>
      </c>
      <c r="AH1154" s="7"/>
      <c r="AI1154" s="7"/>
      <c r="AJ1154" s="7"/>
      <c r="AK1154" s="7"/>
      <c r="AL1154" s="7"/>
      <c r="AM1154" s="7"/>
      <c r="AN1154" s="7"/>
      <c r="AO1154" s="7"/>
      <c r="AP1154" s="7"/>
      <c r="AQ1154" s="7"/>
      <c r="AR1154" s="7"/>
      <c r="AS1154" s="7"/>
      <c r="AT1154" s="7"/>
      <c r="AU1154" s="7"/>
      <c r="AV1154" s="7"/>
      <c r="AW1154" s="7"/>
      <c r="AX1154" s="7"/>
      <c r="AY1154" s="7"/>
      <c r="AZ1154" s="7"/>
      <c r="BA1154" s="7"/>
      <c r="BB1154" s="7"/>
      <c r="BC1154" s="7"/>
      <c r="BD1154" s="7"/>
      <c r="BE1154" s="7"/>
      <c r="BF1154" s="7"/>
      <c r="BG1154" s="7"/>
      <c r="BH1154" s="7"/>
      <c r="BI1154" s="7"/>
      <c r="BJ1154" s="7"/>
      <c r="BK1154" s="7"/>
    </row>
    <row r="1155" ht="22.5" customHeight="1">
      <c r="A1155" s="4">
        <v>46229.70502356481</v>
      </c>
      <c r="B1155" s="5">
        <v>0.0</v>
      </c>
      <c r="C1155" s="6" t="s">
        <v>114</v>
      </c>
      <c r="D1155" s="6" t="s">
        <v>2348</v>
      </c>
      <c r="E1155" s="6" t="s">
        <v>2349</v>
      </c>
      <c r="F1155" s="6">
        <v>6.907050823E10</v>
      </c>
      <c r="G1155" s="6" t="s">
        <v>730</v>
      </c>
      <c r="H1155" s="7"/>
      <c r="I1155" s="6" t="s">
        <v>11254</v>
      </c>
      <c r="J1155" s="6" t="s">
        <v>11255</v>
      </c>
      <c r="K1155" s="6" t="s">
        <v>11256</v>
      </c>
      <c r="L1155" s="6" t="s">
        <v>11257</v>
      </c>
      <c r="M1155" s="6" t="s">
        <v>11258</v>
      </c>
      <c r="N1155" s="7"/>
      <c r="O1155" s="6" t="s">
        <v>11259</v>
      </c>
      <c r="P1155" s="6" t="s">
        <v>11260</v>
      </c>
      <c r="Q1155" s="6" t="s">
        <v>11261</v>
      </c>
      <c r="R1155" s="6" t="s">
        <v>246</v>
      </c>
      <c r="S1155" s="6" t="s">
        <v>147</v>
      </c>
      <c r="T1155" s="6" t="s">
        <v>250</v>
      </c>
      <c r="U1155" s="6" t="s">
        <v>252</v>
      </c>
      <c r="V1155" s="6" t="s">
        <v>246</v>
      </c>
      <c r="W1155" s="6" t="s">
        <v>158</v>
      </c>
      <c r="X1155" s="6" t="s">
        <v>257</v>
      </c>
      <c r="Y1155" s="6" t="s">
        <v>162</v>
      </c>
      <c r="Z1155" s="6" t="s">
        <v>165</v>
      </c>
      <c r="AA1155" s="6" t="s">
        <v>262</v>
      </c>
      <c r="AB1155" s="6" t="s">
        <v>171</v>
      </c>
      <c r="AC1155" s="6" t="s">
        <v>174</v>
      </c>
      <c r="AD1155" s="6" t="s">
        <v>175</v>
      </c>
      <c r="AE1155" s="6" t="s">
        <v>271</v>
      </c>
      <c r="AF1155" s="6" t="s">
        <v>181</v>
      </c>
      <c r="AG1155" s="6" t="s">
        <v>182</v>
      </c>
      <c r="AH1155" s="7"/>
      <c r="AI1155" s="7"/>
      <c r="AJ1155" s="7"/>
      <c r="AK1155" s="7"/>
      <c r="AL1155" s="7"/>
      <c r="AM1155" s="7"/>
      <c r="AN1155" s="7"/>
      <c r="AO1155" s="7"/>
      <c r="AP1155" s="7"/>
      <c r="AQ1155" s="7"/>
      <c r="AR1155" s="7"/>
      <c r="AS1155" s="7"/>
      <c r="AT1155" s="7"/>
      <c r="AU1155" s="7"/>
      <c r="AV1155" s="7"/>
      <c r="AW1155" s="7"/>
      <c r="AX1155" s="7"/>
      <c r="AY1155" s="7"/>
      <c r="AZ1155" s="7"/>
      <c r="BA1155" s="7"/>
      <c r="BB1155" s="7"/>
      <c r="BC1155" s="7"/>
      <c r="BD1155" s="7"/>
      <c r="BE1155" s="7"/>
      <c r="BF1155" s="7"/>
      <c r="BG1155" s="7"/>
      <c r="BH1155" s="7"/>
      <c r="BI1155" s="7"/>
      <c r="BJ1155" s="7"/>
      <c r="BK1155" s="7"/>
    </row>
    <row r="1156" ht="22.5" customHeight="1">
      <c r="A1156" s="4">
        <v>46229.70505826389</v>
      </c>
      <c r="B1156" s="5">
        <v>0.0</v>
      </c>
      <c r="C1156" s="6" t="s">
        <v>114</v>
      </c>
      <c r="D1156" s="6" t="s">
        <v>2352</v>
      </c>
      <c r="E1156" s="6" t="s">
        <v>2353</v>
      </c>
      <c r="F1156" s="6">
        <v>6.9070500614E10</v>
      </c>
      <c r="G1156" s="6" t="s">
        <v>6140</v>
      </c>
      <c r="H1156" s="7"/>
      <c r="I1156" s="6" t="s">
        <v>11262</v>
      </c>
      <c r="J1156" s="6" t="s">
        <v>11263</v>
      </c>
      <c r="K1156" s="6" t="s">
        <v>2122</v>
      </c>
      <c r="L1156" s="6" t="s">
        <v>11264</v>
      </c>
      <c r="M1156" s="6" t="s">
        <v>10999</v>
      </c>
      <c r="N1156" s="7"/>
      <c r="O1156" s="6" t="s">
        <v>11265</v>
      </c>
      <c r="P1156" s="6" t="s">
        <v>4619</v>
      </c>
      <c r="Q1156" s="6" t="s">
        <v>11266</v>
      </c>
      <c r="R1156" s="6" t="s">
        <v>246</v>
      </c>
      <c r="S1156" s="6" t="s">
        <v>147</v>
      </c>
      <c r="T1156" s="6" t="s">
        <v>250</v>
      </c>
      <c r="U1156" s="6" t="s">
        <v>560</v>
      </c>
      <c r="V1156" s="6" t="s">
        <v>246</v>
      </c>
      <c r="W1156" s="6" t="s">
        <v>158</v>
      </c>
      <c r="X1156" s="6" t="s">
        <v>257</v>
      </c>
      <c r="Y1156" s="6" t="s">
        <v>162</v>
      </c>
      <c r="Z1156" s="6" t="s">
        <v>165</v>
      </c>
      <c r="AA1156" s="6" t="s">
        <v>262</v>
      </c>
      <c r="AB1156" s="6" t="s">
        <v>171</v>
      </c>
      <c r="AC1156" s="6" t="s">
        <v>174</v>
      </c>
      <c r="AD1156" s="6" t="s">
        <v>175</v>
      </c>
      <c r="AE1156" s="6" t="s">
        <v>271</v>
      </c>
      <c r="AF1156" s="6" t="s">
        <v>181</v>
      </c>
      <c r="AG1156" s="6" t="s">
        <v>182</v>
      </c>
      <c r="AH1156" s="7"/>
      <c r="AI1156" s="7"/>
      <c r="AJ1156" s="7"/>
      <c r="AK1156" s="7"/>
      <c r="AL1156" s="7"/>
      <c r="AM1156" s="7"/>
      <c r="AN1156" s="7"/>
      <c r="AO1156" s="7"/>
      <c r="AP1156" s="7"/>
      <c r="AQ1156" s="7"/>
      <c r="AR1156" s="7"/>
      <c r="AS1156" s="7"/>
      <c r="AT1156" s="7"/>
      <c r="AU1156" s="7"/>
      <c r="AV1156" s="7"/>
      <c r="AW1156" s="7"/>
      <c r="AX1156" s="7"/>
      <c r="AY1156" s="7"/>
      <c r="AZ1156" s="7"/>
      <c r="BA1156" s="7"/>
      <c r="BB1156" s="7"/>
      <c r="BC1156" s="7"/>
      <c r="BD1156" s="7"/>
      <c r="BE1156" s="7"/>
      <c r="BF1156" s="7"/>
      <c r="BG1156" s="7"/>
      <c r="BH1156" s="7"/>
      <c r="BI1156" s="7"/>
      <c r="BJ1156" s="7"/>
      <c r="BK1156" s="7"/>
    </row>
    <row r="1157" ht="22.5" customHeight="1">
      <c r="A1157" s="4">
        <v>46229.7050608912</v>
      </c>
      <c r="B1157" s="5">
        <v>0.0</v>
      </c>
      <c r="C1157" s="6" t="s">
        <v>114</v>
      </c>
      <c r="D1157" s="6" t="s">
        <v>197</v>
      </c>
      <c r="E1157" s="6" t="s">
        <v>2357</v>
      </c>
      <c r="F1157" s="6">
        <v>6.9070509419E10</v>
      </c>
      <c r="G1157" s="6" t="s">
        <v>122</v>
      </c>
      <c r="H1157" s="7"/>
      <c r="I1157" s="6" t="s">
        <v>8722</v>
      </c>
      <c r="J1157" s="6" t="s">
        <v>11267</v>
      </c>
      <c r="K1157" s="6" t="s">
        <v>11268</v>
      </c>
      <c r="L1157" s="6" t="s">
        <v>11269</v>
      </c>
      <c r="M1157" s="6" t="s">
        <v>11270</v>
      </c>
      <c r="N1157" s="7"/>
      <c r="O1157" s="6" t="s">
        <v>11271</v>
      </c>
      <c r="P1157" s="6" t="s">
        <v>11272</v>
      </c>
      <c r="Q1157" s="6" t="s">
        <v>11273</v>
      </c>
      <c r="R1157" s="6" t="s">
        <v>257</v>
      </c>
      <c r="S1157" s="6" t="s">
        <v>147</v>
      </c>
      <c r="T1157" s="6" t="s">
        <v>246</v>
      </c>
      <c r="U1157" s="6" t="s">
        <v>252</v>
      </c>
      <c r="V1157" s="6" t="s">
        <v>246</v>
      </c>
      <c r="W1157" s="6" t="s">
        <v>158</v>
      </c>
      <c r="X1157" s="6" t="s">
        <v>250</v>
      </c>
      <c r="Y1157" s="6" t="s">
        <v>162</v>
      </c>
      <c r="Z1157" s="6" t="s">
        <v>165</v>
      </c>
      <c r="AA1157" s="6" t="s">
        <v>262</v>
      </c>
      <c r="AB1157" s="6" t="s">
        <v>1266</v>
      </c>
      <c r="AC1157" s="6" t="s">
        <v>633</v>
      </c>
      <c r="AD1157" s="6" t="s">
        <v>1723</v>
      </c>
      <c r="AE1157" s="6" t="s">
        <v>271</v>
      </c>
      <c r="AF1157" s="6" t="s">
        <v>181</v>
      </c>
      <c r="AG1157" s="6" t="s">
        <v>182</v>
      </c>
      <c r="AH1157" s="7"/>
      <c r="AI1157" s="7"/>
      <c r="AJ1157" s="7"/>
      <c r="AK1157" s="7"/>
      <c r="AL1157" s="7"/>
      <c r="AM1157" s="7"/>
      <c r="AN1157" s="7"/>
      <c r="AO1157" s="7"/>
      <c r="AP1157" s="7"/>
      <c r="AQ1157" s="7"/>
      <c r="AR1157" s="7"/>
      <c r="AS1157" s="7"/>
      <c r="AT1157" s="7"/>
      <c r="AU1157" s="7"/>
      <c r="AV1157" s="7"/>
      <c r="AW1157" s="7"/>
      <c r="AX1157" s="7"/>
      <c r="AY1157" s="7"/>
      <c r="AZ1157" s="7"/>
      <c r="BA1157" s="7"/>
      <c r="BB1157" s="7"/>
      <c r="BC1157" s="7"/>
      <c r="BD1157" s="7"/>
      <c r="BE1157" s="7"/>
      <c r="BF1157" s="7"/>
      <c r="BG1157" s="7"/>
      <c r="BH1157" s="7"/>
      <c r="BI1157" s="7"/>
      <c r="BJ1157" s="7"/>
      <c r="BK1157" s="7"/>
    </row>
    <row r="1158" ht="22.5" customHeight="1">
      <c r="A1158" s="4">
        <v>46229.705090902775</v>
      </c>
      <c r="B1158" s="5">
        <v>0.0</v>
      </c>
      <c r="C1158" s="6" t="s">
        <v>114</v>
      </c>
      <c r="D1158" s="6" t="s">
        <v>2358</v>
      </c>
      <c r="E1158" s="6" t="s">
        <v>2359</v>
      </c>
      <c r="F1158" s="6">
        <v>6.9070500035E10</v>
      </c>
      <c r="G1158" s="6" t="s">
        <v>4580</v>
      </c>
      <c r="H1158" s="7"/>
      <c r="I1158" s="6" t="s">
        <v>3586</v>
      </c>
      <c r="J1158" s="6" t="s">
        <v>3169</v>
      </c>
      <c r="K1158" s="6" t="s">
        <v>10131</v>
      </c>
      <c r="L1158" s="6" t="s">
        <v>9194</v>
      </c>
      <c r="M1158" s="6" t="s">
        <v>11274</v>
      </c>
      <c r="N1158" s="7"/>
      <c r="O1158" s="6" t="s">
        <v>11275</v>
      </c>
      <c r="P1158" s="6" t="s">
        <v>11276</v>
      </c>
      <c r="Q1158" s="6" t="s">
        <v>11277</v>
      </c>
      <c r="R1158" s="6" t="s">
        <v>257</v>
      </c>
      <c r="S1158" s="6" t="s">
        <v>147</v>
      </c>
      <c r="T1158" s="6" t="s">
        <v>516</v>
      </c>
      <c r="U1158" s="6" t="s">
        <v>560</v>
      </c>
      <c r="V1158" s="6" t="s">
        <v>246</v>
      </c>
      <c r="W1158" s="6" t="s">
        <v>158</v>
      </c>
      <c r="X1158" s="6" t="s">
        <v>161</v>
      </c>
      <c r="Y1158" s="6" t="s">
        <v>162</v>
      </c>
      <c r="Z1158" s="6" t="s">
        <v>804</v>
      </c>
      <c r="AA1158" s="6" t="s">
        <v>262</v>
      </c>
      <c r="AB1158" s="6" t="s">
        <v>171</v>
      </c>
      <c r="AC1158" s="6" t="s">
        <v>633</v>
      </c>
      <c r="AD1158" s="6" t="s">
        <v>175</v>
      </c>
      <c r="AE1158" s="6" t="s">
        <v>271</v>
      </c>
      <c r="AF1158" s="6" t="s">
        <v>181</v>
      </c>
      <c r="AG1158" s="6" t="s">
        <v>182</v>
      </c>
      <c r="AH1158" s="7"/>
      <c r="AI1158" s="7"/>
      <c r="AJ1158" s="7"/>
      <c r="AK1158" s="7"/>
      <c r="AL1158" s="7"/>
      <c r="AM1158" s="7"/>
      <c r="AN1158" s="7"/>
      <c r="AO1158" s="7"/>
      <c r="AP1158" s="7"/>
      <c r="AQ1158" s="7"/>
      <c r="AR1158" s="7"/>
      <c r="AS1158" s="7"/>
      <c r="AT1158" s="7"/>
      <c r="AU1158" s="7"/>
      <c r="AV1158" s="7"/>
      <c r="AW1158" s="7"/>
      <c r="AX1158" s="7"/>
      <c r="AY1158" s="7"/>
      <c r="AZ1158" s="7"/>
      <c r="BA1158" s="7"/>
      <c r="BB1158" s="7"/>
      <c r="BC1158" s="7"/>
      <c r="BD1158" s="7"/>
      <c r="BE1158" s="7"/>
      <c r="BF1158" s="7"/>
      <c r="BG1158" s="7"/>
      <c r="BH1158" s="7"/>
      <c r="BI1158" s="7"/>
      <c r="BJ1158" s="7"/>
      <c r="BK1158" s="7"/>
    </row>
    <row r="1159" ht="22.5" customHeight="1">
      <c r="A1159" s="4">
        <v>46229.70509773148</v>
      </c>
      <c r="B1159" s="5">
        <v>0.0</v>
      </c>
      <c r="C1159" s="6" t="s">
        <v>3296</v>
      </c>
      <c r="D1159" s="7"/>
      <c r="E1159" s="7"/>
      <c r="F1159" s="7"/>
      <c r="G1159" s="7"/>
      <c r="H1159" s="7"/>
      <c r="I1159" s="7"/>
      <c r="J1159" s="7"/>
      <c r="K1159" s="7"/>
      <c r="L1159" s="7"/>
      <c r="M1159" s="7"/>
      <c r="N1159" s="7"/>
      <c r="O1159" s="7"/>
      <c r="P1159" s="7"/>
      <c r="Q1159" s="7"/>
      <c r="R1159" s="7"/>
      <c r="S1159" s="7"/>
      <c r="T1159" s="7"/>
      <c r="U1159" s="7"/>
      <c r="V1159" s="7"/>
      <c r="W1159" s="7"/>
      <c r="X1159" s="7"/>
      <c r="Y1159" s="7"/>
      <c r="Z1159" s="7"/>
      <c r="AA1159" s="7"/>
      <c r="AB1159" s="7"/>
      <c r="AC1159" s="7"/>
      <c r="AD1159" s="7"/>
      <c r="AE1159" s="7"/>
      <c r="AF1159" s="7"/>
      <c r="AG1159" s="7"/>
      <c r="AH1159" s="6" t="s">
        <v>2909</v>
      </c>
      <c r="AI1159" s="6" t="s">
        <v>2910</v>
      </c>
      <c r="AJ1159" s="6">
        <v>6.9070503255E10</v>
      </c>
      <c r="AK1159" s="6" t="s">
        <v>9323</v>
      </c>
      <c r="AL1159" s="6" t="s">
        <v>2633</v>
      </c>
      <c r="AM1159" s="6" t="s">
        <v>11278</v>
      </c>
      <c r="AN1159" s="6" t="s">
        <v>11279</v>
      </c>
      <c r="AO1159" s="6" t="s">
        <v>11280</v>
      </c>
      <c r="AP1159" s="6" t="s">
        <v>11281</v>
      </c>
      <c r="AQ1159" s="6" t="s">
        <v>11282</v>
      </c>
      <c r="AR1159" s="6" t="s">
        <v>2633</v>
      </c>
      <c r="AS1159" s="6" t="s">
        <v>11283</v>
      </c>
      <c r="AT1159" s="6" t="s">
        <v>11284</v>
      </c>
      <c r="AU1159" s="6" t="s">
        <v>11285</v>
      </c>
      <c r="AV1159" s="6" t="s">
        <v>3306</v>
      </c>
      <c r="AW1159" s="6" t="s">
        <v>3307</v>
      </c>
      <c r="AX1159" s="6" t="s">
        <v>3308</v>
      </c>
      <c r="AY1159" s="6" t="s">
        <v>152</v>
      </c>
      <c r="AZ1159" s="6" t="s">
        <v>3306</v>
      </c>
      <c r="BA1159" s="6" t="s">
        <v>3311</v>
      </c>
      <c r="BB1159" s="6" t="s">
        <v>3312</v>
      </c>
      <c r="BC1159" s="6" t="s">
        <v>3313</v>
      </c>
      <c r="BD1159" s="6" t="s">
        <v>165</v>
      </c>
      <c r="BE1159" s="6" t="s">
        <v>3888</v>
      </c>
      <c r="BF1159" s="6" t="s">
        <v>3315</v>
      </c>
      <c r="BG1159" s="6" t="s">
        <v>4068</v>
      </c>
      <c r="BH1159" s="6" t="s">
        <v>5246</v>
      </c>
      <c r="BI1159" s="6" t="s">
        <v>271</v>
      </c>
      <c r="BJ1159" s="6" t="s">
        <v>3318</v>
      </c>
      <c r="BK1159" s="6" t="s">
        <v>3319</v>
      </c>
    </row>
    <row r="1160" ht="22.5" customHeight="1">
      <c r="A1160" s="4">
        <v>46229.70509982639</v>
      </c>
      <c r="B1160" s="5">
        <v>0.0</v>
      </c>
      <c r="C1160" s="6" t="s">
        <v>3296</v>
      </c>
      <c r="D1160" s="7"/>
      <c r="E1160" s="7"/>
      <c r="F1160" s="7"/>
      <c r="G1160" s="7"/>
      <c r="H1160" s="7"/>
      <c r="I1160" s="7"/>
      <c r="J1160" s="7"/>
      <c r="K1160" s="7"/>
      <c r="L1160" s="7"/>
      <c r="M1160" s="7"/>
      <c r="N1160" s="7"/>
      <c r="O1160" s="7"/>
      <c r="P1160" s="7"/>
      <c r="Q1160" s="7"/>
      <c r="R1160" s="7"/>
      <c r="S1160" s="7"/>
      <c r="T1160" s="7"/>
      <c r="U1160" s="7"/>
      <c r="V1160" s="7"/>
      <c r="W1160" s="7"/>
      <c r="X1160" s="7"/>
      <c r="Y1160" s="7"/>
      <c r="Z1160" s="7"/>
      <c r="AA1160" s="7"/>
      <c r="AB1160" s="7"/>
      <c r="AC1160" s="7"/>
      <c r="AD1160" s="7"/>
      <c r="AE1160" s="7"/>
      <c r="AF1160" s="7"/>
      <c r="AG1160" s="7"/>
      <c r="AH1160" s="6" t="s">
        <v>2911</v>
      </c>
      <c r="AI1160" s="6" t="s">
        <v>2912</v>
      </c>
      <c r="AJ1160" s="6">
        <v>6.907050403E10</v>
      </c>
      <c r="AK1160" s="6" t="s">
        <v>4331</v>
      </c>
      <c r="AL1160" s="7"/>
      <c r="AM1160" s="6" t="s">
        <v>11286</v>
      </c>
      <c r="AN1160" s="6" t="s">
        <v>11287</v>
      </c>
      <c r="AO1160" s="6" t="s">
        <v>11288</v>
      </c>
      <c r="AP1160" s="6" t="s">
        <v>11289</v>
      </c>
      <c r="AQ1160" s="6" t="s">
        <v>11290</v>
      </c>
      <c r="AR1160" s="7"/>
      <c r="AS1160" s="6" t="s">
        <v>11291</v>
      </c>
      <c r="AT1160" s="6" t="s">
        <v>11292</v>
      </c>
      <c r="AU1160" s="6" t="s">
        <v>11293</v>
      </c>
      <c r="AV1160" s="6" t="s">
        <v>3306</v>
      </c>
      <c r="AW1160" s="6" t="s">
        <v>3307</v>
      </c>
      <c r="AX1160" s="6" t="s">
        <v>3887</v>
      </c>
      <c r="AY1160" s="6" t="s">
        <v>3309</v>
      </c>
      <c r="AZ1160" s="6" t="s">
        <v>3306</v>
      </c>
      <c r="BA1160" s="6" t="s">
        <v>3311</v>
      </c>
      <c r="BB1160" s="6" t="s">
        <v>3312</v>
      </c>
      <c r="BC1160" s="6" t="s">
        <v>3313</v>
      </c>
      <c r="BD1160" s="6" t="s">
        <v>165</v>
      </c>
      <c r="BE1160" s="6" t="s">
        <v>3888</v>
      </c>
      <c r="BF1160" s="6" t="s">
        <v>4862</v>
      </c>
      <c r="BG1160" s="6" t="s">
        <v>4068</v>
      </c>
      <c r="BH1160" s="6" t="s">
        <v>3317</v>
      </c>
      <c r="BI1160" s="6" t="s">
        <v>271</v>
      </c>
      <c r="BJ1160" s="6" t="s">
        <v>3318</v>
      </c>
      <c r="BK1160" s="6" t="s">
        <v>3319</v>
      </c>
    </row>
    <row r="1161" ht="22.5" customHeight="1">
      <c r="A1161" s="4">
        <v>46229.70515692129</v>
      </c>
      <c r="B1161" s="5">
        <v>0.0</v>
      </c>
      <c r="C1161" s="6" t="s">
        <v>114</v>
      </c>
      <c r="D1161" s="6" t="s">
        <v>600</v>
      </c>
      <c r="E1161" s="6" t="s">
        <v>2360</v>
      </c>
      <c r="F1161" s="6">
        <v>6.9070500025E10</v>
      </c>
      <c r="G1161" s="6" t="s">
        <v>4580</v>
      </c>
      <c r="H1161" s="7"/>
      <c r="I1161" s="6" t="s">
        <v>11294</v>
      </c>
      <c r="J1161" s="6" t="s">
        <v>11295</v>
      </c>
      <c r="K1161" s="6" t="s">
        <v>11296</v>
      </c>
      <c r="L1161" s="6" t="s">
        <v>11297</v>
      </c>
      <c r="M1161" s="6" t="s">
        <v>11298</v>
      </c>
      <c r="N1161" s="7"/>
      <c r="O1161" s="6" t="s">
        <v>11299</v>
      </c>
      <c r="P1161" s="6" t="s">
        <v>11300</v>
      </c>
      <c r="Q1161" s="6" t="s">
        <v>11301</v>
      </c>
      <c r="R1161" s="6" t="s">
        <v>246</v>
      </c>
      <c r="S1161" s="6" t="s">
        <v>147</v>
      </c>
      <c r="T1161" s="6" t="s">
        <v>250</v>
      </c>
      <c r="U1161" s="6" t="s">
        <v>686</v>
      </c>
      <c r="V1161" s="6" t="s">
        <v>155</v>
      </c>
      <c r="W1161" s="6" t="s">
        <v>6621</v>
      </c>
      <c r="X1161" s="6" t="s">
        <v>250</v>
      </c>
      <c r="Y1161" s="6" t="s">
        <v>1319</v>
      </c>
      <c r="Z1161" s="6" t="s">
        <v>629</v>
      </c>
      <c r="AA1161" s="6" t="s">
        <v>168</v>
      </c>
      <c r="AB1161" s="6" t="s">
        <v>171</v>
      </c>
      <c r="AC1161" s="6" t="s">
        <v>1669</v>
      </c>
      <c r="AD1161" s="6" t="s">
        <v>635</v>
      </c>
      <c r="AE1161" s="6" t="s">
        <v>524</v>
      </c>
      <c r="AF1161" s="6" t="s">
        <v>181</v>
      </c>
      <c r="AG1161" s="6" t="s">
        <v>641</v>
      </c>
      <c r="AH1161" s="7"/>
      <c r="AI1161" s="7"/>
      <c r="AJ1161" s="7"/>
      <c r="AK1161" s="7"/>
      <c r="AL1161" s="7"/>
      <c r="AM1161" s="7"/>
      <c r="AN1161" s="7"/>
      <c r="AO1161" s="7"/>
      <c r="AP1161" s="7"/>
      <c r="AQ1161" s="7"/>
      <c r="AR1161" s="7"/>
      <c r="AS1161" s="7"/>
      <c r="AT1161" s="7"/>
      <c r="AU1161" s="7"/>
      <c r="AV1161" s="7"/>
      <c r="AW1161" s="7"/>
      <c r="AX1161" s="7"/>
      <c r="AY1161" s="7"/>
      <c r="AZ1161" s="7"/>
      <c r="BA1161" s="7"/>
      <c r="BB1161" s="7"/>
      <c r="BC1161" s="7"/>
      <c r="BD1161" s="7"/>
      <c r="BE1161" s="7"/>
      <c r="BF1161" s="7"/>
      <c r="BG1161" s="7"/>
      <c r="BH1161" s="7"/>
      <c r="BI1161" s="7"/>
      <c r="BJ1161" s="7"/>
      <c r="BK1161" s="7"/>
    </row>
    <row r="1162" ht="22.5" customHeight="1">
      <c r="A1162" s="4">
        <v>46229.70519148148</v>
      </c>
      <c r="B1162" s="5">
        <v>0.0</v>
      </c>
      <c r="C1162" s="6" t="s">
        <v>114</v>
      </c>
      <c r="D1162" s="6" t="s">
        <v>2361</v>
      </c>
      <c r="E1162" s="6" t="s">
        <v>2362</v>
      </c>
      <c r="F1162" s="6">
        <v>6.9070500684E10</v>
      </c>
      <c r="G1162" s="6" t="s">
        <v>6140</v>
      </c>
      <c r="H1162" s="7"/>
      <c r="I1162" s="6" t="s">
        <v>11302</v>
      </c>
      <c r="J1162" s="6" t="s">
        <v>11303</v>
      </c>
      <c r="K1162" s="6" t="s">
        <v>11304</v>
      </c>
      <c r="L1162" s="6" t="s">
        <v>11305</v>
      </c>
      <c r="M1162" s="6" t="s">
        <v>11306</v>
      </c>
      <c r="N1162" s="7"/>
      <c r="O1162" s="6" t="s">
        <v>11307</v>
      </c>
      <c r="P1162" s="6" t="s">
        <v>11308</v>
      </c>
      <c r="Q1162" s="6" t="s">
        <v>11309</v>
      </c>
      <c r="R1162" s="6" t="s">
        <v>246</v>
      </c>
      <c r="S1162" s="6" t="s">
        <v>147</v>
      </c>
      <c r="T1162" s="6" t="s">
        <v>250</v>
      </c>
      <c r="U1162" s="6" t="s">
        <v>2254</v>
      </c>
      <c r="V1162" s="6" t="s">
        <v>246</v>
      </c>
      <c r="W1162" s="6" t="s">
        <v>158</v>
      </c>
      <c r="X1162" s="6" t="s">
        <v>257</v>
      </c>
      <c r="Y1162" s="6" t="s">
        <v>162</v>
      </c>
      <c r="Z1162" s="6" t="s">
        <v>165</v>
      </c>
      <c r="AA1162" s="6" t="s">
        <v>262</v>
      </c>
      <c r="AB1162" s="6" t="s">
        <v>521</v>
      </c>
      <c r="AC1162" s="6" t="s">
        <v>1210</v>
      </c>
      <c r="AD1162" s="6" t="s">
        <v>175</v>
      </c>
      <c r="AE1162" s="6" t="s">
        <v>271</v>
      </c>
      <c r="AF1162" s="6" t="s">
        <v>181</v>
      </c>
      <c r="AG1162" s="6" t="s">
        <v>182</v>
      </c>
      <c r="AH1162" s="7"/>
      <c r="AI1162" s="7"/>
      <c r="AJ1162" s="7"/>
      <c r="AK1162" s="7"/>
      <c r="AL1162" s="7"/>
      <c r="AM1162" s="7"/>
      <c r="AN1162" s="7"/>
      <c r="AO1162" s="7"/>
      <c r="AP1162" s="7"/>
      <c r="AQ1162" s="7"/>
      <c r="AR1162" s="7"/>
      <c r="AS1162" s="7"/>
      <c r="AT1162" s="7"/>
      <c r="AU1162" s="7"/>
      <c r="AV1162" s="7"/>
      <c r="AW1162" s="7"/>
      <c r="AX1162" s="7"/>
      <c r="AY1162" s="7"/>
      <c r="AZ1162" s="7"/>
      <c r="BA1162" s="7"/>
      <c r="BB1162" s="7"/>
      <c r="BC1162" s="7"/>
      <c r="BD1162" s="7"/>
      <c r="BE1162" s="7"/>
      <c r="BF1162" s="7"/>
      <c r="BG1162" s="7"/>
      <c r="BH1162" s="7"/>
      <c r="BI1162" s="7"/>
      <c r="BJ1162" s="7"/>
      <c r="BK1162" s="7"/>
    </row>
    <row r="1163" ht="22.5" customHeight="1">
      <c r="A1163" s="4">
        <v>46229.705215243055</v>
      </c>
      <c r="B1163" s="5">
        <v>0.0</v>
      </c>
      <c r="C1163" s="6" t="s">
        <v>114</v>
      </c>
      <c r="D1163" s="6" t="s">
        <v>2363</v>
      </c>
      <c r="E1163" s="6" t="s">
        <v>2364</v>
      </c>
      <c r="F1163" s="6">
        <v>6.9070508847E10</v>
      </c>
      <c r="G1163" s="6" t="s">
        <v>5399</v>
      </c>
      <c r="H1163" s="6" t="s">
        <v>11310</v>
      </c>
      <c r="I1163" s="6" t="s">
        <v>11311</v>
      </c>
      <c r="J1163" s="6" t="s">
        <v>3474</v>
      </c>
      <c r="K1163" s="6" t="s">
        <v>11312</v>
      </c>
      <c r="L1163" s="6" t="s">
        <v>9635</v>
      </c>
      <c r="M1163" s="6" t="s">
        <v>9175</v>
      </c>
      <c r="N1163" s="7"/>
      <c r="O1163" s="6" t="s">
        <v>11313</v>
      </c>
      <c r="P1163" s="6" t="s">
        <v>11314</v>
      </c>
      <c r="Q1163" s="6" t="s">
        <v>11315</v>
      </c>
      <c r="R1163" s="6" t="s">
        <v>145</v>
      </c>
      <c r="S1163" s="6" t="s">
        <v>147</v>
      </c>
      <c r="T1163" s="6" t="s">
        <v>257</v>
      </c>
      <c r="U1163" s="6" t="s">
        <v>152</v>
      </c>
      <c r="V1163" s="6" t="s">
        <v>246</v>
      </c>
      <c r="W1163" s="6" t="s">
        <v>158</v>
      </c>
      <c r="X1163" s="6" t="s">
        <v>161</v>
      </c>
      <c r="Y1163" s="6" t="s">
        <v>162</v>
      </c>
      <c r="Z1163" s="6" t="s">
        <v>165</v>
      </c>
      <c r="AA1163" s="6" t="s">
        <v>262</v>
      </c>
      <c r="AB1163" s="6" t="s">
        <v>171</v>
      </c>
      <c r="AC1163" s="6" t="s">
        <v>174</v>
      </c>
      <c r="AD1163" s="6" t="s">
        <v>175</v>
      </c>
      <c r="AE1163" s="6" t="s">
        <v>271</v>
      </c>
      <c r="AF1163" s="6" t="s">
        <v>181</v>
      </c>
      <c r="AG1163" s="6" t="s">
        <v>182</v>
      </c>
      <c r="AH1163" s="7"/>
      <c r="AI1163" s="7"/>
      <c r="AJ1163" s="7"/>
      <c r="AK1163" s="7"/>
      <c r="AL1163" s="7"/>
      <c r="AM1163" s="7"/>
      <c r="AN1163" s="7"/>
      <c r="AO1163" s="7"/>
      <c r="AP1163" s="7"/>
      <c r="AQ1163" s="7"/>
      <c r="AR1163" s="7"/>
      <c r="AS1163" s="7"/>
      <c r="AT1163" s="7"/>
      <c r="AU1163" s="7"/>
      <c r="AV1163" s="7"/>
      <c r="AW1163" s="7"/>
      <c r="AX1163" s="7"/>
      <c r="AY1163" s="7"/>
      <c r="AZ1163" s="7"/>
      <c r="BA1163" s="7"/>
      <c r="BB1163" s="7"/>
      <c r="BC1163" s="7"/>
      <c r="BD1163" s="7"/>
      <c r="BE1163" s="7"/>
      <c r="BF1163" s="7"/>
      <c r="BG1163" s="7"/>
      <c r="BH1163" s="7"/>
      <c r="BI1163" s="7"/>
      <c r="BJ1163" s="7"/>
      <c r="BK1163" s="7"/>
    </row>
    <row r="1164" ht="22.5" customHeight="1">
      <c r="A1164" s="4">
        <v>46229.70522635417</v>
      </c>
      <c r="B1164" s="5">
        <v>0.0</v>
      </c>
      <c r="C1164" s="6" t="s">
        <v>3296</v>
      </c>
      <c r="D1164" s="7"/>
      <c r="E1164" s="7"/>
      <c r="F1164" s="7"/>
      <c r="G1164" s="7"/>
      <c r="H1164" s="7"/>
      <c r="I1164" s="7"/>
      <c r="J1164" s="7"/>
      <c r="K1164" s="7"/>
      <c r="L1164" s="7"/>
      <c r="M1164" s="7"/>
      <c r="N1164" s="7"/>
      <c r="O1164" s="7"/>
      <c r="P1164" s="7"/>
      <c r="Q1164" s="7"/>
      <c r="R1164" s="7"/>
      <c r="S1164" s="7"/>
      <c r="T1164" s="7"/>
      <c r="U1164" s="7"/>
      <c r="V1164" s="7"/>
      <c r="W1164" s="7"/>
      <c r="X1164" s="7"/>
      <c r="Y1164" s="7"/>
      <c r="Z1164" s="7"/>
      <c r="AA1164" s="7"/>
      <c r="AB1164" s="7"/>
      <c r="AC1164" s="7"/>
      <c r="AD1164" s="7"/>
      <c r="AE1164" s="7"/>
      <c r="AF1164" s="7"/>
      <c r="AG1164" s="7"/>
      <c r="AH1164" s="6" t="s">
        <v>2913</v>
      </c>
      <c r="AI1164" s="6" t="s">
        <v>2914</v>
      </c>
      <c r="AJ1164" s="6">
        <v>6.9070504048E10</v>
      </c>
      <c r="AK1164" s="6" t="s">
        <v>4331</v>
      </c>
      <c r="AL1164" s="6">
        <v>1.0</v>
      </c>
      <c r="AM1164" s="6" t="s">
        <v>11316</v>
      </c>
      <c r="AN1164" s="6" t="s">
        <v>11317</v>
      </c>
      <c r="AO1164" s="6" t="s">
        <v>11318</v>
      </c>
      <c r="AP1164" s="6" t="s">
        <v>11319</v>
      </c>
      <c r="AQ1164" s="6" t="s">
        <v>11320</v>
      </c>
      <c r="AR1164" s="6" t="s">
        <v>2633</v>
      </c>
      <c r="AS1164" s="6" t="s">
        <v>11321</v>
      </c>
      <c r="AT1164" s="6" t="s">
        <v>11322</v>
      </c>
      <c r="AU1164" s="6" t="s">
        <v>11323</v>
      </c>
      <c r="AV1164" s="6" t="s">
        <v>8899</v>
      </c>
      <c r="AW1164" s="6" t="s">
        <v>3307</v>
      </c>
      <c r="AX1164" s="6" t="s">
        <v>3887</v>
      </c>
      <c r="AY1164" s="6" t="s">
        <v>5759</v>
      </c>
      <c r="AZ1164" s="6" t="s">
        <v>3306</v>
      </c>
      <c r="BA1164" s="6" t="s">
        <v>3311</v>
      </c>
      <c r="BB1164" s="6" t="s">
        <v>3312</v>
      </c>
      <c r="BC1164" s="6" t="s">
        <v>3313</v>
      </c>
      <c r="BD1164" s="6" t="s">
        <v>165</v>
      </c>
      <c r="BE1164" s="6" t="s">
        <v>3888</v>
      </c>
      <c r="BF1164" s="6" t="s">
        <v>5052</v>
      </c>
      <c r="BG1164" s="6" t="s">
        <v>4068</v>
      </c>
      <c r="BH1164" s="6" t="s">
        <v>3317</v>
      </c>
      <c r="BI1164" s="6" t="s">
        <v>271</v>
      </c>
      <c r="BJ1164" s="6" t="s">
        <v>3318</v>
      </c>
      <c r="BK1164" s="6" t="s">
        <v>4695</v>
      </c>
    </row>
    <row r="1165" ht="22.5" customHeight="1">
      <c r="A1165" s="4">
        <v>46229.705255567125</v>
      </c>
      <c r="B1165" s="5">
        <v>0.0</v>
      </c>
      <c r="C1165" s="6" t="s">
        <v>114</v>
      </c>
      <c r="D1165" s="6" t="s">
        <v>2365</v>
      </c>
      <c r="E1165" s="6" t="s">
        <v>2366</v>
      </c>
      <c r="F1165" s="6">
        <v>6.9070508412E10</v>
      </c>
      <c r="G1165" s="6" t="s">
        <v>4580</v>
      </c>
      <c r="H1165" s="7"/>
      <c r="I1165" s="6" t="s">
        <v>11324</v>
      </c>
      <c r="J1165" s="6" t="s">
        <v>6715</v>
      </c>
      <c r="K1165" s="6" t="s">
        <v>7104</v>
      </c>
      <c r="L1165" s="6" t="s">
        <v>9933</v>
      </c>
      <c r="M1165" s="6" t="s">
        <v>9931</v>
      </c>
      <c r="N1165" s="7"/>
      <c r="O1165" s="6" t="s">
        <v>11325</v>
      </c>
      <c r="P1165" s="6" t="s">
        <v>11326</v>
      </c>
      <c r="Q1165" s="6" t="s">
        <v>11327</v>
      </c>
      <c r="R1165" s="6" t="s">
        <v>246</v>
      </c>
      <c r="S1165" s="6" t="s">
        <v>147</v>
      </c>
      <c r="T1165" s="6" t="s">
        <v>250</v>
      </c>
      <c r="U1165" s="6" t="s">
        <v>2254</v>
      </c>
      <c r="V1165" s="6" t="s">
        <v>246</v>
      </c>
      <c r="W1165" s="6" t="s">
        <v>158</v>
      </c>
      <c r="X1165" s="6" t="s">
        <v>257</v>
      </c>
      <c r="Y1165" s="6" t="s">
        <v>162</v>
      </c>
      <c r="Z1165" s="6" t="s">
        <v>165</v>
      </c>
      <c r="AA1165" s="6" t="s">
        <v>641</v>
      </c>
      <c r="AB1165" s="6" t="s">
        <v>171</v>
      </c>
      <c r="AC1165" s="6" t="s">
        <v>174</v>
      </c>
      <c r="AD1165" s="6" t="s">
        <v>175</v>
      </c>
      <c r="AE1165" s="6" t="s">
        <v>271</v>
      </c>
      <c r="AF1165" s="6" t="s">
        <v>181</v>
      </c>
      <c r="AG1165" s="6" t="s">
        <v>182</v>
      </c>
      <c r="AH1165" s="7"/>
      <c r="AI1165" s="7"/>
      <c r="AJ1165" s="7"/>
      <c r="AK1165" s="7"/>
      <c r="AL1165" s="7"/>
      <c r="AM1165" s="7"/>
      <c r="AN1165" s="7"/>
      <c r="AO1165" s="7"/>
      <c r="AP1165" s="7"/>
      <c r="AQ1165" s="7"/>
      <c r="AR1165" s="7"/>
      <c r="AS1165" s="7"/>
      <c r="AT1165" s="7"/>
      <c r="AU1165" s="7"/>
      <c r="AV1165" s="7"/>
      <c r="AW1165" s="7"/>
      <c r="AX1165" s="7"/>
      <c r="AY1165" s="7"/>
      <c r="AZ1165" s="7"/>
      <c r="BA1165" s="7"/>
      <c r="BB1165" s="7"/>
      <c r="BC1165" s="7"/>
      <c r="BD1165" s="7"/>
      <c r="BE1165" s="7"/>
      <c r="BF1165" s="7"/>
      <c r="BG1165" s="7"/>
      <c r="BH1165" s="7"/>
      <c r="BI1165" s="7"/>
      <c r="BJ1165" s="7"/>
      <c r="BK1165" s="7"/>
    </row>
    <row r="1166" ht="22.5" customHeight="1">
      <c r="A1166" s="4">
        <v>46229.70526466436</v>
      </c>
      <c r="B1166" s="5">
        <v>0.0</v>
      </c>
      <c r="C1166" s="6" t="s">
        <v>3296</v>
      </c>
      <c r="D1166" s="7"/>
      <c r="E1166" s="7"/>
      <c r="F1166" s="7"/>
      <c r="G1166" s="7"/>
      <c r="H1166" s="7"/>
      <c r="I1166" s="7"/>
      <c r="J1166" s="7"/>
      <c r="K1166" s="7"/>
      <c r="L1166" s="7"/>
      <c r="M1166" s="7"/>
      <c r="N1166" s="7"/>
      <c r="O1166" s="7"/>
      <c r="P1166" s="7"/>
      <c r="Q1166" s="7"/>
      <c r="R1166" s="7"/>
      <c r="S1166" s="7"/>
      <c r="T1166" s="7"/>
      <c r="U1166" s="7"/>
      <c r="V1166" s="7"/>
      <c r="W1166" s="7"/>
      <c r="X1166" s="7"/>
      <c r="Y1166" s="7"/>
      <c r="Z1166" s="7"/>
      <c r="AA1166" s="7"/>
      <c r="AB1166" s="7"/>
      <c r="AC1166" s="7"/>
      <c r="AD1166" s="7"/>
      <c r="AE1166" s="7"/>
      <c r="AF1166" s="7"/>
      <c r="AG1166" s="7"/>
      <c r="AH1166" s="6" t="s">
        <v>2915</v>
      </c>
      <c r="AI1166" s="6" t="s">
        <v>2916</v>
      </c>
      <c r="AJ1166" s="6">
        <v>6.907050347E10</v>
      </c>
      <c r="AK1166" s="6" t="s">
        <v>3297</v>
      </c>
      <c r="AL1166" s="7"/>
      <c r="AM1166" s="6" t="s">
        <v>11328</v>
      </c>
      <c r="AN1166" s="6" t="s">
        <v>11329</v>
      </c>
      <c r="AO1166" s="6" t="s">
        <v>11330</v>
      </c>
      <c r="AP1166" s="6" t="s">
        <v>11331</v>
      </c>
      <c r="AQ1166" s="6" t="s">
        <v>6811</v>
      </c>
      <c r="AR1166" s="6" t="s">
        <v>11332</v>
      </c>
      <c r="AS1166" s="6" t="s">
        <v>11333</v>
      </c>
      <c r="AT1166" s="6" t="s">
        <v>11334</v>
      </c>
      <c r="AU1166" s="6" t="s">
        <v>11335</v>
      </c>
      <c r="AV1166" s="6" t="s">
        <v>3306</v>
      </c>
      <c r="AW1166" s="6" t="s">
        <v>3307</v>
      </c>
      <c r="AX1166" s="6" t="s">
        <v>3887</v>
      </c>
      <c r="AY1166" s="6" t="s">
        <v>3309</v>
      </c>
      <c r="AZ1166" s="6" t="s">
        <v>3306</v>
      </c>
      <c r="BA1166" s="6" t="s">
        <v>3311</v>
      </c>
      <c r="BB1166" s="6" t="s">
        <v>3312</v>
      </c>
      <c r="BC1166" s="6" t="s">
        <v>3313</v>
      </c>
      <c r="BD1166" s="6" t="s">
        <v>165</v>
      </c>
      <c r="BE1166" s="6" t="s">
        <v>3888</v>
      </c>
      <c r="BF1166" s="6" t="s">
        <v>3889</v>
      </c>
      <c r="BG1166" s="6" t="s">
        <v>4068</v>
      </c>
      <c r="BH1166" s="6" t="s">
        <v>3317</v>
      </c>
      <c r="BI1166" s="6" t="s">
        <v>271</v>
      </c>
      <c r="BJ1166" s="6" t="s">
        <v>3318</v>
      </c>
      <c r="BK1166" s="6" t="s">
        <v>3319</v>
      </c>
    </row>
    <row r="1167" ht="22.5" customHeight="1">
      <c r="A1167" s="4">
        <v>46229.705272164356</v>
      </c>
      <c r="B1167" s="5">
        <v>0.0</v>
      </c>
      <c r="C1167" s="6" t="s">
        <v>114</v>
      </c>
      <c r="D1167" s="6" t="s">
        <v>2367</v>
      </c>
      <c r="E1167" s="6" t="s">
        <v>2368</v>
      </c>
      <c r="F1167" s="6">
        <v>6.9070506421E10</v>
      </c>
      <c r="G1167" s="6" t="s">
        <v>599</v>
      </c>
      <c r="H1167" s="7"/>
      <c r="I1167" s="6" t="s">
        <v>11336</v>
      </c>
      <c r="J1167" s="6" t="s">
        <v>11337</v>
      </c>
      <c r="K1167" s="6" t="s">
        <v>11338</v>
      </c>
      <c r="L1167" s="6" t="s">
        <v>11339</v>
      </c>
      <c r="M1167" s="6" t="s">
        <v>11340</v>
      </c>
      <c r="N1167" s="7"/>
      <c r="O1167" s="6" t="s">
        <v>11341</v>
      </c>
      <c r="P1167" s="6" t="s">
        <v>11342</v>
      </c>
      <c r="Q1167" s="6" t="s">
        <v>11343</v>
      </c>
      <c r="R1167" s="6" t="s">
        <v>246</v>
      </c>
      <c r="S1167" s="6" t="s">
        <v>147</v>
      </c>
      <c r="T1167" s="6" t="s">
        <v>250</v>
      </c>
      <c r="U1167" s="6" t="s">
        <v>152</v>
      </c>
      <c r="V1167" s="6" t="s">
        <v>246</v>
      </c>
      <c r="W1167" s="6" t="s">
        <v>158</v>
      </c>
      <c r="X1167" s="6" t="s">
        <v>257</v>
      </c>
      <c r="Y1167" s="6" t="s">
        <v>162</v>
      </c>
      <c r="Z1167" s="6" t="s">
        <v>165</v>
      </c>
      <c r="AA1167" s="6" t="s">
        <v>262</v>
      </c>
      <c r="AB1167" s="6" t="s">
        <v>171</v>
      </c>
      <c r="AC1167" s="6" t="s">
        <v>174</v>
      </c>
      <c r="AD1167" s="6" t="s">
        <v>175</v>
      </c>
      <c r="AE1167" s="6" t="s">
        <v>271</v>
      </c>
      <c r="AF1167" s="6" t="s">
        <v>181</v>
      </c>
      <c r="AG1167" s="6" t="s">
        <v>182</v>
      </c>
      <c r="AH1167" s="7"/>
      <c r="AI1167" s="7"/>
      <c r="AJ1167" s="7"/>
      <c r="AK1167" s="7"/>
      <c r="AL1167" s="7"/>
      <c r="AM1167" s="7"/>
      <c r="AN1167" s="7"/>
      <c r="AO1167" s="7"/>
      <c r="AP1167" s="7"/>
      <c r="AQ1167" s="7"/>
      <c r="AR1167" s="7"/>
      <c r="AS1167" s="7"/>
      <c r="AT1167" s="7"/>
      <c r="AU1167" s="7"/>
      <c r="AV1167" s="7"/>
      <c r="AW1167" s="7"/>
      <c r="AX1167" s="7"/>
      <c r="AY1167" s="7"/>
      <c r="AZ1167" s="7"/>
      <c r="BA1167" s="7"/>
      <c r="BB1167" s="7"/>
      <c r="BC1167" s="7"/>
      <c r="BD1167" s="7"/>
      <c r="BE1167" s="7"/>
      <c r="BF1167" s="7"/>
      <c r="BG1167" s="7"/>
      <c r="BH1167" s="7"/>
      <c r="BI1167" s="7"/>
      <c r="BJ1167" s="7"/>
      <c r="BK1167" s="7"/>
    </row>
    <row r="1168" ht="22.5" customHeight="1">
      <c r="A1168" s="4">
        <v>46229.70528917824</v>
      </c>
      <c r="B1168" s="5">
        <v>0.0</v>
      </c>
      <c r="C1168" s="6" t="s">
        <v>114</v>
      </c>
      <c r="D1168" s="6" t="s">
        <v>1362</v>
      </c>
      <c r="E1168" s="6" t="s">
        <v>2369</v>
      </c>
      <c r="F1168" s="6">
        <v>6.9070509845E10</v>
      </c>
      <c r="G1168" s="6" t="s">
        <v>496</v>
      </c>
      <c r="H1168" s="7"/>
      <c r="I1168" s="6" t="s">
        <v>5138</v>
      </c>
      <c r="J1168" s="6" t="s">
        <v>235</v>
      </c>
      <c r="K1168" s="6" t="s">
        <v>11344</v>
      </c>
      <c r="L1168" s="6" t="s">
        <v>8032</v>
      </c>
      <c r="M1168" s="6" t="s">
        <v>6199</v>
      </c>
      <c r="N1168" s="6" t="s">
        <v>11345</v>
      </c>
      <c r="O1168" s="6" t="s">
        <v>11346</v>
      </c>
      <c r="P1168" s="6" t="s">
        <v>11347</v>
      </c>
      <c r="Q1168" s="6" t="s">
        <v>11348</v>
      </c>
      <c r="R1168" s="6" t="s">
        <v>257</v>
      </c>
      <c r="S1168" s="6" t="s">
        <v>147</v>
      </c>
      <c r="T1168" s="6" t="s">
        <v>257</v>
      </c>
      <c r="U1168" s="6" t="s">
        <v>252</v>
      </c>
      <c r="V1168" s="6" t="s">
        <v>246</v>
      </c>
      <c r="W1168" s="6" t="s">
        <v>158</v>
      </c>
      <c r="X1168" s="6" t="s">
        <v>458</v>
      </c>
      <c r="Y1168" s="6" t="s">
        <v>162</v>
      </c>
      <c r="Z1168" s="6" t="s">
        <v>165</v>
      </c>
      <c r="AA1168" s="6" t="s">
        <v>262</v>
      </c>
      <c r="AB1168" s="6" t="s">
        <v>521</v>
      </c>
      <c r="AC1168" s="6" t="s">
        <v>174</v>
      </c>
      <c r="AD1168" s="6" t="s">
        <v>175</v>
      </c>
      <c r="AE1168" s="6" t="s">
        <v>271</v>
      </c>
      <c r="AF1168" s="6" t="s">
        <v>181</v>
      </c>
      <c r="AG1168" s="6" t="s">
        <v>182</v>
      </c>
      <c r="AH1168" s="7"/>
      <c r="AI1168" s="7"/>
      <c r="AJ1168" s="7"/>
      <c r="AK1168" s="7"/>
      <c r="AL1168" s="7"/>
      <c r="AM1168" s="7"/>
      <c r="AN1168" s="7"/>
      <c r="AO1168" s="7"/>
      <c r="AP1168" s="7"/>
      <c r="AQ1168" s="7"/>
      <c r="AR1168" s="7"/>
      <c r="AS1168" s="7"/>
      <c r="AT1168" s="7"/>
      <c r="AU1168" s="7"/>
      <c r="AV1168" s="7"/>
      <c r="AW1168" s="7"/>
      <c r="AX1168" s="7"/>
      <c r="AY1168" s="7"/>
      <c r="AZ1168" s="7"/>
      <c r="BA1168" s="7"/>
      <c r="BB1168" s="7"/>
      <c r="BC1168" s="7"/>
      <c r="BD1168" s="7"/>
      <c r="BE1168" s="7"/>
      <c r="BF1168" s="7"/>
      <c r="BG1168" s="7"/>
      <c r="BH1168" s="7"/>
      <c r="BI1168" s="7"/>
      <c r="BJ1168" s="7"/>
      <c r="BK1168" s="7"/>
    </row>
    <row r="1169" ht="22.5" customHeight="1">
      <c r="A1169" s="4">
        <v>46229.70528928241</v>
      </c>
      <c r="B1169" s="5">
        <v>0.0</v>
      </c>
      <c r="C1169" s="6" t="s">
        <v>114</v>
      </c>
      <c r="D1169" s="6" t="s">
        <v>2370</v>
      </c>
      <c r="E1169" s="6" t="s">
        <v>2371</v>
      </c>
      <c r="F1169" s="6">
        <v>6.9070509422E10</v>
      </c>
      <c r="G1169" s="6" t="s">
        <v>122</v>
      </c>
      <c r="H1169" s="7"/>
      <c r="I1169" s="6" t="s">
        <v>3800</v>
      </c>
      <c r="J1169" s="6" t="s">
        <v>11349</v>
      </c>
      <c r="K1169" s="6" t="s">
        <v>11350</v>
      </c>
      <c r="L1169" s="6" t="s">
        <v>3799</v>
      </c>
      <c r="M1169" s="6" t="s">
        <v>11351</v>
      </c>
      <c r="N1169" s="7"/>
      <c r="O1169" s="6" t="s">
        <v>11352</v>
      </c>
      <c r="P1169" s="6" t="s">
        <v>11353</v>
      </c>
      <c r="Q1169" s="6" t="s">
        <v>11354</v>
      </c>
      <c r="R1169" s="6" t="s">
        <v>246</v>
      </c>
      <c r="S1169" s="6" t="s">
        <v>147</v>
      </c>
      <c r="T1169" s="6" t="s">
        <v>250</v>
      </c>
      <c r="U1169" s="6" t="s">
        <v>560</v>
      </c>
      <c r="V1169" s="6" t="s">
        <v>246</v>
      </c>
      <c r="W1169" s="6" t="s">
        <v>158</v>
      </c>
      <c r="X1169" s="6" t="s">
        <v>161</v>
      </c>
      <c r="Y1169" s="6" t="s">
        <v>162</v>
      </c>
      <c r="Z1169" s="6" t="s">
        <v>165</v>
      </c>
      <c r="AA1169" s="6" t="s">
        <v>262</v>
      </c>
      <c r="AB1169" s="6" t="s">
        <v>171</v>
      </c>
      <c r="AC1169" s="6" t="s">
        <v>174</v>
      </c>
      <c r="AD1169" s="6" t="s">
        <v>175</v>
      </c>
      <c r="AE1169" s="6" t="s">
        <v>271</v>
      </c>
      <c r="AF1169" s="6" t="s">
        <v>181</v>
      </c>
      <c r="AG1169" s="6" t="s">
        <v>182</v>
      </c>
      <c r="AH1169" s="7"/>
      <c r="AI1169" s="7"/>
      <c r="AJ1169" s="7"/>
      <c r="AK1169" s="7"/>
      <c r="AL1169" s="7"/>
      <c r="AM1169" s="7"/>
      <c r="AN1169" s="7"/>
      <c r="AO1169" s="7"/>
      <c r="AP1169" s="7"/>
      <c r="AQ1169" s="7"/>
      <c r="AR1169" s="7"/>
      <c r="AS1169" s="7"/>
      <c r="AT1169" s="7"/>
      <c r="AU1169" s="7"/>
      <c r="AV1169" s="7"/>
      <c r="AW1169" s="7"/>
      <c r="AX1169" s="7"/>
      <c r="AY1169" s="7"/>
      <c r="AZ1169" s="7"/>
      <c r="BA1169" s="7"/>
      <c r="BB1169" s="7"/>
      <c r="BC1169" s="7"/>
      <c r="BD1169" s="7"/>
      <c r="BE1169" s="7"/>
      <c r="BF1169" s="7"/>
      <c r="BG1169" s="7"/>
      <c r="BH1169" s="7"/>
      <c r="BI1169" s="7"/>
      <c r="BJ1169" s="7"/>
      <c r="BK1169" s="7"/>
    </row>
    <row r="1170" ht="22.5" customHeight="1">
      <c r="A1170" s="4">
        <v>46229.70530469908</v>
      </c>
      <c r="B1170" s="5">
        <v>0.0</v>
      </c>
      <c r="C1170" s="6" t="s">
        <v>114</v>
      </c>
      <c r="D1170" s="6" t="s">
        <v>2372</v>
      </c>
      <c r="E1170" s="6" t="s">
        <v>2373</v>
      </c>
      <c r="F1170" s="6">
        <v>6.9070508421E10</v>
      </c>
      <c r="G1170" s="6" t="s">
        <v>4580</v>
      </c>
      <c r="H1170" s="7"/>
      <c r="I1170" s="6" t="s">
        <v>11355</v>
      </c>
      <c r="J1170" s="6" t="s">
        <v>11356</v>
      </c>
      <c r="K1170" s="6" t="s">
        <v>11357</v>
      </c>
      <c r="L1170" s="6" t="s">
        <v>11358</v>
      </c>
      <c r="M1170" s="6" t="s">
        <v>11359</v>
      </c>
      <c r="N1170" s="7"/>
      <c r="O1170" s="6" t="s">
        <v>11360</v>
      </c>
      <c r="P1170" s="6" t="s">
        <v>11361</v>
      </c>
      <c r="Q1170" s="6" t="s">
        <v>11362</v>
      </c>
      <c r="R1170" s="6" t="s">
        <v>246</v>
      </c>
      <c r="S1170" s="6" t="s">
        <v>147</v>
      </c>
      <c r="T1170" s="6" t="s">
        <v>250</v>
      </c>
      <c r="U1170" s="6" t="s">
        <v>2254</v>
      </c>
      <c r="V1170" s="6" t="s">
        <v>246</v>
      </c>
      <c r="W1170" s="6" t="s">
        <v>158</v>
      </c>
      <c r="X1170" s="6" t="s">
        <v>257</v>
      </c>
      <c r="Y1170" s="6" t="s">
        <v>162</v>
      </c>
      <c r="Z1170" s="6" t="s">
        <v>165</v>
      </c>
      <c r="AA1170" s="6" t="s">
        <v>262</v>
      </c>
      <c r="AB1170" s="6" t="s">
        <v>171</v>
      </c>
      <c r="AC1170" s="6" t="s">
        <v>174</v>
      </c>
      <c r="AD1170" s="6" t="s">
        <v>175</v>
      </c>
      <c r="AE1170" s="6" t="s">
        <v>271</v>
      </c>
      <c r="AF1170" s="6" t="s">
        <v>181</v>
      </c>
      <c r="AG1170" s="6" t="s">
        <v>182</v>
      </c>
      <c r="AH1170" s="7"/>
      <c r="AI1170" s="7"/>
      <c r="AJ1170" s="7"/>
      <c r="AK1170" s="7"/>
      <c r="AL1170" s="7"/>
      <c r="AM1170" s="7"/>
      <c r="AN1170" s="7"/>
      <c r="AO1170" s="7"/>
      <c r="AP1170" s="7"/>
      <c r="AQ1170" s="7"/>
      <c r="AR1170" s="7"/>
      <c r="AS1170" s="7"/>
      <c r="AT1170" s="7"/>
      <c r="AU1170" s="7"/>
      <c r="AV1170" s="7"/>
      <c r="AW1170" s="7"/>
      <c r="AX1170" s="7"/>
      <c r="AY1170" s="7"/>
      <c r="AZ1170" s="7"/>
      <c r="BA1170" s="7"/>
      <c r="BB1170" s="7"/>
      <c r="BC1170" s="7"/>
      <c r="BD1170" s="7"/>
      <c r="BE1170" s="7"/>
      <c r="BF1170" s="7"/>
      <c r="BG1170" s="7"/>
      <c r="BH1170" s="7"/>
      <c r="BI1170" s="7"/>
      <c r="BJ1170" s="7"/>
      <c r="BK1170" s="7"/>
    </row>
    <row r="1171" ht="22.5" customHeight="1">
      <c r="A1171" s="4">
        <v>46229.70530802083</v>
      </c>
      <c r="B1171" s="5">
        <v>0.0</v>
      </c>
      <c r="C1171" s="6" t="s">
        <v>114</v>
      </c>
      <c r="D1171" s="6" t="s">
        <v>2374</v>
      </c>
      <c r="E1171" s="6" t="s">
        <v>2375</v>
      </c>
      <c r="F1171" s="6">
        <v>6.907050884E10</v>
      </c>
      <c r="G1171" s="6" t="s">
        <v>5399</v>
      </c>
      <c r="H1171" s="7"/>
      <c r="I1171" s="6" t="s">
        <v>11363</v>
      </c>
      <c r="J1171" s="6" t="s">
        <v>11364</v>
      </c>
      <c r="K1171" s="6" t="s">
        <v>11365</v>
      </c>
      <c r="L1171" s="6" t="s">
        <v>6377</v>
      </c>
      <c r="M1171" s="6" t="s">
        <v>11366</v>
      </c>
      <c r="N1171" s="7"/>
      <c r="O1171" s="6" t="s">
        <v>11367</v>
      </c>
      <c r="P1171" s="6" t="s">
        <v>11368</v>
      </c>
      <c r="Q1171" s="6" t="s">
        <v>11369</v>
      </c>
      <c r="R1171" s="6" t="s">
        <v>246</v>
      </c>
      <c r="S1171" s="6" t="s">
        <v>147</v>
      </c>
      <c r="T1171" s="6" t="s">
        <v>250</v>
      </c>
      <c r="U1171" s="6" t="s">
        <v>560</v>
      </c>
      <c r="V1171" s="6" t="s">
        <v>246</v>
      </c>
      <c r="W1171" s="6" t="s">
        <v>158</v>
      </c>
      <c r="X1171" s="6" t="s">
        <v>257</v>
      </c>
      <c r="Y1171" s="6" t="s">
        <v>162</v>
      </c>
      <c r="Z1171" s="6" t="s">
        <v>165</v>
      </c>
      <c r="AA1171" s="6" t="s">
        <v>262</v>
      </c>
      <c r="AB1171" s="6" t="s">
        <v>521</v>
      </c>
      <c r="AC1171" s="6" t="s">
        <v>174</v>
      </c>
      <c r="AD1171" s="6" t="s">
        <v>175</v>
      </c>
      <c r="AE1171" s="6" t="s">
        <v>271</v>
      </c>
      <c r="AF1171" s="6" t="s">
        <v>181</v>
      </c>
      <c r="AG1171" s="6" t="s">
        <v>182</v>
      </c>
      <c r="AH1171" s="7"/>
      <c r="AI1171" s="7"/>
      <c r="AJ1171" s="7"/>
      <c r="AK1171" s="7"/>
      <c r="AL1171" s="7"/>
      <c r="AM1171" s="7"/>
      <c r="AN1171" s="7"/>
      <c r="AO1171" s="7"/>
      <c r="AP1171" s="7"/>
      <c r="AQ1171" s="7"/>
      <c r="AR1171" s="7"/>
      <c r="AS1171" s="7"/>
      <c r="AT1171" s="7"/>
      <c r="AU1171" s="7"/>
      <c r="AV1171" s="7"/>
      <c r="AW1171" s="7"/>
      <c r="AX1171" s="7"/>
      <c r="AY1171" s="7"/>
      <c r="AZ1171" s="7"/>
      <c r="BA1171" s="7"/>
      <c r="BB1171" s="7"/>
      <c r="BC1171" s="7"/>
      <c r="BD1171" s="7"/>
      <c r="BE1171" s="7"/>
      <c r="BF1171" s="7"/>
      <c r="BG1171" s="7"/>
      <c r="BH1171" s="7"/>
      <c r="BI1171" s="7"/>
      <c r="BJ1171" s="7"/>
      <c r="BK1171" s="7"/>
    </row>
    <row r="1172" ht="22.5" customHeight="1">
      <c r="A1172" s="4">
        <v>46229.705313819446</v>
      </c>
      <c r="B1172" s="5">
        <v>0.0</v>
      </c>
      <c r="C1172" s="6" t="s">
        <v>114</v>
      </c>
      <c r="D1172" s="6" t="s">
        <v>2376</v>
      </c>
      <c r="E1172" s="6" t="s">
        <v>2377</v>
      </c>
      <c r="F1172" s="6">
        <v>6.907050882E10</v>
      </c>
      <c r="G1172" s="6" t="s">
        <v>5399</v>
      </c>
      <c r="H1172" s="7"/>
      <c r="I1172" s="6" t="s">
        <v>11370</v>
      </c>
      <c r="J1172" s="6" t="s">
        <v>11371</v>
      </c>
      <c r="K1172" s="6" t="s">
        <v>4108</v>
      </c>
      <c r="L1172" s="6" t="s">
        <v>11372</v>
      </c>
      <c r="M1172" s="6" t="s">
        <v>11373</v>
      </c>
      <c r="N1172" s="7"/>
      <c r="O1172" s="6" t="s">
        <v>11374</v>
      </c>
      <c r="P1172" s="6" t="s">
        <v>11375</v>
      </c>
      <c r="Q1172" s="6" t="s">
        <v>11376</v>
      </c>
      <c r="R1172" s="6" t="s">
        <v>257</v>
      </c>
      <c r="S1172" s="6" t="s">
        <v>147</v>
      </c>
      <c r="T1172" s="6" t="s">
        <v>516</v>
      </c>
      <c r="U1172" s="6" t="s">
        <v>252</v>
      </c>
      <c r="V1172" s="6" t="s">
        <v>246</v>
      </c>
      <c r="W1172" s="6" t="s">
        <v>158</v>
      </c>
      <c r="X1172" s="6" t="s">
        <v>257</v>
      </c>
      <c r="Y1172" s="6" t="s">
        <v>162</v>
      </c>
      <c r="Z1172" s="6" t="s">
        <v>165</v>
      </c>
      <c r="AA1172" s="6" t="s">
        <v>262</v>
      </c>
      <c r="AB1172" s="6" t="s">
        <v>521</v>
      </c>
      <c r="AC1172" s="6" t="s">
        <v>1669</v>
      </c>
      <c r="AD1172" s="6" t="s">
        <v>175</v>
      </c>
      <c r="AE1172" s="6" t="s">
        <v>178</v>
      </c>
      <c r="AF1172" s="6" t="s">
        <v>181</v>
      </c>
      <c r="AG1172" s="6" t="s">
        <v>182</v>
      </c>
      <c r="AH1172" s="7"/>
      <c r="AI1172" s="7"/>
      <c r="AJ1172" s="7"/>
      <c r="AK1172" s="7"/>
      <c r="AL1172" s="7"/>
      <c r="AM1172" s="7"/>
      <c r="AN1172" s="7"/>
      <c r="AO1172" s="7"/>
      <c r="AP1172" s="7"/>
      <c r="AQ1172" s="7"/>
      <c r="AR1172" s="7"/>
      <c r="AS1172" s="7"/>
      <c r="AT1172" s="7"/>
      <c r="AU1172" s="7"/>
      <c r="AV1172" s="7"/>
      <c r="AW1172" s="7"/>
      <c r="AX1172" s="7"/>
      <c r="AY1172" s="7"/>
      <c r="AZ1172" s="7"/>
      <c r="BA1172" s="7"/>
      <c r="BB1172" s="7"/>
      <c r="BC1172" s="7"/>
      <c r="BD1172" s="7"/>
      <c r="BE1172" s="7"/>
      <c r="BF1172" s="7"/>
      <c r="BG1172" s="7"/>
      <c r="BH1172" s="7"/>
      <c r="BI1172" s="7"/>
      <c r="BJ1172" s="7"/>
      <c r="BK1172" s="7"/>
    </row>
    <row r="1173" ht="22.5" customHeight="1">
      <c r="A1173" s="4">
        <v>46229.705320636574</v>
      </c>
      <c r="B1173" s="5">
        <v>0.0</v>
      </c>
      <c r="C1173" s="6" t="s">
        <v>114</v>
      </c>
      <c r="D1173" s="6" t="s">
        <v>2378</v>
      </c>
      <c r="E1173" s="6" t="s">
        <v>2379</v>
      </c>
      <c r="F1173" s="6">
        <v>6.907050021E10</v>
      </c>
      <c r="G1173" s="6" t="s">
        <v>599</v>
      </c>
      <c r="H1173" s="7"/>
      <c r="I1173" s="6" t="s">
        <v>5783</v>
      </c>
      <c r="J1173" s="6" t="s">
        <v>673</v>
      </c>
      <c r="K1173" s="6" t="s">
        <v>5140</v>
      </c>
      <c r="L1173" s="6" t="s">
        <v>11377</v>
      </c>
      <c r="M1173" s="6" t="s">
        <v>11378</v>
      </c>
      <c r="N1173" s="6" t="s">
        <v>11379</v>
      </c>
      <c r="O1173" s="6" t="s">
        <v>11380</v>
      </c>
      <c r="P1173" s="6" t="s">
        <v>11381</v>
      </c>
      <c r="Q1173" s="6" t="s">
        <v>11382</v>
      </c>
      <c r="R1173" s="6" t="s">
        <v>246</v>
      </c>
      <c r="S1173" s="6" t="s">
        <v>147</v>
      </c>
      <c r="T1173" s="6" t="s">
        <v>250</v>
      </c>
      <c r="U1173" s="6" t="s">
        <v>560</v>
      </c>
      <c r="V1173" s="6" t="s">
        <v>246</v>
      </c>
      <c r="W1173" s="6" t="s">
        <v>158</v>
      </c>
      <c r="X1173" s="6" t="s">
        <v>257</v>
      </c>
      <c r="Y1173" s="6" t="s">
        <v>162</v>
      </c>
      <c r="Z1173" s="6" t="s">
        <v>165</v>
      </c>
      <c r="AA1173" s="6" t="s">
        <v>262</v>
      </c>
      <c r="AB1173" s="6" t="s">
        <v>521</v>
      </c>
      <c r="AC1173" s="6" t="s">
        <v>174</v>
      </c>
      <c r="AD1173" s="6" t="s">
        <v>175</v>
      </c>
      <c r="AE1173" s="6" t="s">
        <v>271</v>
      </c>
      <c r="AF1173" s="6" t="s">
        <v>181</v>
      </c>
      <c r="AG1173" s="6" t="s">
        <v>182</v>
      </c>
      <c r="AH1173" s="7"/>
      <c r="AI1173" s="7"/>
      <c r="AJ1173" s="7"/>
      <c r="AK1173" s="7"/>
      <c r="AL1173" s="7"/>
      <c r="AM1173" s="7"/>
      <c r="AN1173" s="7"/>
      <c r="AO1173" s="7"/>
      <c r="AP1173" s="7"/>
      <c r="AQ1173" s="7"/>
      <c r="AR1173" s="7"/>
      <c r="AS1173" s="7"/>
      <c r="AT1173" s="7"/>
      <c r="AU1173" s="7"/>
      <c r="AV1173" s="7"/>
      <c r="AW1173" s="7"/>
      <c r="AX1173" s="7"/>
      <c r="AY1173" s="7"/>
      <c r="AZ1173" s="7"/>
      <c r="BA1173" s="7"/>
      <c r="BB1173" s="7"/>
      <c r="BC1173" s="7"/>
      <c r="BD1173" s="7"/>
      <c r="BE1173" s="7"/>
      <c r="BF1173" s="7"/>
      <c r="BG1173" s="7"/>
      <c r="BH1173" s="7"/>
      <c r="BI1173" s="7"/>
      <c r="BJ1173" s="7"/>
      <c r="BK1173" s="7"/>
    </row>
    <row r="1174" ht="22.5" customHeight="1">
      <c r="A1174" s="4">
        <v>46229.70532673611</v>
      </c>
      <c r="B1174" s="5">
        <v>0.0</v>
      </c>
      <c r="C1174" s="6" t="s">
        <v>114</v>
      </c>
      <c r="D1174" s="6" t="s">
        <v>2380</v>
      </c>
      <c r="E1174" s="6" t="s">
        <v>2381</v>
      </c>
      <c r="F1174" s="6">
        <v>6.9070500618E10</v>
      </c>
      <c r="G1174" s="6" t="s">
        <v>6140</v>
      </c>
      <c r="H1174" s="7"/>
      <c r="I1174" s="6" t="s">
        <v>8314</v>
      </c>
      <c r="J1174" s="6" t="s">
        <v>11383</v>
      </c>
      <c r="K1174" s="6" t="s">
        <v>11384</v>
      </c>
      <c r="L1174" s="6" t="s">
        <v>11385</v>
      </c>
      <c r="M1174" s="6" t="s">
        <v>6916</v>
      </c>
      <c r="N1174" s="6" t="s">
        <v>10885</v>
      </c>
      <c r="O1174" s="6" t="s">
        <v>11386</v>
      </c>
      <c r="P1174" s="6" t="s">
        <v>11387</v>
      </c>
      <c r="Q1174" s="6" t="s">
        <v>11388</v>
      </c>
      <c r="R1174" s="6" t="s">
        <v>246</v>
      </c>
      <c r="S1174" s="6" t="s">
        <v>147</v>
      </c>
      <c r="T1174" s="6" t="s">
        <v>250</v>
      </c>
      <c r="U1174" s="6" t="s">
        <v>2254</v>
      </c>
      <c r="V1174" s="6" t="s">
        <v>246</v>
      </c>
      <c r="W1174" s="6" t="s">
        <v>158</v>
      </c>
      <c r="X1174" s="6" t="s">
        <v>257</v>
      </c>
      <c r="Y1174" s="6" t="s">
        <v>162</v>
      </c>
      <c r="Z1174" s="6" t="s">
        <v>165</v>
      </c>
      <c r="AA1174" s="6" t="s">
        <v>262</v>
      </c>
      <c r="AB1174" s="6" t="s">
        <v>521</v>
      </c>
      <c r="AC1174" s="6" t="s">
        <v>1210</v>
      </c>
      <c r="AD1174" s="6" t="s">
        <v>175</v>
      </c>
      <c r="AE1174" s="6" t="s">
        <v>271</v>
      </c>
      <c r="AF1174" s="6" t="s">
        <v>181</v>
      </c>
      <c r="AG1174" s="6" t="s">
        <v>182</v>
      </c>
      <c r="AH1174" s="7"/>
      <c r="AI1174" s="7"/>
      <c r="AJ1174" s="7"/>
      <c r="AK1174" s="7"/>
      <c r="AL1174" s="7"/>
      <c r="AM1174" s="7"/>
      <c r="AN1174" s="7"/>
      <c r="AO1174" s="7"/>
      <c r="AP1174" s="7"/>
      <c r="AQ1174" s="7"/>
      <c r="AR1174" s="7"/>
      <c r="AS1174" s="7"/>
      <c r="AT1174" s="7"/>
      <c r="AU1174" s="7"/>
      <c r="AV1174" s="7"/>
      <c r="AW1174" s="7"/>
      <c r="AX1174" s="7"/>
      <c r="AY1174" s="7"/>
      <c r="AZ1174" s="7"/>
      <c r="BA1174" s="7"/>
      <c r="BB1174" s="7"/>
      <c r="BC1174" s="7"/>
      <c r="BD1174" s="7"/>
      <c r="BE1174" s="7"/>
      <c r="BF1174" s="7"/>
      <c r="BG1174" s="7"/>
      <c r="BH1174" s="7"/>
      <c r="BI1174" s="7"/>
      <c r="BJ1174" s="7"/>
      <c r="BK1174" s="7"/>
    </row>
    <row r="1175" ht="22.5" customHeight="1">
      <c r="A1175" s="4">
        <v>46229.70534875</v>
      </c>
      <c r="B1175" s="5">
        <v>0.0</v>
      </c>
      <c r="C1175" s="6" t="s">
        <v>114</v>
      </c>
      <c r="D1175" s="6" t="s">
        <v>2382</v>
      </c>
      <c r="E1175" s="6" t="s">
        <v>2383</v>
      </c>
      <c r="F1175" s="6">
        <v>6.9070500653E10</v>
      </c>
      <c r="G1175" s="6" t="s">
        <v>6140</v>
      </c>
      <c r="H1175" s="6" t="s">
        <v>11389</v>
      </c>
      <c r="I1175" s="6" t="s">
        <v>11390</v>
      </c>
      <c r="J1175" s="6" t="s">
        <v>11391</v>
      </c>
      <c r="K1175" s="6" t="s">
        <v>11392</v>
      </c>
      <c r="L1175" s="6" t="s">
        <v>11393</v>
      </c>
      <c r="M1175" s="6" t="s">
        <v>5724</v>
      </c>
      <c r="N1175" s="7"/>
      <c r="O1175" s="6" t="s">
        <v>11394</v>
      </c>
      <c r="P1175" s="6" t="s">
        <v>11395</v>
      </c>
      <c r="Q1175" s="6" t="s">
        <v>11396</v>
      </c>
      <c r="R1175" s="6" t="s">
        <v>257</v>
      </c>
      <c r="S1175" s="6" t="s">
        <v>147</v>
      </c>
      <c r="T1175" s="6" t="s">
        <v>250</v>
      </c>
      <c r="U1175" s="6" t="s">
        <v>252</v>
      </c>
      <c r="V1175" s="6" t="s">
        <v>246</v>
      </c>
      <c r="W1175" s="6" t="s">
        <v>158</v>
      </c>
      <c r="X1175" s="6" t="s">
        <v>257</v>
      </c>
      <c r="Y1175" s="6" t="s">
        <v>162</v>
      </c>
      <c r="Z1175" s="6" t="s">
        <v>165</v>
      </c>
      <c r="AA1175" s="6" t="s">
        <v>262</v>
      </c>
      <c r="AB1175" s="6" t="s">
        <v>521</v>
      </c>
      <c r="AC1175" s="6" t="s">
        <v>174</v>
      </c>
      <c r="AD1175" s="6" t="s">
        <v>175</v>
      </c>
      <c r="AE1175" s="6" t="s">
        <v>271</v>
      </c>
      <c r="AF1175" s="6" t="s">
        <v>181</v>
      </c>
      <c r="AG1175" s="6" t="s">
        <v>182</v>
      </c>
      <c r="AH1175" s="7"/>
      <c r="AI1175" s="7"/>
      <c r="AJ1175" s="7"/>
      <c r="AK1175" s="7"/>
      <c r="AL1175" s="7"/>
      <c r="AM1175" s="7"/>
      <c r="AN1175" s="7"/>
      <c r="AO1175" s="7"/>
      <c r="AP1175" s="7"/>
      <c r="AQ1175" s="7"/>
      <c r="AR1175" s="7"/>
      <c r="AS1175" s="7"/>
      <c r="AT1175" s="7"/>
      <c r="AU1175" s="7"/>
      <c r="AV1175" s="7"/>
      <c r="AW1175" s="7"/>
      <c r="AX1175" s="7"/>
      <c r="AY1175" s="7"/>
      <c r="AZ1175" s="7"/>
      <c r="BA1175" s="7"/>
      <c r="BB1175" s="7"/>
      <c r="BC1175" s="7"/>
      <c r="BD1175" s="7"/>
      <c r="BE1175" s="7"/>
      <c r="BF1175" s="7"/>
      <c r="BG1175" s="7"/>
      <c r="BH1175" s="7"/>
      <c r="BI1175" s="7"/>
      <c r="BJ1175" s="7"/>
      <c r="BK1175" s="7"/>
    </row>
    <row r="1176" ht="22.5" customHeight="1">
      <c r="A1176" s="4">
        <v>46229.70535858796</v>
      </c>
      <c r="B1176" s="5">
        <v>0.0</v>
      </c>
      <c r="C1176" s="6" t="s">
        <v>114</v>
      </c>
      <c r="D1176" s="6" t="s">
        <v>2384</v>
      </c>
      <c r="E1176" s="6" t="s">
        <v>2385</v>
      </c>
      <c r="F1176" s="6">
        <v>6.9070500668E10</v>
      </c>
      <c r="G1176" s="6" t="s">
        <v>6140</v>
      </c>
      <c r="H1176" s="7"/>
      <c r="I1176" s="6" t="s">
        <v>11397</v>
      </c>
      <c r="J1176" s="6" t="s">
        <v>3150</v>
      </c>
      <c r="K1176" s="6" t="s">
        <v>11398</v>
      </c>
      <c r="L1176" s="6" t="s">
        <v>11399</v>
      </c>
      <c r="M1176" s="6" t="s">
        <v>8620</v>
      </c>
      <c r="N1176" s="7"/>
      <c r="O1176" s="6" t="s">
        <v>11400</v>
      </c>
      <c r="P1176" s="6" t="s">
        <v>11401</v>
      </c>
      <c r="Q1176" s="6" t="s">
        <v>11402</v>
      </c>
      <c r="R1176" s="6" t="s">
        <v>246</v>
      </c>
      <c r="S1176" s="6" t="s">
        <v>147</v>
      </c>
      <c r="T1176" s="6" t="s">
        <v>250</v>
      </c>
      <c r="U1176" s="6" t="s">
        <v>252</v>
      </c>
      <c r="V1176" s="6" t="s">
        <v>155</v>
      </c>
      <c r="W1176" s="6" t="s">
        <v>158</v>
      </c>
      <c r="X1176" s="6" t="s">
        <v>257</v>
      </c>
      <c r="Y1176" s="6" t="s">
        <v>162</v>
      </c>
      <c r="Z1176" s="6" t="s">
        <v>165</v>
      </c>
      <c r="AA1176" s="6" t="s">
        <v>262</v>
      </c>
      <c r="AB1176" s="6" t="s">
        <v>171</v>
      </c>
      <c r="AC1176" s="6" t="s">
        <v>174</v>
      </c>
      <c r="AD1176" s="6" t="s">
        <v>175</v>
      </c>
      <c r="AE1176" s="6" t="s">
        <v>271</v>
      </c>
      <c r="AF1176" s="6" t="s">
        <v>181</v>
      </c>
      <c r="AG1176" s="6" t="s">
        <v>182</v>
      </c>
      <c r="AH1176" s="7"/>
      <c r="AI1176" s="7"/>
      <c r="AJ1176" s="7"/>
      <c r="AK1176" s="7"/>
      <c r="AL1176" s="7"/>
      <c r="AM1176" s="7"/>
      <c r="AN1176" s="7"/>
      <c r="AO1176" s="7"/>
      <c r="AP1176" s="7"/>
      <c r="AQ1176" s="7"/>
      <c r="AR1176" s="7"/>
      <c r="AS1176" s="7"/>
      <c r="AT1176" s="7"/>
      <c r="AU1176" s="7"/>
      <c r="AV1176" s="7"/>
      <c r="AW1176" s="7"/>
      <c r="AX1176" s="7"/>
      <c r="AY1176" s="7"/>
      <c r="AZ1176" s="7"/>
      <c r="BA1176" s="7"/>
      <c r="BB1176" s="7"/>
      <c r="BC1176" s="7"/>
      <c r="BD1176" s="7"/>
      <c r="BE1176" s="7"/>
      <c r="BF1176" s="7"/>
      <c r="BG1176" s="7"/>
      <c r="BH1176" s="7"/>
      <c r="BI1176" s="7"/>
      <c r="BJ1176" s="7"/>
      <c r="BK1176" s="7"/>
    </row>
    <row r="1177" ht="22.5" customHeight="1">
      <c r="A1177" s="4">
        <v>46229.70538246528</v>
      </c>
      <c r="B1177" s="5">
        <v>0.0</v>
      </c>
      <c r="C1177" s="6" t="s">
        <v>114</v>
      </c>
      <c r="D1177" s="6" t="s">
        <v>2386</v>
      </c>
      <c r="E1177" s="6" t="s">
        <v>2387</v>
      </c>
      <c r="F1177" s="6">
        <v>6.9070500674E10</v>
      </c>
      <c r="G1177" s="6" t="s">
        <v>6140</v>
      </c>
      <c r="H1177" s="6" t="s">
        <v>11403</v>
      </c>
      <c r="I1177" s="6" t="s">
        <v>11404</v>
      </c>
      <c r="J1177" s="6" t="s">
        <v>11405</v>
      </c>
      <c r="K1177" s="6" t="s">
        <v>11406</v>
      </c>
      <c r="L1177" s="6" t="s">
        <v>11407</v>
      </c>
      <c r="M1177" s="6" t="s">
        <v>11408</v>
      </c>
      <c r="N1177" s="6" t="s">
        <v>11409</v>
      </c>
      <c r="O1177" s="6" t="s">
        <v>11410</v>
      </c>
      <c r="P1177" s="6" t="s">
        <v>11411</v>
      </c>
      <c r="Q1177" s="6" t="s">
        <v>11412</v>
      </c>
      <c r="R1177" s="6" t="s">
        <v>257</v>
      </c>
      <c r="S1177" s="6" t="s">
        <v>147</v>
      </c>
      <c r="T1177" s="6" t="s">
        <v>250</v>
      </c>
      <c r="U1177" s="6" t="s">
        <v>252</v>
      </c>
      <c r="V1177" s="6" t="s">
        <v>246</v>
      </c>
      <c r="W1177" s="6" t="s">
        <v>158</v>
      </c>
      <c r="X1177" s="6" t="s">
        <v>257</v>
      </c>
      <c r="Y1177" s="6" t="s">
        <v>162</v>
      </c>
      <c r="Z1177" s="6" t="s">
        <v>165</v>
      </c>
      <c r="AA1177" s="6" t="s">
        <v>262</v>
      </c>
      <c r="AB1177" s="6" t="s">
        <v>521</v>
      </c>
      <c r="AC1177" s="6" t="s">
        <v>633</v>
      </c>
      <c r="AD1177" s="6" t="s">
        <v>175</v>
      </c>
      <c r="AE1177" s="6" t="s">
        <v>271</v>
      </c>
      <c r="AF1177" s="6" t="s">
        <v>181</v>
      </c>
      <c r="AG1177" s="6" t="s">
        <v>182</v>
      </c>
      <c r="AH1177" s="7"/>
      <c r="AI1177" s="7"/>
      <c r="AJ1177" s="7"/>
      <c r="AK1177" s="7"/>
      <c r="AL1177" s="7"/>
      <c r="AM1177" s="7"/>
      <c r="AN1177" s="7"/>
      <c r="AO1177" s="7"/>
      <c r="AP1177" s="7"/>
      <c r="AQ1177" s="7"/>
      <c r="AR1177" s="7"/>
      <c r="AS1177" s="7"/>
      <c r="AT1177" s="7"/>
      <c r="AU1177" s="7"/>
      <c r="AV1177" s="7"/>
      <c r="AW1177" s="7"/>
      <c r="AX1177" s="7"/>
      <c r="AY1177" s="7"/>
      <c r="AZ1177" s="7"/>
      <c r="BA1177" s="7"/>
      <c r="BB1177" s="7"/>
      <c r="BC1177" s="7"/>
      <c r="BD1177" s="7"/>
      <c r="BE1177" s="7"/>
      <c r="BF1177" s="7"/>
      <c r="BG1177" s="7"/>
      <c r="BH1177" s="7"/>
      <c r="BI1177" s="7"/>
      <c r="BJ1177" s="7"/>
      <c r="BK1177" s="7"/>
    </row>
    <row r="1178" ht="22.5" customHeight="1">
      <c r="A1178" s="4">
        <v>46229.705402569445</v>
      </c>
      <c r="B1178" s="5">
        <v>0.0</v>
      </c>
      <c r="C1178" s="6" t="s">
        <v>114</v>
      </c>
      <c r="D1178" s="6" t="s">
        <v>2388</v>
      </c>
      <c r="E1178" s="6" t="s">
        <v>2389</v>
      </c>
      <c r="F1178" s="6">
        <v>6.907050942E10</v>
      </c>
      <c r="G1178" s="6" t="s">
        <v>122</v>
      </c>
      <c r="H1178" s="7"/>
      <c r="I1178" s="6" t="s">
        <v>11413</v>
      </c>
      <c r="J1178" s="6" t="s">
        <v>11414</v>
      </c>
      <c r="K1178" s="6" t="s">
        <v>11415</v>
      </c>
      <c r="L1178" s="6" t="s">
        <v>11416</v>
      </c>
      <c r="M1178" s="6" t="s">
        <v>11417</v>
      </c>
      <c r="N1178" s="6" t="s">
        <v>2633</v>
      </c>
      <c r="O1178" s="6" t="s">
        <v>11418</v>
      </c>
      <c r="P1178" s="6" t="s">
        <v>11419</v>
      </c>
      <c r="Q1178" s="6" t="s">
        <v>11420</v>
      </c>
      <c r="R1178" s="6" t="s">
        <v>246</v>
      </c>
      <c r="S1178" s="6" t="s">
        <v>147</v>
      </c>
      <c r="T1178" s="6" t="s">
        <v>257</v>
      </c>
      <c r="U1178" s="6" t="s">
        <v>252</v>
      </c>
      <c r="V1178" s="6" t="s">
        <v>246</v>
      </c>
      <c r="W1178" s="6" t="s">
        <v>158</v>
      </c>
      <c r="X1178" s="6" t="s">
        <v>250</v>
      </c>
      <c r="Y1178" s="6" t="s">
        <v>162</v>
      </c>
      <c r="Z1178" s="6" t="s">
        <v>165</v>
      </c>
      <c r="AA1178" s="6" t="s">
        <v>262</v>
      </c>
      <c r="AB1178" s="6" t="s">
        <v>1266</v>
      </c>
      <c r="AC1178" s="6" t="s">
        <v>174</v>
      </c>
      <c r="AD1178" s="6" t="s">
        <v>175</v>
      </c>
      <c r="AE1178" s="6" t="s">
        <v>271</v>
      </c>
      <c r="AF1178" s="6" t="s">
        <v>181</v>
      </c>
      <c r="AG1178" s="6" t="s">
        <v>182</v>
      </c>
      <c r="AH1178" s="7"/>
      <c r="AI1178" s="7"/>
      <c r="AJ1178" s="7"/>
      <c r="AK1178" s="7"/>
      <c r="AL1178" s="7"/>
      <c r="AM1178" s="7"/>
      <c r="AN1178" s="7"/>
      <c r="AO1178" s="7"/>
      <c r="AP1178" s="7"/>
      <c r="AQ1178" s="7"/>
      <c r="AR1178" s="7"/>
      <c r="AS1178" s="7"/>
      <c r="AT1178" s="7"/>
      <c r="AU1178" s="7"/>
      <c r="AV1178" s="7"/>
      <c r="AW1178" s="7"/>
      <c r="AX1178" s="7"/>
      <c r="AY1178" s="7"/>
      <c r="AZ1178" s="7"/>
      <c r="BA1178" s="7"/>
      <c r="BB1178" s="7"/>
      <c r="BC1178" s="7"/>
      <c r="BD1178" s="7"/>
      <c r="BE1178" s="7"/>
      <c r="BF1178" s="7"/>
      <c r="BG1178" s="7"/>
      <c r="BH1178" s="7"/>
      <c r="BI1178" s="7"/>
      <c r="BJ1178" s="7"/>
      <c r="BK1178" s="7"/>
    </row>
    <row r="1179" ht="22.5" customHeight="1">
      <c r="A1179" s="4">
        <v>46229.705406712965</v>
      </c>
      <c r="B1179" s="5">
        <v>0.0</v>
      </c>
      <c r="C1179" s="6" t="s">
        <v>114</v>
      </c>
      <c r="D1179" s="6" t="s">
        <v>2390</v>
      </c>
      <c r="E1179" s="6" t="s">
        <v>2391</v>
      </c>
      <c r="F1179" s="6">
        <v>6.9070508422E10</v>
      </c>
      <c r="G1179" s="6" t="s">
        <v>4580</v>
      </c>
      <c r="H1179" s="7"/>
      <c r="I1179" s="6" t="s">
        <v>11421</v>
      </c>
      <c r="J1179" s="6" t="s">
        <v>11422</v>
      </c>
      <c r="K1179" s="6" t="s">
        <v>11423</v>
      </c>
      <c r="L1179" s="6" t="s">
        <v>11424</v>
      </c>
      <c r="M1179" s="6" t="s">
        <v>11425</v>
      </c>
      <c r="N1179" s="7"/>
      <c r="O1179" s="6" t="s">
        <v>11426</v>
      </c>
      <c r="P1179" s="6" t="s">
        <v>11427</v>
      </c>
      <c r="Q1179" s="6" t="s">
        <v>11428</v>
      </c>
      <c r="R1179" s="6" t="s">
        <v>246</v>
      </c>
      <c r="S1179" s="6" t="s">
        <v>147</v>
      </c>
      <c r="T1179" s="6" t="s">
        <v>250</v>
      </c>
      <c r="U1179" s="6" t="s">
        <v>2254</v>
      </c>
      <c r="V1179" s="6" t="s">
        <v>246</v>
      </c>
      <c r="W1179" s="6" t="s">
        <v>158</v>
      </c>
      <c r="X1179" s="6" t="s">
        <v>257</v>
      </c>
      <c r="Y1179" s="6" t="s">
        <v>162</v>
      </c>
      <c r="Z1179" s="6" t="s">
        <v>165</v>
      </c>
      <c r="AA1179" s="6" t="s">
        <v>262</v>
      </c>
      <c r="AB1179" s="6" t="s">
        <v>171</v>
      </c>
      <c r="AC1179" s="6" t="s">
        <v>174</v>
      </c>
      <c r="AD1179" s="6" t="s">
        <v>175</v>
      </c>
      <c r="AE1179" s="6" t="s">
        <v>271</v>
      </c>
      <c r="AF1179" s="6" t="s">
        <v>181</v>
      </c>
      <c r="AG1179" s="6" t="s">
        <v>182</v>
      </c>
      <c r="AH1179" s="7"/>
      <c r="AI1179" s="7"/>
      <c r="AJ1179" s="7"/>
      <c r="AK1179" s="7"/>
      <c r="AL1179" s="7"/>
      <c r="AM1179" s="7"/>
      <c r="AN1179" s="7"/>
      <c r="AO1179" s="7"/>
      <c r="AP1179" s="7"/>
      <c r="AQ1179" s="7"/>
      <c r="AR1179" s="7"/>
      <c r="AS1179" s="7"/>
      <c r="AT1179" s="7"/>
      <c r="AU1179" s="7"/>
      <c r="AV1179" s="7"/>
      <c r="AW1179" s="7"/>
      <c r="AX1179" s="7"/>
      <c r="AY1179" s="7"/>
      <c r="AZ1179" s="7"/>
      <c r="BA1179" s="7"/>
      <c r="BB1179" s="7"/>
      <c r="BC1179" s="7"/>
      <c r="BD1179" s="7"/>
      <c r="BE1179" s="7"/>
      <c r="BF1179" s="7"/>
      <c r="BG1179" s="7"/>
      <c r="BH1179" s="7"/>
      <c r="BI1179" s="7"/>
      <c r="BJ1179" s="7"/>
      <c r="BK1179" s="7"/>
    </row>
    <row r="1180" ht="22.5" customHeight="1">
      <c r="A1180" s="4">
        <v>46229.70541520833</v>
      </c>
      <c r="B1180" s="5">
        <v>0.0</v>
      </c>
      <c r="C1180" s="6" t="s">
        <v>114</v>
      </c>
      <c r="D1180" s="6" t="s">
        <v>1460</v>
      </c>
      <c r="E1180" s="6" t="s">
        <v>2392</v>
      </c>
      <c r="F1180" s="6">
        <v>6.907050065E10</v>
      </c>
      <c r="G1180" s="6" t="s">
        <v>6140</v>
      </c>
      <c r="H1180" s="7"/>
      <c r="I1180" s="6" t="s">
        <v>10423</v>
      </c>
      <c r="J1180" s="6" t="s">
        <v>11429</v>
      </c>
      <c r="K1180" s="6" t="s">
        <v>10422</v>
      </c>
      <c r="L1180" s="6" t="s">
        <v>6085</v>
      </c>
      <c r="M1180" s="6" t="s">
        <v>6084</v>
      </c>
      <c r="N1180" s="7"/>
      <c r="O1180" s="6" t="s">
        <v>11430</v>
      </c>
      <c r="P1180" s="6" t="s">
        <v>11431</v>
      </c>
      <c r="Q1180" s="6" t="s">
        <v>11432</v>
      </c>
      <c r="R1180" s="6" t="s">
        <v>246</v>
      </c>
      <c r="S1180" s="6" t="s">
        <v>147</v>
      </c>
      <c r="T1180" s="6" t="s">
        <v>246</v>
      </c>
      <c r="U1180" s="6" t="s">
        <v>252</v>
      </c>
      <c r="V1180" s="6" t="s">
        <v>246</v>
      </c>
      <c r="W1180" s="6" t="s">
        <v>158</v>
      </c>
      <c r="X1180" s="6" t="s">
        <v>257</v>
      </c>
      <c r="Y1180" s="6" t="s">
        <v>162</v>
      </c>
      <c r="Z1180" s="6" t="s">
        <v>165</v>
      </c>
      <c r="AA1180" s="6" t="s">
        <v>262</v>
      </c>
      <c r="AB1180" s="6" t="s">
        <v>521</v>
      </c>
      <c r="AC1180" s="6" t="s">
        <v>174</v>
      </c>
      <c r="AD1180" s="6" t="s">
        <v>175</v>
      </c>
      <c r="AE1180" s="6" t="s">
        <v>271</v>
      </c>
      <c r="AF1180" s="6" t="s">
        <v>181</v>
      </c>
      <c r="AG1180" s="6" t="s">
        <v>182</v>
      </c>
      <c r="AH1180" s="7"/>
      <c r="AI1180" s="7"/>
      <c r="AJ1180" s="7"/>
      <c r="AK1180" s="7"/>
      <c r="AL1180" s="7"/>
      <c r="AM1180" s="7"/>
      <c r="AN1180" s="7"/>
      <c r="AO1180" s="7"/>
      <c r="AP1180" s="7"/>
      <c r="AQ1180" s="7"/>
      <c r="AR1180" s="7"/>
      <c r="AS1180" s="7"/>
      <c r="AT1180" s="7"/>
      <c r="AU1180" s="7"/>
      <c r="AV1180" s="7"/>
      <c r="AW1180" s="7"/>
      <c r="AX1180" s="7"/>
      <c r="AY1180" s="7"/>
      <c r="AZ1180" s="7"/>
      <c r="BA1180" s="7"/>
      <c r="BB1180" s="7"/>
      <c r="BC1180" s="7"/>
      <c r="BD1180" s="7"/>
      <c r="BE1180" s="7"/>
      <c r="BF1180" s="7"/>
      <c r="BG1180" s="7"/>
      <c r="BH1180" s="7"/>
      <c r="BI1180" s="7"/>
      <c r="BJ1180" s="7"/>
      <c r="BK1180" s="7"/>
    </row>
    <row r="1181" ht="22.5" customHeight="1">
      <c r="A1181" s="4">
        <v>46229.70543241898</v>
      </c>
      <c r="B1181" s="5">
        <v>0.0</v>
      </c>
      <c r="C1181" s="6" t="s">
        <v>114</v>
      </c>
      <c r="D1181" s="6" t="s">
        <v>2077</v>
      </c>
      <c r="E1181" s="6" t="s">
        <v>2393</v>
      </c>
      <c r="F1181" s="6">
        <v>6.9070500679E10</v>
      </c>
      <c r="G1181" s="6" t="s">
        <v>6140</v>
      </c>
      <c r="H1181" s="6" t="s">
        <v>11433</v>
      </c>
      <c r="I1181" s="6" t="s">
        <v>11434</v>
      </c>
      <c r="J1181" s="6" t="s">
        <v>11435</v>
      </c>
      <c r="K1181" s="6" t="s">
        <v>11436</v>
      </c>
      <c r="L1181" s="6" t="s">
        <v>11437</v>
      </c>
      <c r="M1181" s="6" t="s">
        <v>11438</v>
      </c>
      <c r="N1181" s="6" t="s">
        <v>11439</v>
      </c>
      <c r="O1181" s="6" t="s">
        <v>11440</v>
      </c>
      <c r="P1181" s="6" t="s">
        <v>11441</v>
      </c>
      <c r="Q1181" s="6" t="s">
        <v>11442</v>
      </c>
      <c r="R1181" s="6" t="s">
        <v>246</v>
      </c>
      <c r="S1181" s="6" t="s">
        <v>147</v>
      </c>
      <c r="T1181" s="6" t="s">
        <v>250</v>
      </c>
      <c r="U1181" s="6" t="s">
        <v>560</v>
      </c>
      <c r="V1181" s="6" t="s">
        <v>246</v>
      </c>
      <c r="W1181" s="6" t="s">
        <v>158</v>
      </c>
      <c r="X1181" s="6" t="s">
        <v>257</v>
      </c>
      <c r="Y1181" s="6" t="s">
        <v>162</v>
      </c>
      <c r="Z1181" s="6" t="s">
        <v>165</v>
      </c>
      <c r="AA1181" s="6" t="s">
        <v>262</v>
      </c>
      <c r="AB1181" s="6" t="s">
        <v>521</v>
      </c>
      <c r="AC1181" s="6" t="s">
        <v>174</v>
      </c>
      <c r="AD1181" s="6" t="s">
        <v>175</v>
      </c>
      <c r="AE1181" s="6" t="s">
        <v>271</v>
      </c>
      <c r="AF1181" s="6" t="s">
        <v>181</v>
      </c>
      <c r="AG1181" s="6" t="s">
        <v>182</v>
      </c>
      <c r="AH1181" s="7"/>
      <c r="AI1181" s="7"/>
      <c r="AJ1181" s="7"/>
      <c r="AK1181" s="7"/>
      <c r="AL1181" s="7"/>
      <c r="AM1181" s="7"/>
      <c r="AN1181" s="7"/>
      <c r="AO1181" s="7"/>
      <c r="AP1181" s="7"/>
      <c r="AQ1181" s="7"/>
      <c r="AR1181" s="7"/>
      <c r="AS1181" s="7"/>
      <c r="AT1181" s="7"/>
      <c r="AU1181" s="7"/>
      <c r="AV1181" s="7"/>
      <c r="AW1181" s="7"/>
      <c r="AX1181" s="7"/>
      <c r="AY1181" s="7"/>
      <c r="AZ1181" s="7"/>
      <c r="BA1181" s="7"/>
      <c r="BB1181" s="7"/>
      <c r="BC1181" s="7"/>
      <c r="BD1181" s="7"/>
      <c r="BE1181" s="7"/>
      <c r="BF1181" s="7"/>
      <c r="BG1181" s="7"/>
      <c r="BH1181" s="7"/>
      <c r="BI1181" s="7"/>
      <c r="BJ1181" s="7"/>
      <c r="BK1181" s="7"/>
    </row>
    <row r="1182" ht="22.5" customHeight="1">
      <c r="A1182" s="4">
        <v>46229.705481400466</v>
      </c>
      <c r="B1182" s="5">
        <v>0.0</v>
      </c>
      <c r="C1182" s="6" t="s">
        <v>3296</v>
      </c>
      <c r="D1182" s="7"/>
      <c r="E1182" s="7"/>
      <c r="F1182" s="7"/>
      <c r="G1182" s="7"/>
      <c r="H1182" s="7"/>
      <c r="I1182" s="7"/>
      <c r="J1182" s="7"/>
      <c r="K1182" s="7"/>
      <c r="L1182" s="7"/>
      <c r="M1182" s="7"/>
      <c r="N1182" s="7"/>
      <c r="O1182" s="7"/>
      <c r="P1182" s="7"/>
      <c r="Q1182" s="7"/>
      <c r="R1182" s="7"/>
      <c r="S1182" s="7"/>
      <c r="T1182" s="7"/>
      <c r="U1182" s="7"/>
      <c r="V1182" s="7"/>
      <c r="W1182" s="7"/>
      <c r="X1182" s="7"/>
      <c r="Y1182" s="7"/>
      <c r="Z1182" s="7"/>
      <c r="AA1182" s="7"/>
      <c r="AB1182" s="7"/>
      <c r="AC1182" s="7"/>
      <c r="AD1182" s="7"/>
      <c r="AE1182" s="7"/>
      <c r="AF1182" s="7"/>
      <c r="AG1182" s="7"/>
      <c r="AH1182" s="6" t="s">
        <v>2917</v>
      </c>
      <c r="AI1182" s="6" t="s">
        <v>2918</v>
      </c>
      <c r="AJ1182" s="6">
        <v>6.9070504032E10</v>
      </c>
      <c r="AK1182" s="6" t="s">
        <v>4331</v>
      </c>
      <c r="AL1182" s="6" t="s">
        <v>11443</v>
      </c>
      <c r="AM1182" s="6" t="s">
        <v>11444</v>
      </c>
      <c r="AN1182" s="6" t="s">
        <v>11445</v>
      </c>
      <c r="AO1182" s="6" t="s">
        <v>7433</v>
      </c>
      <c r="AP1182" s="6" t="s">
        <v>11446</v>
      </c>
      <c r="AQ1182" s="6" t="s">
        <v>11447</v>
      </c>
      <c r="AR1182" s="6" t="s">
        <v>11448</v>
      </c>
      <c r="AS1182" s="6" t="s">
        <v>11449</v>
      </c>
      <c r="AT1182" s="6" t="s">
        <v>11450</v>
      </c>
      <c r="AU1182" s="6" t="s">
        <v>11451</v>
      </c>
      <c r="AV1182" s="6" t="s">
        <v>3306</v>
      </c>
      <c r="AW1182" s="6" t="s">
        <v>3307</v>
      </c>
      <c r="AX1182" s="6" t="s">
        <v>3887</v>
      </c>
      <c r="AY1182" s="6" t="s">
        <v>3309</v>
      </c>
      <c r="AZ1182" s="6" t="s">
        <v>3306</v>
      </c>
      <c r="BA1182" s="6" t="s">
        <v>3311</v>
      </c>
      <c r="BB1182" s="6" t="s">
        <v>3312</v>
      </c>
      <c r="BC1182" s="6" t="s">
        <v>3313</v>
      </c>
      <c r="BD1182" s="6" t="s">
        <v>165</v>
      </c>
      <c r="BE1182" s="6" t="s">
        <v>3888</v>
      </c>
      <c r="BF1182" s="6" t="s">
        <v>3889</v>
      </c>
      <c r="BG1182" s="6" t="s">
        <v>4068</v>
      </c>
      <c r="BH1182" s="6" t="s">
        <v>3317</v>
      </c>
      <c r="BI1182" s="6" t="s">
        <v>271</v>
      </c>
      <c r="BJ1182" s="6" t="s">
        <v>3318</v>
      </c>
      <c r="BK1182" s="6" t="s">
        <v>3319</v>
      </c>
    </row>
    <row r="1183" ht="22.5" customHeight="1">
      <c r="A1183" s="4">
        <v>46229.705485266204</v>
      </c>
      <c r="B1183" s="5">
        <v>0.0</v>
      </c>
      <c r="C1183" s="6" t="s">
        <v>114</v>
      </c>
      <c r="D1183" s="6" t="s">
        <v>2395</v>
      </c>
      <c r="E1183" s="6" t="s">
        <v>2396</v>
      </c>
      <c r="F1183" s="6">
        <v>6.9070500621E10</v>
      </c>
      <c r="G1183" s="6" t="s">
        <v>6140</v>
      </c>
      <c r="H1183" s="7"/>
      <c r="I1183" s="6" t="s">
        <v>7602</v>
      </c>
      <c r="J1183" s="6" t="s">
        <v>5006</v>
      </c>
      <c r="K1183" s="6" t="s">
        <v>11452</v>
      </c>
      <c r="L1183" s="6" t="s">
        <v>11453</v>
      </c>
      <c r="M1183" s="6" t="s">
        <v>11454</v>
      </c>
      <c r="N1183" s="7"/>
      <c r="O1183" s="6" t="s">
        <v>11455</v>
      </c>
      <c r="P1183" s="6" t="s">
        <v>11456</v>
      </c>
      <c r="Q1183" s="6" t="s">
        <v>11457</v>
      </c>
      <c r="R1183" s="6" t="s">
        <v>246</v>
      </c>
      <c r="S1183" s="6" t="s">
        <v>147</v>
      </c>
      <c r="T1183" s="6" t="s">
        <v>246</v>
      </c>
      <c r="U1183" s="6" t="s">
        <v>252</v>
      </c>
      <c r="V1183" s="6" t="s">
        <v>246</v>
      </c>
      <c r="W1183" s="6" t="s">
        <v>158</v>
      </c>
      <c r="X1183" s="6" t="s">
        <v>250</v>
      </c>
      <c r="Y1183" s="6" t="s">
        <v>162</v>
      </c>
      <c r="Z1183" s="6" t="s">
        <v>165</v>
      </c>
      <c r="AA1183" s="6" t="s">
        <v>262</v>
      </c>
      <c r="AB1183" s="6" t="s">
        <v>171</v>
      </c>
      <c r="AC1183" s="6" t="s">
        <v>174</v>
      </c>
      <c r="AD1183" s="6" t="s">
        <v>175</v>
      </c>
      <c r="AE1183" s="6" t="s">
        <v>271</v>
      </c>
      <c r="AF1183" s="6" t="s">
        <v>181</v>
      </c>
      <c r="AG1183" s="6" t="s">
        <v>182</v>
      </c>
      <c r="AH1183" s="7"/>
      <c r="AI1183" s="7"/>
      <c r="AJ1183" s="7"/>
      <c r="AK1183" s="7"/>
      <c r="AL1183" s="7"/>
      <c r="AM1183" s="7"/>
      <c r="AN1183" s="7"/>
      <c r="AO1183" s="7"/>
      <c r="AP1183" s="7"/>
      <c r="AQ1183" s="7"/>
      <c r="AR1183" s="7"/>
      <c r="AS1183" s="7"/>
      <c r="AT1183" s="7"/>
      <c r="AU1183" s="7"/>
      <c r="AV1183" s="7"/>
      <c r="AW1183" s="7"/>
      <c r="AX1183" s="7"/>
      <c r="AY1183" s="7"/>
      <c r="AZ1183" s="7"/>
      <c r="BA1183" s="7"/>
      <c r="BB1183" s="7"/>
      <c r="BC1183" s="7"/>
      <c r="BD1183" s="7"/>
      <c r="BE1183" s="7"/>
      <c r="BF1183" s="7"/>
      <c r="BG1183" s="7"/>
      <c r="BH1183" s="7"/>
      <c r="BI1183" s="7"/>
      <c r="BJ1183" s="7"/>
      <c r="BK1183" s="7"/>
    </row>
    <row r="1184" ht="22.5" customHeight="1">
      <c r="A1184" s="4">
        <v>46229.70548586806</v>
      </c>
      <c r="B1184" s="5">
        <v>0.0</v>
      </c>
      <c r="C1184" s="6" t="s">
        <v>114</v>
      </c>
      <c r="D1184" s="6" t="s">
        <v>60</v>
      </c>
      <c r="E1184" s="6" t="s">
        <v>2399</v>
      </c>
      <c r="F1184" s="6">
        <v>6.9070500642E10</v>
      </c>
      <c r="G1184" s="6" t="s">
        <v>6140</v>
      </c>
      <c r="H1184" s="7"/>
      <c r="I1184" s="6" t="s">
        <v>4283</v>
      </c>
      <c r="J1184" s="6" t="s">
        <v>11458</v>
      </c>
      <c r="K1184" s="6" t="s">
        <v>11459</v>
      </c>
      <c r="L1184" s="6" t="s">
        <v>11460</v>
      </c>
      <c r="M1184" s="6" t="s">
        <v>11461</v>
      </c>
      <c r="N1184" s="7"/>
      <c r="O1184" s="6" t="s">
        <v>11462</v>
      </c>
      <c r="P1184" s="6" t="s">
        <v>11463</v>
      </c>
      <c r="Q1184" s="6" t="s">
        <v>11464</v>
      </c>
      <c r="R1184" s="6" t="s">
        <v>246</v>
      </c>
      <c r="S1184" s="6" t="s">
        <v>147</v>
      </c>
      <c r="T1184" s="6" t="s">
        <v>149</v>
      </c>
      <c r="U1184" s="6" t="s">
        <v>560</v>
      </c>
      <c r="V1184" s="6" t="s">
        <v>155</v>
      </c>
      <c r="W1184" s="6" t="s">
        <v>158</v>
      </c>
      <c r="X1184" s="6" t="s">
        <v>257</v>
      </c>
      <c r="Y1184" s="6" t="s">
        <v>162</v>
      </c>
      <c r="Z1184" s="6" t="s">
        <v>165</v>
      </c>
      <c r="AA1184" s="6" t="s">
        <v>262</v>
      </c>
      <c r="AB1184" s="6" t="s">
        <v>171</v>
      </c>
      <c r="AC1184" s="6" t="s">
        <v>1669</v>
      </c>
      <c r="AD1184" s="6" t="s">
        <v>641</v>
      </c>
      <c r="AE1184" s="6" t="s">
        <v>524</v>
      </c>
      <c r="AF1184" s="6" t="s">
        <v>638</v>
      </c>
      <c r="AG1184" s="6" t="s">
        <v>1326</v>
      </c>
      <c r="AH1184" s="7"/>
      <c r="AI1184" s="7"/>
      <c r="AJ1184" s="7"/>
      <c r="AK1184" s="7"/>
      <c r="AL1184" s="7"/>
      <c r="AM1184" s="7"/>
      <c r="AN1184" s="7"/>
      <c r="AO1184" s="7"/>
      <c r="AP1184" s="7"/>
      <c r="AQ1184" s="7"/>
      <c r="AR1184" s="7"/>
      <c r="AS1184" s="7"/>
      <c r="AT1184" s="7"/>
      <c r="AU1184" s="7"/>
      <c r="AV1184" s="7"/>
      <c r="AW1184" s="7"/>
      <c r="AX1184" s="7"/>
      <c r="AY1184" s="7"/>
      <c r="AZ1184" s="7"/>
      <c r="BA1184" s="7"/>
      <c r="BB1184" s="7"/>
      <c r="BC1184" s="7"/>
      <c r="BD1184" s="7"/>
      <c r="BE1184" s="7"/>
      <c r="BF1184" s="7"/>
      <c r="BG1184" s="7"/>
      <c r="BH1184" s="7"/>
      <c r="BI1184" s="7"/>
      <c r="BJ1184" s="7"/>
      <c r="BK1184" s="7"/>
    </row>
    <row r="1185" ht="22.5" customHeight="1">
      <c r="A1185" s="4">
        <v>46229.70550399306</v>
      </c>
      <c r="B1185" s="5">
        <v>0.0</v>
      </c>
      <c r="C1185" s="6" t="s">
        <v>114</v>
      </c>
      <c r="D1185" s="6" t="s">
        <v>2402</v>
      </c>
      <c r="E1185" s="6" t="s">
        <v>2403</v>
      </c>
      <c r="F1185" s="6">
        <v>6.907050947E10</v>
      </c>
      <c r="G1185" s="6" t="s">
        <v>122</v>
      </c>
      <c r="H1185" s="7"/>
      <c r="I1185" s="6" t="s">
        <v>11465</v>
      </c>
      <c r="J1185" s="6" t="s">
        <v>5118</v>
      </c>
      <c r="K1185" s="6" t="s">
        <v>11466</v>
      </c>
      <c r="L1185" s="6" t="s">
        <v>6278</v>
      </c>
      <c r="M1185" s="6" t="s">
        <v>3798</v>
      </c>
      <c r="N1185" s="7"/>
      <c r="O1185" s="6" t="s">
        <v>11467</v>
      </c>
      <c r="P1185" s="6" t="s">
        <v>11468</v>
      </c>
      <c r="Q1185" s="6" t="s">
        <v>11469</v>
      </c>
      <c r="R1185" s="6" t="s">
        <v>246</v>
      </c>
      <c r="S1185" s="6" t="s">
        <v>147</v>
      </c>
      <c r="T1185" s="6" t="s">
        <v>250</v>
      </c>
      <c r="U1185" s="6" t="s">
        <v>2254</v>
      </c>
      <c r="V1185" s="6" t="s">
        <v>246</v>
      </c>
      <c r="W1185" s="6" t="s">
        <v>932</v>
      </c>
      <c r="X1185" s="6" t="s">
        <v>257</v>
      </c>
      <c r="Y1185" s="6" t="s">
        <v>162</v>
      </c>
      <c r="Z1185" s="6" t="s">
        <v>165</v>
      </c>
      <c r="AA1185" s="6" t="s">
        <v>262</v>
      </c>
      <c r="AB1185" s="6" t="s">
        <v>521</v>
      </c>
      <c r="AC1185" s="6" t="s">
        <v>174</v>
      </c>
      <c r="AD1185" s="6" t="s">
        <v>175</v>
      </c>
      <c r="AE1185" s="6" t="s">
        <v>271</v>
      </c>
      <c r="AF1185" s="6" t="s">
        <v>181</v>
      </c>
      <c r="AG1185" s="6" t="s">
        <v>182</v>
      </c>
      <c r="AH1185" s="7"/>
      <c r="AI1185" s="7"/>
      <c r="AJ1185" s="7"/>
      <c r="AK1185" s="7"/>
      <c r="AL1185" s="7"/>
      <c r="AM1185" s="7"/>
      <c r="AN1185" s="7"/>
      <c r="AO1185" s="7"/>
      <c r="AP1185" s="7"/>
      <c r="AQ1185" s="7"/>
      <c r="AR1185" s="7"/>
      <c r="AS1185" s="7"/>
      <c r="AT1185" s="7"/>
      <c r="AU1185" s="7"/>
      <c r="AV1185" s="7"/>
      <c r="AW1185" s="7"/>
      <c r="AX1185" s="7"/>
      <c r="AY1185" s="7"/>
      <c r="AZ1185" s="7"/>
      <c r="BA1185" s="7"/>
      <c r="BB1185" s="7"/>
      <c r="BC1185" s="7"/>
      <c r="BD1185" s="7"/>
      <c r="BE1185" s="7"/>
      <c r="BF1185" s="7"/>
      <c r="BG1185" s="7"/>
      <c r="BH1185" s="7"/>
      <c r="BI1185" s="7"/>
      <c r="BJ1185" s="7"/>
      <c r="BK1185" s="7"/>
    </row>
    <row r="1186" ht="22.5" customHeight="1">
      <c r="A1186" s="4">
        <v>46229.705504247686</v>
      </c>
      <c r="B1186" s="5">
        <v>0.0</v>
      </c>
      <c r="C1186" s="6" t="s">
        <v>114</v>
      </c>
      <c r="D1186" s="6" t="s">
        <v>827</v>
      </c>
      <c r="E1186" s="6" t="s">
        <v>2406</v>
      </c>
      <c r="F1186" s="6">
        <v>6.9070501235E10</v>
      </c>
      <c r="G1186" s="6" t="s">
        <v>228</v>
      </c>
      <c r="H1186" s="7"/>
      <c r="I1186" s="6" t="s">
        <v>11470</v>
      </c>
      <c r="J1186" s="6" t="s">
        <v>11471</v>
      </c>
      <c r="K1186" s="6" t="s">
        <v>11472</v>
      </c>
      <c r="L1186" s="6" t="s">
        <v>11445</v>
      </c>
      <c r="M1186" s="6" t="s">
        <v>11473</v>
      </c>
      <c r="N1186" s="7"/>
      <c r="O1186" s="6" t="s">
        <v>11474</v>
      </c>
      <c r="P1186" s="6" t="s">
        <v>11475</v>
      </c>
      <c r="Q1186" s="6" t="s">
        <v>11476</v>
      </c>
      <c r="R1186" s="6" t="s">
        <v>246</v>
      </c>
      <c r="S1186" s="6" t="s">
        <v>147</v>
      </c>
      <c r="T1186" s="6" t="s">
        <v>250</v>
      </c>
      <c r="U1186" s="6" t="s">
        <v>252</v>
      </c>
      <c r="V1186" s="6" t="s">
        <v>246</v>
      </c>
      <c r="W1186" s="6" t="s">
        <v>158</v>
      </c>
      <c r="X1186" s="6" t="s">
        <v>257</v>
      </c>
      <c r="Y1186" s="6" t="s">
        <v>162</v>
      </c>
      <c r="Z1186" s="6" t="s">
        <v>165</v>
      </c>
      <c r="AA1186" s="6" t="s">
        <v>262</v>
      </c>
      <c r="AB1186" s="6" t="s">
        <v>171</v>
      </c>
      <c r="AC1186" s="6" t="s">
        <v>174</v>
      </c>
      <c r="AD1186" s="6" t="s">
        <v>175</v>
      </c>
      <c r="AE1186" s="6" t="s">
        <v>271</v>
      </c>
      <c r="AF1186" s="6" t="s">
        <v>181</v>
      </c>
      <c r="AG1186" s="6" t="s">
        <v>182</v>
      </c>
      <c r="AH1186" s="7"/>
      <c r="AI1186" s="7"/>
      <c r="AJ1186" s="7"/>
      <c r="AK1186" s="7"/>
      <c r="AL1186" s="7"/>
      <c r="AM1186" s="7"/>
      <c r="AN1186" s="7"/>
      <c r="AO1186" s="7"/>
      <c r="AP1186" s="7"/>
      <c r="AQ1186" s="7"/>
      <c r="AR1186" s="7"/>
      <c r="AS1186" s="7"/>
      <c r="AT1186" s="7"/>
      <c r="AU1186" s="7"/>
      <c r="AV1186" s="7"/>
      <c r="AW1186" s="7"/>
      <c r="AX1186" s="7"/>
      <c r="AY1186" s="7"/>
      <c r="AZ1186" s="7"/>
      <c r="BA1186" s="7"/>
      <c r="BB1186" s="7"/>
      <c r="BC1186" s="7"/>
      <c r="BD1186" s="7"/>
      <c r="BE1186" s="7"/>
      <c r="BF1186" s="7"/>
      <c r="BG1186" s="7"/>
      <c r="BH1186" s="7"/>
      <c r="BI1186" s="7"/>
      <c r="BJ1186" s="7"/>
      <c r="BK1186" s="7"/>
    </row>
    <row r="1187" ht="22.5" customHeight="1">
      <c r="A1187" s="4">
        <v>46229.705513113426</v>
      </c>
      <c r="B1187" s="5">
        <v>0.0</v>
      </c>
      <c r="C1187" s="6" t="s">
        <v>3296</v>
      </c>
      <c r="D1187" s="7"/>
      <c r="E1187" s="7"/>
      <c r="F1187" s="7"/>
      <c r="G1187" s="7"/>
      <c r="H1187" s="7"/>
      <c r="I1187" s="7"/>
      <c r="J1187" s="7"/>
      <c r="K1187" s="7"/>
      <c r="L1187" s="7"/>
      <c r="M1187" s="7"/>
      <c r="N1187" s="7"/>
      <c r="O1187" s="7"/>
      <c r="P1187" s="7"/>
      <c r="Q1187" s="7"/>
      <c r="R1187" s="7"/>
      <c r="S1187" s="7"/>
      <c r="T1187" s="7"/>
      <c r="U1187" s="7"/>
      <c r="V1187" s="7"/>
      <c r="W1187" s="7"/>
      <c r="X1187" s="7"/>
      <c r="Y1187" s="7"/>
      <c r="Z1187" s="7"/>
      <c r="AA1187" s="7"/>
      <c r="AB1187" s="7"/>
      <c r="AC1187" s="7"/>
      <c r="AD1187" s="7"/>
      <c r="AE1187" s="7"/>
      <c r="AF1187" s="7"/>
      <c r="AG1187" s="7"/>
      <c r="AH1187" s="6" t="s">
        <v>2919</v>
      </c>
      <c r="AI1187" s="6" t="s">
        <v>2920</v>
      </c>
      <c r="AJ1187" s="6">
        <v>6.9070508619E10</v>
      </c>
      <c r="AK1187" s="6" t="s">
        <v>9716</v>
      </c>
      <c r="AL1187" s="6" t="s">
        <v>11477</v>
      </c>
      <c r="AM1187" s="6" t="s">
        <v>11478</v>
      </c>
      <c r="AN1187" s="6" t="s">
        <v>11479</v>
      </c>
      <c r="AO1187" s="6" t="s">
        <v>11480</v>
      </c>
      <c r="AP1187" s="6" t="s">
        <v>11481</v>
      </c>
      <c r="AQ1187" s="6" t="s">
        <v>11482</v>
      </c>
      <c r="AR1187" s="6" t="s">
        <v>11483</v>
      </c>
      <c r="AS1187" s="6" t="s">
        <v>11484</v>
      </c>
      <c r="AT1187" s="6" t="s">
        <v>11485</v>
      </c>
      <c r="AU1187" s="6" t="s">
        <v>11486</v>
      </c>
      <c r="AV1187" s="6" t="s">
        <v>3306</v>
      </c>
      <c r="AW1187" s="6" t="s">
        <v>3307</v>
      </c>
      <c r="AX1187" s="6" t="s">
        <v>3887</v>
      </c>
      <c r="AY1187" s="6" t="s">
        <v>4067</v>
      </c>
      <c r="AZ1187" s="6" t="s">
        <v>3306</v>
      </c>
      <c r="BA1187" s="6" t="s">
        <v>3311</v>
      </c>
      <c r="BB1187" s="6" t="s">
        <v>4693</v>
      </c>
      <c r="BC1187" s="6" t="s">
        <v>3313</v>
      </c>
      <c r="BD1187" s="6" t="s">
        <v>165</v>
      </c>
      <c r="BE1187" s="6" t="s">
        <v>4341</v>
      </c>
      <c r="BF1187" s="6" t="s">
        <v>3315</v>
      </c>
      <c r="BG1187" s="6" t="s">
        <v>5760</v>
      </c>
      <c r="BH1187" s="6" t="s">
        <v>3317</v>
      </c>
      <c r="BI1187" s="6" t="s">
        <v>271</v>
      </c>
      <c r="BJ1187" s="6" t="s">
        <v>3318</v>
      </c>
      <c r="BK1187" s="6" t="s">
        <v>3319</v>
      </c>
    </row>
    <row r="1188" ht="22.5" customHeight="1">
      <c r="A1188" s="4">
        <v>46229.705514409725</v>
      </c>
      <c r="B1188" s="5">
        <v>0.0</v>
      </c>
      <c r="C1188" s="6" t="s">
        <v>114</v>
      </c>
      <c r="D1188" s="6" t="s">
        <v>2408</v>
      </c>
      <c r="E1188" s="6" t="s">
        <v>2409</v>
      </c>
      <c r="F1188" s="6">
        <v>6.9070508814E10</v>
      </c>
      <c r="G1188" s="6" t="s">
        <v>5399</v>
      </c>
      <c r="H1188" s="7"/>
      <c r="I1188" s="6" t="s">
        <v>11487</v>
      </c>
      <c r="J1188" s="6" t="s">
        <v>11488</v>
      </c>
      <c r="K1188" s="6" t="s">
        <v>11489</v>
      </c>
      <c r="L1188" s="6" t="s">
        <v>11490</v>
      </c>
      <c r="M1188" s="6" t="s">
        <v>11491</v>
      </c>
      <c r="N1188" s="7"/>
      <c r="O1188" s="6" t="s">
        <v>11492</v>
      </c>
      <c r="P1188" s="6" t="s">
        <v>11493</v>
      </c>
      <c r="Q1188" s="6" t="s">
        <v>11494</v>
      </c>
      <c r="R1188" s="6" t="s">
        <v>246</v>
      </c>
      <c r="S1188" s="6" t="s">
        <v>147</v>
      </c>
      <c r="T1188" s="6" t="s">
        <v>250</v>
      </c>
      <c r="U1188" s="6" t="s">
        <v>252</v>
      </c>
      <c r="V1188" s="6" t="s">
        <v>246</v>
      </c>
      <c r="W1188" s="6" t="s">
        <v>158</v>
      </c>
      <c r="X1188" s="6" t="s">
        <v>257</v>
      </c>
      <c r="Y1188" s="6" t="s">
        <v>162</v>
      </c>
      <c r="Z1188" s="6" t="s">
        <v>165</v>
      </c>
      <c r="AA1188" s="6" t="s">
        <v>262</v>
      </c>
      <c r="AB1188" s="6" t="s">
        <v>521</v>
      </c>
      <c r="AC1188" s="6" t="s">
        <v>174</v>
      </c>
      <c r="AD1188" s="6" t="s">
        <v>175</v>
      </c>
      <c r="AE1188" s="6" t="s">
        <v>271</v>
      </c>
      <c r="AF1188" s="6" t="s">
        <v>181</v>
      </c>
      <c r="AG1188" s="6" t="s">
        <v>182</v>
      </c>
      <c r="AH1188" s="7"/>
      <c r="AI1188" s="7"/>
      <c r="AJ1188" s="7"/>
      <c r="AK1188" s="7"/>
      <c r="AL1188" s="7"/>
      <c r="AM1188" s="7"/>
      <c r="AN1188" s="7"/>
      <c r="AO1188" s="7"/>
      <c r="AP1188" s="7"/>
      <c r="AQ1188" s="7"/>
      <c r="AR1188" s="7"/>
      <c r="AS1188" s="7"/>
      <c r="AT1188" s="7"/>
      <c r="AU1188" s="7"/>
      <c r="AV1188" s="7"/>
      <c r="AW1188" s="7"/>
      <c r="AX1188" s="7"/>
      <c r="AY1188" s="7"/>
      <c r="AZ1188" s="7"/>
      <c r="BA1188" s="7"/>
      <c r="BB1188" s="7"/>
      <c r="BC1188" s="7"/>
      <c r="BD1188" s="7"/>
      <c r="BE1188" s="7"/>
      <c r="BF1188" s="7"/>
      <c r="BG1188" s="7"/>
      <c r="BH1188" s="7"/>
      <c r="BI1188" s="7"/>
      <c r="BJ1188" s="7"/>
      <c r="BK1188" s="7"/>
    </row>
    <row r="1189" ht="22.5" customHeight="1">
      <c r="A1189" s="4">
        <v>46229.70553422454</v>
      </c>
      <c r="B1189" s="5">
        <v>0.0</v>
      </c>
      <c r="C1189" s="6" t="s">
        <v>114</v>
      </c>
      <c r="D1189" s="6" t="s">
        <v>2410</v>
      </c>
      <c r="E1189" s="6" t="s">
        <v>2411</v>
      </c>
      <c r="F1189" s="6">
        <v>6.9070500672E10</v>
      </c>
      <c r="G1189" s="6" t="s">
        <v>6140</v>
      </c>
      <c r="H1189" s="7"/>
      <c r="I1189" s="6" t="s">
        <v>5005</v>
      </c>
      <c r="J1189" s="6" t="s">
        <v>4916</v>
      </c>
      <c r="K1189" s="6" t="s">
        <v>5006</v>
      </c>
      <c r="L1189" s="6" t="s">
        <v>11495</v>
      </c>
      <c r="M1189" s="6" t="s">
        <v>11496</v>
      </c>
      <c r="N1189" s="6" t="s">
        <v>11453</v>
      </c>
      <c r="O1189" s="6" t="s">
        <v>11497</v>
      </c>
      <c r="P1189" s="6" t="s">
        <v>11498</v>
      </c>
      <c r="Q1189" s="6" t="s">
        <v>11499</v>
      </c>
      <c r="R1189" s="6" t="s">
        <v>246</v>
      </c>
      <c r="S1189" s="6" t="s">
        <v>147</v>
      </c>
      <c r="T1189" s="6" t="s">
        <v>246</v>
      </c>
      <c r="U1189" s="6" t="s">
        <v>252</v>
      </c>
      <c r="V1189" s="6" t="s">
        <v>246</v>
      </c>
      <c r="W1189" s="6" t="s">
        <v>158</v>
      </c>
      <c r="X1189" s="6" t="s">
        <v>250</v>
      </c>
      <c r="Y1189" s="6" t="s">
        <v>162</v>
      </c>
      <c r="Z1189" s="6" t="s">
        <v>165</v>
      </c>
      <c r="AA1189" s="6" t="s">
        <v>262</v>
      </c>
      <c r="AB1189" s="6" t="s">
        <v>171</v>
      </c>
      <c r="AC1189" s="6" t="s">
        <v>174</v>
      </c>
      <c r="AD1189" s="6" t="s">
        <v>175</v>
      </c>
      <c r="AE1189" s="6" t="s">
        <v>271</v>
      </c>
      <c r="AF1189" s="6" t="s">
        <v>181</v>
      </c>
      <c r="AG1189" s="6" t="s">
        <v>182</v>
      </c>
      <c r="AH1189" s="7"/>
      <c r="AI1189" s="7"/>
      <c r="AJ1189" s="7"/>
      <c r="AK1189" s="7"/>
      <c r="AL1189" s="7"/>
      <c r="AM1189" s="7"/>
      <c r="AN1189" s="7"/>
      <c r="AO1189" s="7"/>
      <c r="AP1189" s="7"/>
      <c r="AQ1189" s="7"/>
      <c r="AR1189" s="7"/>
      <c r="AS1189" s="7"/>
      <c r="AT1189" s="7"/>
      <c r="AU1189" s="7"/>
      <c r="AV1189" s="7"/>
      <c r="AW1189" s="7"/>
      <c r="AX1189" s="7"/>
      <c r="AY1189" s="7"/>
      <c r="AZ1189" s="7"/>
      <c r="BA1189" s="7"/>
      <c r="BB1189" s="7"/>
      <c r="BC1189" s="7"/>
      <c r="BD1189" s="7"/>
      <c r="BE1189" s="7"/>
      <c r="BF1189" s="7"/>
      <c r="BG1189" s="7"/>
      <c r="BH1189" s="7"/>
      <c r="BI1189" s="7"/>
      <c r="BJ1189" s="7"/>
      <c r="BK1189" s="7"/>
    </row>
    <row r="1190" ht="22.5" customHeight="1">
      <c r="A1190" s="4">
        <v>46229.70556994213</v>
      </c>
      <c r="B1190" s="5">
        <v>0.0</v>
      </c>
      <c r="C1190" s="6" t="s">
        <v>114</v>
      </c>
      <c r="D1190" s="6" t="s">
        <v>2412</v>
      </c>
      <c r="E1190" s="6" t="s">
        <v>2413</v>
      </c>
      <c r="F1190" s="6">
        <v>6.9070508401E10</v>
      </c>
      <c r="G1190" s="6" t="s">
        <v>4580</v>
      </c>
      <c r="H1190" s="6" t="s">
        <v>11500</v>
      </c>
      <c r="I1190" s="6" t="s">
        <v>11501</v>
      </c>
      <c r="J1190" s="6" t="s">
        <v>8540</v>
      </c>
      <c r="K1190" s="6" t="s">
        <v>11502</v>
      </c>
      <c r="L1190" s="6" t="s">
        <v>11423</v>
      </c>
      <c r="M1190" s="6" t="s">
        <v>11503</v>
      </c>
      <c r="N1190" s="7"/>
      <c r="O1190" s="6" t="s">
        <v>11504</v>
      </c>
      <c r="P1190" s="6" t="s">
        <v>11505</v>
      </c>
      <c r="Q1190" s="6" t="s">
        <v>11506</v>
      </c>
      <c r="R1190" s="6" t="s">
        <v>257</v>
      </c>
      <c r="S1190" s="6" t="s">
        <v>147</v>
      </c>
      <c r="T1190" s="6" t="s">
        <v>250</v>
      </c>
      <c r="U1190" s="6" t="s">
        <v>252</v>
      </c>
      <c r="V1190" s="6" t="s">
        <v>246</v>
      </c>
      <c r="W1190" s="6" t="s">
        <v>158</v>
      </c>
      <c r="X1190" s="6" t="s">
        <v>257</v>
      </c>
      <c r="Y1190" s="6" t="s">
        <v>162</v>
      </c>
      <c r="Z1190" s="6" t="s">
        <v>165</v>
      </c>
      <c r="AA1190" s="6" t="s">
        <v>2307</v>
      </c>
      <c r="AB1190" s="6" t="s">
        <v>171</v>
      </c>
      <c r="AC1190" s="6" t="s">
        <v>174</v>
      </c>
      <c r="AD1190" s="6" t="s">
        <v>175</v>
      </c>
      <c r="AE1190" s="6" t="s">
        <v>271</v>
      </c>
      <c r="AF1190" s="6" t="s">
        <v>181</v>
      </c>
      <c r="AG1190" s="6" t="s">
        <v>182</v>
      </c>
      <c r="AH1190" s="7"/>
      <c r="AI1190" s="7"/>
      <c r="AJ1190" s="7"/>
      <c r="AK1190" s="7"/>
      <c r="AL1190" s="7"/>
      <c r="AM1190" s="7"/>
      <c r="AN1190" s="7"/>
      <c r="AO1190" s="7"/>
      <c r="AP1190" s="7"/>
      <c r="AQ1190" s="7"/>
      <c r="AR1190" s="7"/>
      <c r="AS1190" s="7"/>
      <c r="AT1190" s="7"/>
      <c r="AU1190" s="7"/>
      <c r="AV1190" s="7"/>
      <c r="AW1190" s="7"/>
      <c r="AX1190" s="7"/>
      <c r="AY1190" s="7"/>
      <c r="AZ1190" s="7"/>
      <c r="BA1190" s="7"/>
      <c r="BB1190" s="7"/>
      <c r="BC1190" s="7"/>
      <c r="BD1190" s="7"/>
      <c r="BE1190" s="7"/>
      <c r="BF1190" s="7"/>
      <c r="BG1190" s="7"/>
      <c r="BH1190" s="7"/>
      <c r="BI1190" s="7"/>
      <c r="BJ1190" s="7"/>
      <c r="BK1190" s="7"/>
    </row>
    <row r="1191" ht="22.5" customHeight="1">
      <c r="A1191" s="4">
        <v>46229.7055766088</v>
      </c>
      <c r="B1191" s="5">
        <v>0.0</v>
      </c>
      <c r="C1191" s="6" t="s">
        <v>3296</v>
      </c>
      <c r="D1191" s="7"/>
      <c r="E1191" s="7"/>
      <c r="F1191" s="7"/>
      <c r="G1191" s="7"/>
      <c r="H1191" s="7"/>
      <c r="I1191" s="7"/>
      <c r="J1191" s="7"/>
      <c r="K1191" s="7"/>
      <c r="L1191" s="7"/>
      <c r="M1191" s="7"/>
      <c r="N1191" s="7"/>
      <c r="O1191" s="7"/>
      <c r="P1191" s="7"/>
      <c r="Q1191" s="7"/>
      <c r="R1191" s="7"/>
      <c r="S1191" s="7"/>
      <c r="T1191" s="7"/>
      <c r="U1191" s="7"/>
      <c r="V1191" s="7"/>
      <c r="W1191" s="7"/>
      <c r="X1191" s="7"/>
      <c r="Y1191" s="7"/>
      <c r="Z1191" s="7"/>
      <c r="AA1191" s="7"/>
      <c r="AB1191" s="7"/>
      <c r="AC1191" s="7"/>
      <c r="AD1191" s="7"/>
      <c r="AE1191" s="7"/>
      <c r="AF1191" s="7"/>
      <c r="AG1191" s="7"/>
      <c r="AH1191" s="6" t="s">
        <v>536</v>
      </c>
      <c r="AI1191" s="6" t="s">
        <v>2921</v>
      </c>
      <c r="AJ1191" s="6">
        <v>6.9070503462E10</v>
      </c>
      <c r="AK1191" s="6" t="s">
        <v>3297</v>
      </c>
      <c r="AL1191" s="7"/>
      <c r="AM1191" s="6" t="s">
        <v>11507</v>
      </c>
      <c r="AN1191" s="6" t="s">
        <v>7819</v>
      </c>
      <c r="AO1191" s="6" t="s">
        <v>11508</v>
      </c>
      <c r="AP1191" s="6" t="s">
        <v>11509</v>
      </c>
      <c r="AQ1191" s="6" t="s">
        <v>11510</v>
      </c>
      <c r="AR1191" s="7"/>
      <c r="AS1191" s="6" t="s">
        <v>11511</v>
      </c>
      <c r="AT1191" s="6" t="s">
        <v>11512</v>
      </c>
      <c r="AU1191" s="6" t="s">
        <v>11512</v>
      </c>
      <c r="AV1191" s="6" t="s">
        <v>3312</v>
      </c>
      <c r="AW1191" s="6" t="s">
        <v>3307</v>
      </c>
      <c r="AX1191" s="6" t="s">
        <v>3306</v>
      </c>
      <c r="AY1191" s="6" t="s">
        <v>3309</v>
      </c>
      <c r="AZ1191" s="6" t="s">
        <v>3306</v>
      </c>
      <c r="BA1191" s="6" t="s">
        <v>3311</v>
      </c>
      <c r="BB1191" s="6" t="s">
        <v>3312</v>
      </c>
      <c r="BC1191" s="6" t="s">
        <v>3313</v>
      </c>
      <c r="BD1191" s="6" t="s">
        <v>165</v>
      </c>
      <c r="BE1191" s="6" t="s">
        <v>3888</v>
      </c>
      <c r="BF1191" s="6" t="s">
        <v>3315</v>
      </c>
      <c r="BG1191" s="6" t="s">
        <v>4068</v>
      </c>
      <c r="BH1191" s="6" t="s">
        <v>3317</v>
      </c>
      <c r="BI1191" s="6" t="s">
        <v>524</v>
      </c>
      <c r="BJ1191" s="6" t="s">
        <v>3318</v>
      </c>
      <c r="BK1191" s="6" t="s">
        <v>4695</v>
      </c>
    </row>
    <row r="1192" ht="22.5" customHeight="1">
      <c r="A1192" s="4">
        <v>46229.70563971065</v>
      </c>
      <c r="B1192" s="5">
        <v>0.0</v>
      </c>
      <c r="C1192" s="6" t="s">
        <v>3296</v>
      </c>
      <c r="D1192" s="7"/>
      <c r="E1192" s="7"/>
      <c r="F1192" s="7"/>
      <c r="G1192" s="7"/>
      <c r="H1192" s="7"/>
      <c r="I1192" s="7"/>
      <c r="J1192" s="7"/>
      <c r="K1192" s="7"/>
      <c r="L1192" s="7"/>
      <c r="M1192" s="7"/>
      <c r="N1192" s="7"/>
      <c r="O1192" s="7"/>
      <c r="P1192" s="7"/>
      <c r="Q1192" s="7"/>
      <c r="R1192" s="7"/>
      <c r="S1192" s="7"/>
      <c r="T1192" s="7"/>
      <c r="U1192" s="7"/>
      <c r="V1192" s="7"/>
      <c r="W1192" s="7"/>
      <c r="X1192" s="7"/>
      <c r="Y1192" s="7"/>
      <c r="Z1192" s="7"/>
      <c r="AA1192" s="7"/>
      <c r="AB1192" s="7"/>
      <c r="AC1192" s="7"/>
      <c r="AD1192" s="7"/>
      <c r="AE1192" s="7"/>
      <c r="AF1192" s="7"/>
      <c r="AG1192" s="7"/>
      <c r="AH1192" s="6" t="s">
        <v>172</v>
      </c>
      <c r="AI1192" s="6" t="s">
        <v>2922</v>
      </c>
      <c r="AJ1192" s="6">
        <v>6.9070503477E10</v>
      </c>
      <c r="AK1192" s="6" t="s">
        <v>3297</v>
      </c>
      <c r="AL1192" s="7"/>
      <c r="AM1192" s="6" t="s">
        <v>11513</v>
      </c>
      <c r="AN1192" s="6" t="s">
        <v>11514</v>
      </c>
      <c r="AO1192" s="6" t="s">
        <v>11515</v>
      </c>
      <c r="AP1192" s="6" t="s">
        <v>11516</v>
      </c>
      <c r="AQ1192" s="6" t="s">
        <v>11517</v>
      </c>
      <c r="AR1192" s="7"/>
      <c r="AS1192" s="6" t="s">
        <v>11518</v>
      </c>
      <c r="AT1192" s="6" t="s">
        <v>11519</v>
      </c>
      <c r="AU1192" s="6" t="s">
        <v>11520</v>
      </c>
      <c r="AV1192" s="6" t="s">
        <v>3312</v>
      </c>
      <c r="AW1192" s="6" t="s">
        <v>3307</v>
      </c>
      <c r="AX1192" s="6" t="s">
        <v>3887</v>
      </c>
      <c r="AY1192" s="6" t="s">
        <v>5759</v>
      </c>
      <c r="AZ1192" s="6" t="s">
        <v>3306</v>
      </c>
      <c r="BA1192" s="6" t="s">
        <v>3311</v>
      </c>
      <c r="BB1192" s="6" t="s">
        <v>4693</v>
      </c>
      <c r="BC1192" s="6" t="s">
        <v>3313</v>
      </c>
      <c r="BD1192" s="6" t="s">
        <v>165</v>
      </c>
      <c r="BE1192" s="6" t="s">
        <v>5631</v>
      </c>
      <c r="BF1192" s="6" t="s">
        <v>3889</v>
      </c>
      <c r="BG1192" s="6" t="s">
        <v>4342</v>
      </c>
      <c r="BH1192" s="6" t="s">
        <v>3317</v>
      </c>
      <c r="BI1192" s="6" t="s">
        <v>271</v>
      </c>
      <c r="BJ1192" s="6" t="s">
        <v>3318</v>
      </c>
      <c r="BK1192" s="6" t="s">
        <v>3319</v>
      </c>
    </row>
    <row r="1193" ht="22.5" customHeight="1">
      <c r="A1193" s="4">
        <v>46229.7056555787</v>
      </c>
      <c r="B1193" s="5">
        <v>0.0</v>
      </c>
      <c r="C1193" s="6" t="s">
        <v>114</v>
      </c>
      <c r="D1193" s="6" t="s">
        <v>588</v>
      </c>
      <c r="E1193" s="6" t="s">
        <v>2414</v>
      </c>
      <c r="F1193" s="6">
        <v>6.9070500254E10</v>
      </c>
      <c r="G1193" s="6" t="s">
        <v>599</v>
      </c>
      <c r="H1193" s="7"/>
      <c r="I1193" s="6" t="s">
        <v>5766</v>
      </c>
      <c r="J1193" s="6" t="s">
        <v>11521</v>
      </c>
      <c r="K1193" s="6" t="s">
        <v>11522</v>
      </c>
      <c r="L1193" s="6" t="s">
        <v>5094</v>
      </c>
      <c r="M1193" s="6" t="s">
        <v>11523</v>
      </c>
      <c r="N1193" s="7"/>
      <c r="O1193" s="6" t="s">
        <v>11524</v>
      </c>
      <c r="P1193" s="6" t="s">
        <v>11525</v>
      </c>
      <c r="Q1193" s="6" t="s">
        <v>11526</v>
      </c>
      <c r="R1193" s="6" t="s">
        <v>246</v>
      </c>
      <c r="S1193" s="6" t="s">
        <v>147</v>
      </c>
      <c r="T1193" s="6" t="s">
        <v>250</v>
      </c>
      <c r="U1193" s="6" t="s">
        <v>252</v>
      </c>
      <c r="V1193" s="6" t="s">
        <v>246</v>
      </c>
      <c r="W1193" s="6" t="s">
        <v>158</v>
      </c>
      <c r="X1193" s="6" t="s">
        <v>257</v>
      </c>
      <c r="Y1193" s="6" t="s">
        <v>162</v>
      </c>
      <c r="Z1193" s="6" t="s">
        <v>165</v>
      </c>
      <c r="AA1193" s="6" t="s">
        <v>1322</v>
      </c>
      <c r="AB1193" s="6" t="s">
        <v>171</v>
      </c>
      <c r="AC1193" s="6" t="s">
        <v>174</v>
      </c>
      <c r="AD1193" s="6" t="s">
        <v>175</v>
      </c>
      <c r="AE1193" s="6" t="s">
        <v>178</v>
      </c>
      <c r="AF1193" s="6" t="s">
        <v>181</v>
      </c>
      <c r="AG1193" s="6" t="s">
        <v>182</v>
      </c>
      <c r="AH1193" s="7"/>
      <c r="AI1193" s="7"/>
      <c r="AJ1193" s="7"/>
      <c r="AK1193" s="7"/>
      <c r="AL1193" s="7"/>
      <c r="AM1193" s="7"/>
      <c r="AN1193" s="7"/>
      <c r="AO1193" s="7"/>
      <c r="AP1193" s="7"/>
      <c r="AQ1193" s="7"/>
      <c r="AR1193" s="7"/>
      <c r="AS1193" s="7"/>
      <c r="AT1193" s="7"/>
      <c r="AU1193" s="7"/>
      <c r="AV1193" s="7"/>
      <c r="AW1193" s="7"/>
      <c r="AX1193" s="7"/>
      <c r="AY1193" s="7"/>
      <c r="AZ1193" s="7"/>
      <c r="BA1193" s="7"/>
      <c r="BB1193" s="7"/>
      <c r="BC1193" s="7"/>
      <c r="BD1193" s="7"/>
      <c r="BE1193" s="7"/>
      <c r="BF1193" s="7"/>
      <c r="BG1193" s="7"/>
      <c r="BH1193" s="7"/>
      <c r="BI1193" s="7"/>
      <c r="BJ1193" s="7"/>
      <c r="BK1193" s="7"/>
    </row>
    <row r="1194" ht="22.5" customHeight="1">
      <c r="A1194" s="4">
        <v>46229.7056734375</v>
      </c>
      <c r="B1194" s="5">
        <v>0.0</v>
      </c>
      <c r="C1194" s="6" t="s">
        <v>3296</v>
      </c>
      <c r="D1194" s="7"/>
      <c r="E1194" s="7"/>
      <c r="F1194" s="7"/>
      <c r="G1194" s="7"/>
      <c r="H1194" s="7"/>
      <c r="I1194" s="7"/>
      <c r="J1194" s="7"/>
      <c r="K1194" s="7"/>
      <c r="L1194" s="7"/>
      <c r="M1194" s="7"/>
      <c r="N1194" s="7"/>
      <c r="O1194" s="7"/>
      <c r="P1194" s="7"/>
      <c r="Q1194" s="7"/>
      <c r="R1194" s="7"/>
      <c r="S1194" s="7"/>
      <c r="T1194" s="7"/>
      <c r="U1194" s="7"/>
      <c r="V1194" s="7"/>
      <c r="W1194" s="7"/>
      <c r="X1194" s="7"/>
      <c r="Y1194" s="7"/>
      <c r="Z1194" s="7"/>
      <c r="AA1194" s="7"/>
      <c r="AB1194" s="7"/>
      <c r="AC1194" s="7"/>
      <c r="AD1194" s="7"/>
      <c r="AE1194" s="7"/>
      <c r="AF1194" s="7"/>
      <c r="AG1194" s="7"/>
      <c r="AH1194" s="6" t="s">
        <v>2923</v>
      </c>
      <c r="AI1194" s="6" t="s">
        <v>2924</v>
      </c>
      <c r="AJ1194" s="6">
        <v>6.9070508608E10</v>
      </c>
      <c r="AK1194" s="6" t="s">
        <v>9716</v>
      </c>
      <c r="AL1194" s="7"/>
      <c r="AM1194" s="6" t="s">
        <v>11527</v>
      </c>
      <c r="AN1194" s="6" t="s">
        <v>11528</v>
      </c>
      <c r="AO1194" s="6" t="s">
        <v>11529</v>
      </c>
      <c r="AP1194" s="6" t="s">
        <v>11530</v>
      </c>
      <c r="AQ1194" s="6" t="s">
        <v>11531</v>
      </c>
      <c r="AR1194" s="7"/>
      <c r="AS1194" s="6" t="s">
        <v>11532</v>
      </c>
      <c r="AT1194" s="6" t="s">
        <v>11533</v>
      </c>
      <c r="AU1194" s="6" t="s">
        <v>11534</v>
      </c>
      <c r="AV1194" s="6" t="s">
        <v>3312</v>
      </c>
      <c r="AW1194" s="6" t="s">
        <v>3307</v>
      </c>
      <c r="AX1194" s="6" t="s">
        <v>3306</v>
      </c>
      <c r="AY1194" s="6" t="s">
        <v>804</v>
      </c>
      <c r="AZ1194" s="6" t="s">
        <v>3306</v>
      </c>
      <c r="BA1194" s="6" t="s">
        <v>3311</v>
      </c>
      <c r="BB1194" s="6" t="s">
        <v>4693</v>
      </c>
      <c r="BC1194" s="6" t="s">
        <v>3313</v>
      </c>
      <c r="BD1194" s="6" t="s">
        <v>165</v>
      </c>
      <c r="BE1194" s="6" t="s">
        <v>4341</v>
      </c>
      <c r="BF1194" s="6" t="s">
        <v>3315</v>
      </c>
      <c r="BG1194" s="6" t="s">
        <v>3316</v>
      </c>
      <c r="BH1194" s="6" t="s">
        <v>5246</v>
      </c>
      <c r="BI1194" s="6" t="s">
        <v>271</v>
      </c>
      <c r="BJ1194" s="6" t="s">
        <v>3318</v>
      </c>
      <c r="BK1194" s="6" t="s">
        <v>3319</v>
      </c>
    </row>
    <row r="1195" ht="22.5" customHeight="1">
      <c r="A1195" s="4">
        <v>46229.70571206018</v>
      </c>
      <c r="B1195" s="5">
        <v>0.0</v>
      </c>
      <c r="C1195" s="6" t="s">
        <v>114</v>
      </c>
      <c r="D1195" s="6" t="s">
        <v>2415</v>
      </c>
      <c r="E1195" s="6" t="s">
        <v>2416</v>
      </c>
      <c r="F1195" s="6">
        <v>6.9070508801E10</v>
      </c>
      <c r="G1195" s="6" t="s">
        <v>5399</v>
      </c>
      <c r="H1195" s="7"/>
      <c r="I1195" s="6" t="s">
        <v>9023</v>
      </c>
      <c r="J1195" s="6" t="s">
        <v>3682</v>
      </c>
      <c r="K1195" s="6" t="s">
        <v>10278</v>
      </c>
      <c r="L1195" s="6" t="s">
        <v>11535</v>
      </c>
      <c r="M1195" s="6" t="s">
        <v>11536</v>
      </c>
      <c r="N1195" s="6" t="s">
        <v>11537</v>
      </c>
      <c r="O1195" s="6" t="s">
        <v>11538</v>
      </c>
      <c r="P1195" s="6" t="s">
        <v>11539</v>
      </c>
      <c r="Q1195" s="6" t="s">
        <v>11540</v>
      </c>
      <c r="R1195" s="6" t="s">
        <v>257</v>
      </c>
      <c r="S1195" s="6" t="s">
        <v>147</v>
      </c>
      <c r="T1195" s="6" t="s">
        <v>250</v>
      </c>
      <c r="U1195" s="6" t="s">
        <v>252</v>
      </c>
      <c r="V1195" s="6" t="s">
        <v>155</v>
      </c>
      <c r="W1195" s="6" t="s">
        <v>158</v>
      </c>
      <c r="X1195" s="6" t="s">
        <v>257</v>
      </c>
      <c r="Y1195" s="6" t="s">
        <v>162</v>
      </c>
      <c r="Z1195" s="6" t="s">
        <v>165</v>
      </c>
      <c r="AA1195" s="6" t="s">
        <v>262</v>
      </c>
      <c r="AB1195" s="6" t="s">
        <v>521</v>
      </c>
      <c r="AC1195" s="6" t="s">
        <v>174</v>
      </c>
      <c r="AD1195" s="6" t="s">
        <v>175</v>
      </c>
      <c r="AE1195" s="6" t="s">
        <v>271</v>
      </c>
      <c r="AF1195" s="6" t="s">
        <v>181</v>
      </c>
      <c r="AG1195" s="6" t="s">
        <v>182</v>
      </c>
      <c r="AH1195" s="7"/>
      <c r="AI1195" s="7"/>
      <c r="AJ1195" s="7"/>
      <c r="AK1195" s="7"/>
      <c r="AL1195" s="7"/>
      <c r="AM1195" s="7"/>
      <c r="AN1195" s="7"/>
      <c r="AO1195" s="7"/>
      <c r="AP1195" s="7"/>
      <c r="AQ1195" s="7"/>
      <c r="AR1195" s="7"/>
      <c r="AS1195" s="7"/>
      <c r="AT1195" s="7"/>
      <c r="AU1195" s="7"/>
      <c r="AV1195" s="7"/>
      <c r="AW1195" s="7"/>
      <c r="AX1195" s="7"/>
      <c r="AY1195" s="7"/>
      <c r="AZ1195" s="7"/>
      <c r="BA1195" s="7"/>
      <c r="BB1195" s="7"/>
      <c r="BC1195" s="7"/>
      <c r="BD1195" s="7"/>
      <c r="BE1195" s="7"/>
      <c r="BF1195" s="7"/>
      <c r="BG1195" s="7"/>
      <c r="BH1195" s="7"/>
      <c r="BI1195" s="7"/>
      <c r="BJ1195" s="7"/>
      <c r="BK1195" s="7"/>
    </row>
    <row r="1196" ht="22.5" customHeight="1">
      <c r="A1196" s="4">
        <v>46229.70572024306</v>
      </c>
      <c r="B1196" s="5">
        <v>0.0</v>
      </c>
      <c r="C1196" s="6" t="s">
        <v>114</v>
      </c>
      <c r="D1196" s="6" t="s">
        <v>2417</v>
      </c>
      <c r="E1196" s="6" t="s">
        <v>2418</v>
      </c>
      <c r="F1196" s="6">
        <v>6.9070501203E10</v>
      </c>
      <c r="G1196" s="6" t="s">
        <v>228</v>
      </c>
      <c r="H1196" s="7"/>
      <c r="I1196" s="6" t="s">
        <v>10812</v>
      </c>
      <c r="J1196" s="6" t="s">
        <v>11541</v>
      </c>
      <c r="K1196" s="6" t="s">
        <v>6547</v>
      </c>
      <c r="L1196" s="6" t="s">
        <v>10594</v>
      </c>
      <c r="M1196" s="6" t="s">
        <v>11542</v>
      </c>
      <c r="N1196" s="7"/>
      <c r="O1196" s="6" t="s">
        <v>11543</v>
      </c>
      <c r="P1196" s="6" t="s">
        <v>11544</v>
      </c>
      <c r="Q1196" s="6" t="s">
        <v>11545</v>
      </c>
      <c r="R1196" s="6" t="s">
        <v>246</v>
      </c>
      <c r="S1196" s="6" t="s">
        <v>147</v>
      </c>
      <c r="T1196" s="6" t="s">
        <v>250</v>
      </c>
      <c r="U1196" s="6" t="s">
        <v>560</v>
      </c>
      <c r="V1196" s="6" t="s">
        <v>246</v>
      </c>
      <c r="W1196" s="6" t="s">
        <v>158</v>
      </c>
      <c r="X1196" s="6" t="s">
        <v>257</v>
      </c>
      <c r="Y1196" s="6" t="s">
        <v>162</v>
      </c>
      <c r="Z1196" s="6" t="s">
        <v>165</v>
      </c>
      <c r="AA1196" s="6" t="s">
        <v>262</v>
      </c>
      <c r="AB1196" s="6" t="s">
        <v>171</v>
      </c>
      <c r="AC1196" s="6" t="s">
        <v>174</v>
      </c>
      <c r="AD1196" s="6" t="s">
        <v>175</v>
      </c>
      <c r="AE1196" s="6" t="s">
        <v>271</v>
      </c>
      <c r="AF1196" s="6" t="s">
        <v>181</v>
      </c>
      <c r="AG1196" s="6" t="s">
        <v>182</v>
      </c>
      <c r="AH1196" s="7"/>
      <c r="AI1196" s="7"/>
      <c r="AJ1196" s="7"/>
      <c r="AK1196" s="7"/>
      <c r="AL1196" s="7"/>
      <c r="AM1196" s="7"/>
      <c r="AN1196" s="7"/>
      <c r="AO1196" s="7"/>
      <c r="AP1196" s="7"/>
      <c r="AQ1196" s="7"/>
      <c r="AR1196" s="7"/>
      <c r="AS1196" s="7"/>
      <c r="AT1196" s="7"/>
      <c r="AU1196" s="7"/>
      <c r="AV1196" s="7"/>
      <c r="AW1196" s="7"/>
      <c r="AX1196" s="7"/>
      <c r="AY1196" s="7"/>
      <c r="AZ1196" s="7"/>
      <c r="BA1196" s="7"/>
      <c r="BB1196" s="7"/>
      <c r="BC1196" s="7"/>
      <c r="BD1196" s="7"/>
      <c r="BE1196" s="7"/>
      <c r="BF1196" s="7"/>
      <c r="BG1196" s="7"/>
      <c r="BH1196" s="7"/>
      <c r="BI1196" s="7"/>
      <c r="BJ1196" s="7"/>
      <c r="BK1196" s="7"/>
    </row>
    <row r="1197" ht="22.5" customHeight="1">
      <c r="A1197" s="4">
        <v>46229.705829513885</v>
      </c>
      <c r="B1197" s="5">
        <v>0.0</v>
      </c>
      <c r="C1197" s="6" t="s">
        <v>114</v>
      </c>
      <c r="D1197" s="6" t="s">
        <v>1345</v>
      </c>
      <c r="E1197" s="6" t="s">
        <v>2419</v>
      </c>
      <c r="F1197" s="6">
        <v>6.907050946E10</v>
      </c>
      <c r="G1197" s="6" t="s">
        <v>122</v>
      </c>
      <c r="H1197" s="7"/>
      <c r="I1197" s="6" t="s">
        <v>11546</v>
      </c>
      <c r="J1197" s="6" t="s">
        <v>11547</v>
      </c>
      <c r="K1197" s="6" t="s">
        <v>11548</v>
      </c>
      <c r="L1197" s="6" t="s">
        <v>11549</v>
      </c>
      <c r="M1197" s="6" t="s">
        <v>11550</v>
      </c>
      <c r="N1197" s="7"/>
      <c r="O1197" s="6" t="s">
        <v>11551</v>
      </c>
      <c r="P1197" s="6" t="s">
        <v>11552</v>
      </c>
      <c r="Q1197" s="6" t="s">
        <v>11553</v>
      </c>
      <c r="R1197" s="6" t="s">
        <v>246</v>
      </c>
      <c r="S1197" s="6" t="s">
        <v>147</v>
      </c>
      <c r="T1197" s="6" t="s">
        <v>250</v>
      </c>
      <c r="U1197" s="6" t="s">
        <v>560</v>
      </c>
      <c r="V1197" s="6" t="s">
        <v>246</v>
      </c>
      <c r="W1197" s="6" t="s">
        <v>158</v>
      </c>
      <c r="X1197" s="6" t="s">
        <v>257</v>
      </c>
      <c r="Y1197" s="6" t="s">
        <v>162</v>
      </c>
      <c r="Z1197" s="6" t="s">
        <v>165</v>
      </c>
      <c r="AA1197" s="6" t="s">
        <v>262</v>
      </c>
      <c r="AB1197" s="6" t="s">
        <v>171</v>
      </c>
      <c r="AC1197" s="6" t="s">
        <v>174</v>
      </c>
      <c r="AD1197" s="6" t="s">
        <v>175</v>
      </c>
      <c r="AE1197" s="6" t="s">
        <v>271</v>
      </c>
      <c r="AF1197" s="6" t="s">
        <v>181</v>
      </c>
      <c r="AG1197" s="6" t="s">
        <v>182</v>
      </c>
      <c r="AH1197" s="7"/>
      <c r="AI1197" s="7"/>
      <c r="AJ1197" s="7"/>
      <c r="AK1197" s="7"/>
      <c r="AL1197" s="7"/>
      <c r="AM1197" s="7"/>
      <c r="AN1197" s="7"/>
      <c r="AO1197" s="7"/>
      <c r="AP1197" s="7"/>
      <c r="AQ1197" s="7"/>
      <c r="AR1197" s="7"/>
      <c r="AS1197" s="7"/>
      <c r="AT1197" s="7"/>
      <c r="AU1197" s="7"/>
      <c r="AV1197" s="7"/>
      <c r="AW1197" s="7"/>
      <c r="AX1197" s="7"/>
      <c r="AY1197" s="7"/>
      <c r="AZ1197" s="7"/>
      <c r="BA1197" s="7"/>
      <c r="BB1197" s="7"/>
      <c r="BC1197" s="7"/>
      <c r="BD1197" s="7"/>
      <c r="BE1197" s="7"/>
      <c r="BF1197" s="7"/>
      <c r="BG1197" s="7"/>
      <c r="BH1197" s="7"/>
      <c r="BI1197" s="7"/>
      <c r="BJ1197" s="7"/>
      <c r="BK1197" s="7"/>
    </row>
    <row r="1198" ht="22.5" customHeight="1">
      <c r="A1198" s="4">
        <v>46229.705902800924</v>
      </c>
      <c r="B1198" s="5">
        <v>0.0</v>
      </c>
      <c r="C1198" s="6" t="s">
        <v>3296</v>
      </c>
      <c r="D1198" s="7"/>
      <c r="E1198" s="7"/>
      <c r="F1198" s="7"/>
      <c r="G1198" s="7"/>
      <c r="H1198" s="7"/>
      <c r="I1198" s="7"/>
      <c r="J1198" s="7"/>
      <c r="K1198" s="7"/>
      <c r="L1198" s="7"/>
      <c r="M1198" s="7"/>
      <c r="N1198" s="7"/>
      <c r="O1198" s="7"/>
      <c r="P1198" s="7"/>
      <c r="Q1198" s="7"/>
      <c r="R1198" s="7"/>
      <c r="S1198" s="7"/>
      <c r="T1198" s="7"/>
      <c r="U1198" s="7"/>
      <c r="V1198" s="7"/>
      <c r="W1198" s="7"/>
      <c r="X1198" s="7"/>
      <c r="Y1198" s="7"/>
      <c r="Z1198" s="7"/>
      <c r="AA1198" s="7"/>
      <c r="AB1198" s="7"/>
      <c r="AC1198" s="7"/>
      <c r="AD1198" s="7"/>
      <c r="AE1198" s="7"/>
      <c r="AF1198" s="7"/>
      <c r="AG1198" s="7"/>
      <c r="AH1198" s="6" t="s">
        <v>2672</v>
      </c>
      <c r="AI1198" s="6" t="s">
        <v>2925</v>
      </c>
      <c r="AJ1198" s="6">
        <v>6.9070503253E10</v>
      </c>
      <c r="AK1198" s="6" t="s">
        <v>9323</v>
      </c>
      <c r="AL1198" s="6" t="s">
        <v>11554</v>
      </c>
      <c r="AM1198" s="6" t="s">
        <v>11555</v>
      </c>
      <c r="AN1198" s="6" t="s">
        <v>11556</v>
      </c>
      <c r="AO1198" s="6" t="s">
        <v>11557</v>
      </c>
      <c r="AP1198" s="6" t="s">
        <v>11558</v>
      </c>
      <c r="AQ1198" s="6" t="s">
        <v>11559</v>
      </c>
      <c r="AR1198" s="6" t="s">
        <v>11560</v>
      </c>
      <c r="AS1198" s="6" t="s">
        <v>11561</v>
      </c>
      <c r="AT1198" s="6" t="s">
        <v>11562</v>
      </c>
      <c r="AU1198" s="6" t="s">
        <v>11563</v>
      </c>
      <c r="AV1198" s="6" t="s">
        <v>3312</v>
      </c>
      <c r="AW1198" s="6" t="s">
        <v>3307</v>
      </c>
      <c r="AX1198" s="6" t="s">
        <v>3887</v>
      </c>
      <c r="AY1198" s="6" t="s">
        <v>804</v>
      </c>
      <c r="AZ1198" s="6" t="s">
        <v>3306</v>
      </c>
      <c r="BA1198" s="6" t="s">
        <v>3311</v>
      </c>
      <c r="BB1198" s="6" t="s">
        <v>3312</v>
      </c>
      <c r="BC1198" s="6" t="s">
        <v>3313</v>
      </c>
      <c r="BD1198" s="6" t="s">
        <v>152</v>
      </c>
      <c r="BE1198" s="6" t="s">
        <v>3888</v>
      </c>
      <c r="BF1198" s="6" t="s">
        <v>3315</v>
      </c>
      <c r="BG1198" s="6" t="s">
        <v>5760</v>
      </c>
      <c r="BH1198" s="6" t="s">
        <v>5246</v>
      </c>
      <c r="BI1198" s="6" t="s">
        <v>3105</v>
      </c>
      <c r="BJ1198" s="6" t="s">
        <v>3318</v>
      </c>
      <c r="BK1198" s="6" t="s">
        <v>7178</v>
      </c>
    </row>
    <row r="1199" ht="22.5" customHeight="1">
      <c r="A1199" s="4">
        <v>46229.7059037037</v>
      </c>
      <c r="B1199" s="5">
        <v>0.0</v>
      </c>
      <c r="C1199" s="6" t="s">
        <v>3296</v>
      </c>
      <c r="D1199" s="7"/>
      <c r="E1199" s="7"/>
      <c r="F1199" s="7"/>
      <c r="G1199" s="7"/>
      <c r="H1199" s="7"/>
      <c r="I1199" s="7"/>
      <c r="J1199" s="7"/>
      <c r="K1199" s="7"/>
      <c r="L1199" s="7"/>
      <c r="M1199" s="7"/>
      <c r="N1199" s="7"/>
      <c r="O1199" s="7"/>
      <c r="P1199" s="7"/>
      <c r="Q1199" s="7"/>
      <c r="R1199" s="7"/>
      <c r="S1199" s="7"/>
      <c r="T1199" s="7"/>
      <c r="U1199" s="7"/>
      <c r="V1199" s="7"/>
      <c r="W1199" s="7"/>
      <c r="X1199" s="7"/>
      <c r="Y1199" s="7"/>
      <c r="Z1199" s="7"/>
      <c r="AA1199" s="7"/>
      <c r="AB1199" s="7"/>
      <c r="AC1199" s="7"/>
      <c r="AD1199" s="7"/>
      <c r="AE1199" s="7"/>
      <c r="AF1199" s="7"/>
      <c r="AG1199" s="7"/>
      <c r="AH1199" s="6" t="s">
        <v>2926</v>
      </c>
      <c r="AI1199" s="6" t="s">
        <v>2927</v>
      </c>
      <c r="AJ1199" s="6">
        <v>6.9070503279E10</v>
      </c>
      <c r="AK1199" s="6" t="s">
        <v>9323</v>
      </c>
      <c r="AL1199" s="6" t="s">
        <v>11564</v>
      </c>
      <c r="AM1199" s="6" t="s">
        <v>11565</v>
      </c>
      <c r="AN1199" s="6" t="s">
        <v>11566</v>
      </c>
      <c r="AO1199" s="6" t="s">
        <v>11567</v>
      </c>
      <c r="AP1199" s="6" t="s">
        <v>11568</v>
      </c>
      <c r="AQ1199" s="6" t="s">
        <v>11569</v>
      </c>
      <c r="AR1199" s="6" t="s">
        <v>11570</v>
      </c>
      <c r="AS1199" s="6" t="s">
        <v>11571</v>
      </c>
      <c r="AT1199" s="6" t="s">
        <v>11572</v>
      </c>
      <c r="AU1199" s="6" t="s">
        <v>11573</v>
      </c>
      <c r="AV1199" s="6" t="s">
        <v>3306</v>
      </c>
      <c r="AW1199" s="6" t="s">
        <v>3307</v>
      </c>
      <c r="AX1199" s="6" t="s">
        <v>3887</v>
      </c>
      <c r="AY1199" s="6" t="s">
        <v>804</v>
      </c>
      <c r="AZ1199" s="6" t="s">
        <v>3306</v>
      </c>
      <c r="BA1199" s="6" t="s">
        <v>3311</v>
      </c>
      <c r="BB1199" s="6" t="s">
        <v>3312</v>
      </c>
      <c r="BC1199" s="6" t="s">
        <v>8802</v>
      </c>
      <c r="BD1199" s="6" t="s">
        <v>152</v>
      </c>
      <c r="BE1199" s="6" t="s">
        <v>3888</v>
      </c>
      <c r="BF1199" s="6" t="s">
        <v>3315</v>
      </c>
      <c r="BG1199" s="6" t="s">
        <v>4694</v>
      </c>
      <c r="BH1199" s="6" t="s">
        <v>5246</v>
      </c>
      <c r="BI1199" s="6" t="s">
        <v>3105</v>
      </c>
      <c r="BJ1199" s="6" t="s">
        <v>3318</v>
      </c>
      <c r="BK1199" s="6" t="s">
        <v>4695</v>
      </c>
    </row>
    <row r="1200" ht="22.5" customHeight="1">
      <c r="A1200" s="4">
        <v>46229.70593315973</v>
      </c>
      <c r="B1200" s="5">
        <v>0.0</v>
      </c>
      <c r="C1200" s="6" t="s">
        <v>3296</v>
      </c>
      <c r="D1200" s="7"/>
      <c r="E1200" s="7"/>
      <c r="F1200" s="7"/>
      <c r="G1200" s="7"/>
      <c r="H1200" s="7"/>
      <c r="I1200" s="7"/>
      <c r="J1200" s="7"/>
      <c r="K1200" s="7"/>
      <c r="L1200" s="7"/>
      <c r="M1200" s="7"/>
      <c r="N1200" s="7"/>
      <c r="O1200" s="7"/>
      <c r="P1200" s="7"/>
      <c r="Q1200" s="7"/>
      <c r="R1200" s="7"/>
      <c r="S1200" s="7"/>
      <c r="T1200" s="7"/>
      <c r="U1200" s="7"/>
      <c r="V1200" s="7"/>
      <c r="W1200" s="7"/>
      <c r="X1200" s="7"/>
      <c r="Y1200" s="7"/>
      <c r="Z1200" s="7"/>
      <c r="AA1200" s="7"/>
      <c r="AB1200" s="7"/>
      <c r="AC1200" s="7"/>
      <c r="AD1200" s="7"/>
      <c r="AE1200" s="7"/>
      <c r="AF1200" s="7"/>
      <c r="AG1200" s="7"/>
      <c r="AH1200" s="6" t="s">
        <v>2928</v>
      </c>
      <c r="AI1200" s="6" t="s">
        <v>2929</v>
      </c>
      <c r="AJ1200" s="6">
        <v>6.907050905E10</v>
      </c>
      <c r="AK1200" s="6" t="s">
        <v>5042</v>
      </c>
      <c r="AL1200" s="7"/>
      <c r="AM1200" s="6" t="s">
        <v>11574</v>
      </c>
      <c r="AN1200" s="6" t="s">
        <v>11575</v>
      </c>
      <c r="AO1200" s="6" t="s">
        <v>11576</v>
      </c>
      <c r="AP1200" s="6" t="s">
        <v>11577</v>
      </c>
      <c r="AQ1200" s="6" t="s">
        <v>11578</v>
      </c>
      <c r="AR1200" s="6" t="s">
        <v>11579</v>
      </c>
      <c r="AS1200" s="6" t="s">
        <v>11580</v>
      </c>
      <c r="AT1200" s="6" t="s">
        <v>11581</v>
      </c>
      <c r="AU1200" s="6" t="s">
        <v>11582</v>
      </c>
      <c r="AV1200" s="6" t="s">
        <v>3306</v>
      </c>
      <c r="AW1200" s="6" t="s">
        <v>3307</v>
      </c>
      <c r="AX1200" s="6" t="s">
        <v>3887</v>
      </c>
      <c r="AY1200" s="6" t="s">
        <v>4067</v>
      </c>
      <c r="AZ1200" s="6" t="s">
        <v>3306</v>
      </c>
      <c r="BA1200" s="6" t="s">
        <v>3311</v>
      </c>
      <c r="BB1200" s="6" t="s">
        <v>3312</v>
      </c>
      <c r="BC1200" s="6" t="s">
        <v>3313</v>
      </c>
      <c r="BD1200" s="6" t="s">
        <v>165</v>
      </c>
      <c r="BE1200" s="6" t="s">
        <v>5761</v>
      </c>
      <c r="BF1200" s="6" t="s">
        <v>3315</v>
      </c>
      <c r="BG1200" s="6" t="s">
        <v>4342</v>
      </c>
      <c r="BH1200" s="6" t="s">
        <v>5246</v>
      </c>
      <c r="BI1200" s="6" t="s">
        <v>271</v>
      </c>
      <c r="BJ1200" s="6" t="s">
        <v>4068</v>
      </c>
      <c r="BK1200" s="6" t="s">
        <v>4695</v>
      </c>
    </row>
    <row r="1201" ht="22.5" customHeight="1">
      <c r="A1201" s="4">
        <v>46229.70594042824</v>
      </c>
      <c r="B1201" s="5">
        <v>0.0</v>
      </c>
      <c r="C1201" s="6" t="s">
        <v>3296</v>
      </c>
      <c r="D1201" s="7"/>
      <c r="E1201" s="7"/>
      <c r="F1201" s="7"/>
      <c r="G1201" s="7"/>
      <c r="H1201" s="7"/>
      <c r="I1201" s="7"/>
      <c r="J1201" s="7"/>
      <c r="K1201" s="7"/>
      <c r="L1201" s="7"/>
      <c r="M1201" s="7"/>
      <c r="N1201" s="7"/>
      <c r="O1201" s="7"/>
      <c r="P1201" s="7"/>
      <c r="Q1201" s="7"/>
      <c r="R1201" s="7"/>
      <c r="S1201" s="7"/>
      <c r="T1201" s="7"/>
      <c r="U1201" s="7"/>
      <c r="V1201" s="7"/>
      <c r="W1201" s="7"/>
      <c r="X1201" s="7"/>
      <c r="Y1201" s="7"/>
      <c r="Z1201" s="7"/>
      <c r="AA1201" s="7"/>
      <c r="AB1201" s="7"/>
      <c r="AC1201" s="7"/>
      <c r="AD1201" s="7"/>
      <c r="AE1201" s="7"/>
      <c r="AF1201" s="7"/>
      <c r="AG1201" s="7"/>
      <c r="AH1201" s="6" t="s">
        <v>11583</v>
      </c>
      <c r="AI1201" s="6" t="s">
        <v>11584</v>
      </c>
      <c r="AJ1201" s="6">
        <v>6.9070508628E10</v>
      </c>
      <c r="AK1201" s="6" t="s">
        <v>9716</v>
      </c>
      <c r="AL1201" s="7"/>
      <c r="AM1201" s="6" t="s">
        <v>11585</v>
      </c>
      <c r="AN1201" s="6" t="s">
        <v>11586</v>
      </c>
      <c r="AO1201" s="6" t="s">
        <v>11587</v>
      </c>
      <c r="AP1201" s="6" t="s">
        <v>11588</v>
      </c>
      <c r="AQ1201" s="6" t="s">
        <v>11589</v>
      </c>
      <c r="AR1201" s="7"/>
      <c r="AS1201" s="6" t="s">
        <v>11590</v>
      </c>
      <c r="AT1201" s="6" t="s">
        <v>11591</v>
      </c>
      <c r="AU1201" s="6" t="s">
        <v>11592</v>
      </c>
      <c r="AV1201" s="6" t="s">
        <v>3306</v>
      </c>
      <c r="AW1201" s="6" t="s">
        <v>3307</v>
      </c>
      <c r="AX1201" s="6" t="s">
        <v>3887</v>
      </c>
      <c r="AY1201" s="6" t="s">
        <v>152</v>
      </c>
      <c r="AZ1201" s="6" t="s">
        <v>3306</v>
      </c>
      <c r="BA1201" s="6" t="s">
        <v>3311</v>
      </c>
      <c r="BB1201" s="6" t="s">
        <v>4693</v>
      </c>
      <c r="BC1201" s="6" t="s">
        <v>3313</v>
      </c>
      <c r="BD1201" s="6" t="s">
        <v>165</v>
      </c>
      <c r="BE1201" s="6" t="s">
        <v>3888</v>
      </c>
      <c r="BF1201" s="6" t="s">
        <v>3315</v>
      </c>
      <c r="BG1201" s="6" t="s">
        <v>3316</v>
      </c>
      <c r="BH1201" s="6" t="s">
        <v>3317</v>
      </c>
      <c r="BI1201" s="6" t="s">
        <v>271</v>
      </c>
      <c r="BJ1201" s="6" t="s">
        <v>3318</v>
      </c>
      <c r="BK1201" s="6" t="s">
        <v>4695</v>
      </c>
    </row>
    <row r="1202" ht="22.5" customHeight="1">
      <c r="A1202" s="4">
        <v>46229.705958923616</v>
      </c>
      <c r="B1202" s="5">
        <v>0.0</v>
      </c>
      <c r="C1202" s="6" t="s">
        <v>3296</v>
      </c>
      <c r="D1202" s="7"/>
      <c r="E1202" s="7"/>
      <c r="F1202" s="7"/>
      <c r="G1202" s="7"/>
      <c r="H1202" s="7"/>
      <c r="I1202" s="7"/>
      <c r="J1202" s="7"/>
      <c r="K1202" s="7"/>
      <c r="L1202" s="7"/>
      <c r="M1202" s="7"/>
      <c r="N1202" s="7"/>
      <c r="O1202" s="7"/>
      <c r="P1202" s="7"/>
      <c r="Q1202" s="7"/>
      <c r="R1202" s="7"/>
      <c r="S1202" s="7"/>
      <c r="T1202" s="7"/>
      <c r="U1202" s="7"/>
      <c r="V1202" s="7"/>
      <c r="W1202" s="7"/>
      <c r="X1202" s="7"/>
      <c r="Y1202" s="7"/>
      <c r="Z1202" s="7"/>
      <c r="AA1202" s="7"/>
      <c r="AB1202" s="7"/>
      <c r="AC1202" s="7"/>
      <c r="AD1202" s="7"/>
      <c r="AE1202" s="7"/>
      <c r="AF1202" s="7"/>
      <c r="AG1202" s="7"/>
      <c r="AH1202" s="6" t="s">
        <v>2801</v>
      </c>
      <c r="AI1202" s="6" t="s">
        <v>2930</v>
      </c>
      <c r="AJ1202" s="6">
        <v>6.9070503215E10</v>
      </c>
      <c r="AK1202" s="6" t="s">
        <v>9323</v>
      </c>
      <c r="AL1202" s="7"/>
      <c r="AM1202" s="6" t="s">
        <v>11593</v>
      </c>
      <c r="AN1202" s="6" t="s">
        <v>11594</v>
      </c>
      <c r="AO1202" s="6" t="s">
        <v>11595</v>
      </c>
      <c r="AP1202" s="6" t="s">
        <v>11596</v>
      </c>
      <c r="AQ1202" s="6" t="s">
        <v>11597</v>
      </c>
      <c r="AR1202" s="7"/>
      <c r="AS1202" s="6" t="s">
        <v>11598</v>
      </c>
      <c r="AT1202" s="6" t="s">
        <v>11599</v>
      </c>
      <c r="AU1202" s="6" t="s">
        <v>11600</v>
      </c>
      <c r="AV1202" s="6" t="s">
        <v>3312</v>
      </c>
      <c r="AW1202" s="6" t="s">
        <v>3307</v>
      </c>
      <c r="AX1202" s="6" t="s">
        <v>3308</v>
      </c>
      <c r="AY1202" s="6" t="s">
        <v>152</v>
      </c>
      <c r="AZ1202" s="6" t="s">
        <v>3310</v>
      </c>
      <c r="BA1202" s="6" t="s">
        <v>3311</v>
      </c>
      <c r="BB1202" s="6" t="s">
        <v>4693</v>
      </c>
      <c r="BC1202" s="6" t="s">
        <v>3313</v>
      </c>
      <c r="BD1202" s="6" t="s">
        <v>165</v>
      </c>
      <c r="BE1202" s="6" t="s">
        <v>3888</v>
      </c>
      <c r="BF1202" s="6" t="s">
        <v>3889</v>
      </c>
      <c r="BG1202" s="6" t="s">
        <v>5760</v>
      </c>
      <c r="BH1202" s="6" t="s">
        <v>3317</v>
      </c>
      <c r="BI1202" s="6" t="s">
        <v>271</v>
      </c>
      <c r="BJ1202" s="6" t="s">
        <v>3318</v>
      </c>
      <c r="BK1202" s="6" t="s">
        <v>3319</v>
      </c>
    </row>
    <row r="1203" ht="22.5" customHeight="1">
      <c r="A1203" s="4">
        <v>46229.70600519676</v>
      </c>
      <c r="B1203" s="5">
        <v>0.0</v>
      </c>
      <c r="C1203" s="6" t="s">
        <v>114</v>
      </c>
      <c r="D1203" s="6" t="s">
        <v>2420</v>
      </c>
      <c r="E1203" s="6" t="s">
        <v>2421</v>
      </c>
      <c r="F1203" s="6">
        <v>6.9070508831E10</v>
      </c>
      <c r="G1203" s="6" t="s">
        <v>5399</v>
      </c>
      <c r="H1203" s="7"/>
      <c r="I1203" s="6" t="s">
        <v>11601</v>
      </c>
      <c r="J1203" s="6" t="s">
        <v>11602</v>
      </c>
      <c r="K1203" s="6" t="s">
        <v>11603</v>
      </c>
      <c r="L1203" s="6" t="s">
        <v>11604</v>
      </c>
      <c r="M1203" s="6" t="s">
        <v>11605</v>
      </c>
      <c r="N1203" s="7"/>
      <c r="O1203" s="6" t="s">
        <v>11606</v>
      </c>
      <c r="P1203" s="6" t="s">
        <v>11607</v>
      </c>
      <c r="Q1203" s="6" t="s">
        <v>11608</v>
      </c>
      <c r="R1203" s="6" t="s">
        <v>246</v>
      </c>
      <c r="S1203" s="6" t="s">
        <v>147</v>
      </c>
      <c r="T1203" s="6" t="s">
        <v>250</v>
      </c>
      <c r="U1203" s="6" t="s">
        <v>560</v>
      </c>
      <c r="V1203" s="6" t="s">
        <v>246</v>
      </c>
      <c r="W1203" s="6" t="s">
        <v>158</v>
      </c>
      <c r="X1203" s="6" t="s">
        <v>257</v>
      </c>
      <c r="Y1203" s="6" t="s">
        <v>162</v>
      </c>
      <c r="Z1203" s="6" t="s">
        <v>165</v>
      </c>
      <c r="AA1203" s="6" t="s">
        <v>262</v>
      </c>
      <c r="AB1203" s="6" t="s">
        <v>171</v>
      </c>
      <c r="AC1203" s="6" t="s">
        <v>174</v>
      </c>
      <c r="AD1203" s="6" t="s">
        <v>175</v>
      </c>
      <c r="AE1203" s="6" t="s">
        <v>271</v>
      </c>
      <c r="AF1203" s="6" t="s">
        <v>181</v>
      </c>
      <c r="AG1203" s="6" t="s">
        <v>182</v>
      </c>
      <c r="AH1203" s="7"/>
      <c r="AI1203" s="7"/>
      <c r="AJ1203" s="7"/>
      <c r="AK1203" s="7"/>
      <c r="AL1203" s="7"/>
      <c r="AM1203" s="7"/>
      <c r="AN1203" s="7"/>
      <c r="AO1203" s="7"/>
      <c r="AP1203" s="7"/>
      <c r="AQ1203" s="7"/>
      <c r="AR1203" s="7"/>
      <c r="AS1203" s="7"/>
      <c r="AT1203" s="7"/>
      <c r="AU1203" s="7"/>
      <c r="AV1203" s="7"/>
      <c r="AW1203" s="7"/>
      <c r="AX1203" s="7"/>
      <c r="AY1203" s="7"/>
      <c r="AZ1203" s="7"/>
      <c r="BA1203" s="7"/>
      <c r="BB1203" s="7"/>
      <c r="BC1203" s="7"/>
      <c r="BD1203" s="7"/>
      <c r="BE1203" s="7"/>
      <c r="BF1203" s="7"/>
      <c r="BG1203" s="7"/>
      <c r="BH1203" s="7"/>
      <c r="BI1203" s="7"/>
      <c r="BJ1203" s="7"/>
      <c r="BK1203" s="7"/>
    </row>
    <row r="1204" ht="22.5" customHeight="1">
      <c r="A1204" s="4">
        <v>46229.70600798611</v>
      </c>
      <c r="B1204" s="5">
        <v>0.0</v>
      </c>
      <c r="C1204" s="6" t="s">
        <v>114</v>
      </c>
      <c r="D1204" s="6" t="s">
        <v>2422</v>
      </c>
      <c r="E1204" s="6" t="s">
        <v>2423</v>
      </c>
      <c r="F1204" s="6">
        <v>6.9070508834E10</v>
      </c>
      <c r="G1204" s="6" t="s">
        <v>5399</v>
      </c>
      <c r="H1204" s="7"/>
      <c r="I1204" s="6" t="s">
        <v>11609</v>
      </c>
      <c r="J1204" s="6" t="s">
        <v>11610</v>
      </c>
      <c r="K1204" s="6" t="s">
        <v>11611</v>
      </c>
      <c r="L1204" s="6" t="s">
        <v>11612</v>
      </c>
      <c r="M1204" s="6" t="s">
        <v>11613</v>
      </c>
      <c r="N1204" s="6" t="s">
        <v>11614</v>
      </c>
      <c r="O1204" s="6" t="s">
        <v>11615</v>
      </c>
      <c r="P1204" s="6" t="s">
        <v>11616</v>
      </c>
      <c r="Q1204" s="6" t="s">
        <v>11617</v>
      </c>
      <c r="R1204" s="6" t="s">
        <v>246</v>
      </c>
      <c r="S1204" s="6" t="s">
        <v>147</v>
      </c>
      <c r="T1204" s="6" t="s">
        <v>250</v>
      </c>
      <c r="U1204" s="6" t="s">
        <v>686</v>
      </c>
      <c r="V1204" s="6" t="s">
        <v>246</v>
      </c>
      <c r="W1204" s="6" t="s">
        <v>158</v>
      </c>
      <c r="X1204" s="6" t="s">
        <v>257</v>
      </c>
      <c r="Y1204" s="6" t="s">
        <v>162</v>
      </c>
      <c r="Z1204" s="6" t="s">
        <v>165</v>
      </c>
      <c r="AA1204" s="6" t="s">
        <v>262</v>
      </c>
      <c r="AB1204" s="6" t="s">
        <v>171</v>
      </c>
      <c r="AC1204" s="6" t="s">
        <v>174</v>
      </c>
      <c r="AD1204" s="6" t="s">
        <v>175</v>
      </c>
      <c r="AE1204" s="6" t="s">
        <v>271</v>
      </c>
      <c r="AF1204" s="6" t="s">
        <v>181</v>
      </c>
      <c r="AG1204" s="6" t="s">
        <v>182</v>
      </c>
      <c r="AH1204" s="7"/>
      <c r="AI1204" s="7"/>
      <c r="AJ1204" s="7"/>
      <c r="AK1204" s="7"/>
      <c r="AL1204" s="7"/>
      <c r="AM1204" s="7"/>
      <c r="AN1204" s="7"/>
      <c r="AO1204" s="7"/>
      <c r="AP1204" s="7"/>
      <c r="AQ1204" s="7"/>
      <c r="AR1204" s="7"/>
      <c r="AS1204" s="7"/>
      <c r="AT1204" s="7"/>
      <c r="AU1204" s="7"/>
      <c r="AV1204" s="7"/>
      <c r="AW1204" s="7"/>
      <c r="AX1204" s="7"/>
      <c r="AY1204" s="7"/>
      <c r="AZ1204" s="7"/>
      <c r="BA1204" s="7"/>
      <c r="BB1204" s="7"/>
      <c r="BC1204" s="7"/>
      <c r="BD1204" s="7"/>
      <c r="BE1204" s="7"/>
      <c r="BF1204" s="7"/>
      <c r="BG1204" s="7"/>
      <c r="BH1204" s="7"/>
      <c r="BI1204" s="7"/>
      <c r="BJ1204" s="7"/>
      <c r="BK1204" s="7"/>
    </row>
    <row r="1205" ht="22.5" customHeight="1">
      <c r="A1205" s="4">
        <v>46229.70602912037</v>
      </c>
      <c r="B1205" s="5">
        <v>0.0</v>
      </c>
      <c r="C1205" s="6" t="s">
        <v>3296</v>
      </c>
      <c r="D1205" s="7"/>
      <c r="E1205" s="7"/>
      <c r="F1205" s="7"/>
      <c r="G1205" s="7"/>
      <c r="H1205" s="7"/>
      <c r="I1205" s="7"/>
      <c r="J1205" s="7"/>
      <c r="K1205" s="7"/>
      <c r="L1205" s="7"/>
      <c r="M1205" s="7"/>
      <c r="N1205" s="7"/>
      <c r="O1205" s="7"/>
      <c r="P1205" s="7"/>
      <c r="Q1205" s="7"/>
      <c r="R1205" s="7"/>
      <c r="S1205" s="7"/>
      <c r="T1205" s="7"/>
      <c r="U1205" s="7"/>
      <c r="V1205" s="7"/>
      <c r="W1205" s="7"/>
      <c r="X1205" s="7"/>
      <c r="Y1205" s="7"/>
      <c r="Z1205" s="7"/>
      <c r="AA1205" s="7"/>
      <c r="AB1205" s="7"/>
      <c r="AC1205" s="7"/>
      <c r="AD1205" s="7"/>
      <c r="AE1205" s="7"/>
      <c r="AF1205" s="7"/>
      <c r="AG1205" s="7"/>
      <c r="AH1205" s="6" t="s">
        <v>2931</v>
      </c>
      <c r="AI1205" s="6" t="s">
        <v>2932</v>
      </c>
      <c r="AJ1205" s="6">
        <v>6.9070504043E10</v>
      </c>
      <c r="AK1205" s="6" t="s">
        <v>4331</v>
      </c>
      <c r="AL1205" s="7"/>
      <c r="AM1205" s="6" t="s">
        <v>11618</v>
      </c>
      <c r="AN1205" s="6" t="s">
        <v>11619</v>
      </c>
      <c r="AO1205" s="6" t="s">
        <v>11620</v>
      </c>
      <c r="AP1205" s="6" t="s">
        <v>11621</v>
      </c>
      <c r="AQ1205" s="6" t="s">
        <v>11622</v>
      </c>
      <c r="AR1205" s="7"/>
      <c r="AS1205" s="6" t="s">
        <v>11623</v>
      </c>
      <c r="AT1205" s="6" t="s">
        <v>11624</v>
      </c>
      <c r="AU1205" s="6" t="s">
        <v>11625</v>
      </c>
      <c r="AV1205" s="6" t="s">
        <v>3306</v>
      </c>
      <c r="AW1205" s="6" t="s">
        <v>3307</v>
      </c>
      <c r="AX1205" s="6" t="s">
        <v>3887</v>
      </c>
      <c r="AY1205" s="6" t="s">
        <v>3309</v>
      </c>
      <c r="AZ1205" s="6" t="s">
        <v>3306</v>
      </c>
      <c r="BA1205" s="6" t="s">
        <v>3311</v>
      </c>
      <c r="BB1205" s="6" t="s">
        <v>3312</v>
      </c>
      <c r="BC1205" s="6" t="s">
        <v>3313</v>
      </c>
      <c r="BD1205" s="6" t="s">
        <v>165</v>
      </c>
      <c r="BE1205" s="6" t="s">
        <v>3888</v>
      </c>
      <c r="BF1205" s="6" t="s">
        <v>3889</v>
      </c>
      <c r="BG1205" s="6" t="s">
        <v>4068</v>
      </c>
      <c r="BH1205" s="6" t="s">
        <v>3317</v>
      </c>
      <c r="BI1205" s="6" t="s">
        <v>271</v>
      </c>
      <c r="BJ1205" s="6" t="s">
        <v>5247</v>
      </c>
      <c r="BK1205" s="6" t="s">
        <v>3319</v>
      </c>
    </row>
    <row r="1206" ht="22.5" customHeight="1">
      <c r="A1206" s="4">
        <v>46229.70604416667</v>
      </c>
      <c r="B1206" s="5">
        <v>0.0</v>
      </c>
      <c r="C1206" s="6" t="s">
        <v>114</v>
      </c>
      <c r="D1206" s="6" t="s">
        <v>464</v>
      </c>
      <c r="E1206" s="6" t="s">
        <v>2424</v>
      </c>
      <c r="F1206" s="6">
        <v>6.9070500624E10</v>
      </c>
      <c r="G1206" s="6" t="s">
        <v>6140</v>
      </c>
      <c r="H1206" s="7"/>
      <c r="I1206" s="6" t="s">
        <v>11626</v>
      </c>
      <c r="J1206" s="6" t="s">
        <v>11627</v>
      </c>
      <c r="K1206" s="6" t="s">
        <v>11628</v>
      </c>
      <c r="L1206" s="6" t="s">
        <v>11629</v>
      </c>
      <c r="M1206" s="6" t="s">
        <v>10952</v>
      </c>
      <c r="N1206" s="7"/>
      <c r="O1206" s="6" t="s">
        <v>11630</v>
      </c>
      <c r="P1206" s="6" t="s">
        <v>11631</v>
      </c>
      <c r="Q1206" s="6" t="s">
        <v>11632</v>
      </c>
      <c r="R1206" s="6" t="s">
        <v>246</v>
      </c>
      <c r="S1206" s="6" t="s">
        <v>147</v>
      </c>
      <c r="T1206" s="6" t="s">
        <v>250</v>
      </c>
      <c r="U1206" s="6" t="s">
        <v>252</v>
      </c>
      <c r="V1206" s="6" t="s">
        <v>246</v>
      </c>
      <c r="W1206" s="6" t="s">
        <v>158</v>
      </c>
      <c r="X1206" s="6" t="s">
        <v>257</v>
      </c>
      <c r="Y1206" s="6" t="s">
        <v>162</v>
      </c>
      <c r="Z1206" s="6" t="s">
        <v>165</v>
      </c>
      <c r="AA1206" s="6" t="s">
        <v>262</v>
      </c>
      <c r="AB1206" s="6" t="s">
        <v>171</v>
      </c>
      <c r="AC1206" s="6" t="s">
        <v>174</v>
      </c>
      <c r="AD1206" s="6" t="s">
        <v>175</v>
      </c>
      <c r="AE1206" s="6" t="s">
        <v>271</v>
      </c>
      <c r="AF1206" s="6" t="s">
        <v>181</v>
      </c>
      <c r="AG1206" s="6" t="s">
        <v>182</v>
      </c>
      <c r="AH1206" s="7"/>
      <c r="AI1206" s="7"/>
      <c r="AJ1206" s="7"/>
      <c r="AK1206" s="7"/>
      <c r="AL1206" s="7"/>
      <c r="AM1206" s="7"/>
      <c r="AN1206" s="7"/>
      <c r="AO1206" s="7"/>
      <c r="AP1206" s="7"/>
      <c r="AQ1206" s="7"/>
      <c r="AR1206" s="7"/>
      <c r="AS1206" s="7"/>
      <c r="AT1206" s="7"/>
      <c r="AU1206" s="7"/>
      <c r="AV1206" s="7"/>
      <c r="AW1206" s="7"/>
      <c r="AX1206" s="7"/>
      <c r="AY1206" s="7"/>
      <c r="AZ1206" s="7"/>
      <c r="BA1206" s="7"/>
      <c r="BB1206" s="7"/>
      <c r="BC1206" s="7"/>
      <c r="BD1206" s="7"/>
      <c r="BE1206" s="7"/>
      <c r="BF1206" s="7"/>
      <c r="BG1206" s="7"/>
      <c r="BH1206" s="7"/>
      <c r="BI1206" s="7"/>
      <c r="BJ1206" s="7"/>
      <c r="BK1206" s="7"/>
    </row>
    <row r="1207" ht="22.5" customHeight="1">
      <c r="A1207" s="4">
        <v>46229.706053333335</v>
      </c>
      <c r="B1207" s="5">
        <v>0.0</v>
      </c>
      <c r="C1207" s="6" t="s">
        <v>114</v>
      </c>
      <c r="D1207" s="6" t="s">
        <v>2425</v>
      </c>
      <c r="E1207" s="6" t="s">
        <v>2426</v>
      </c>
      <c r="F1207" s="6">
        <v>6.9070500682E10</v>
      </c>
      <c r="G1207" s="6" t="s">
        <v>6140</v>
      </c>
      <c r="H1207" s="7"/>
      <c r="I1207" s="6" t="s">
        <v>6197</v>
      </c>
      <c r="J1207" s="6" t="s">
        <v>11633</v>
      </c>
      <c r="K1207" s="6" t="s">
        <v>11101</v>
      </c>
      <c r="L1207" s="6" t="s">
        <v>11100</v>
      </c>
      <c r="M1207" s="6" t="s">
        <v>10821</v>
      </c>
      <c r="N1207" s="6" t="s">
        <v>10301</v>
      </c>
      <c r="O1207" s="6" t="s">
        <v>11634</v>
      </c>
      <c r="P1207" s="6" t="s">
        <v>10927</v>
      </c>
      <c r="Q1207" s="6" t="s">
        <v>11635</v>
      </c>
      <c r="R1207" s="6" t="s">
        <v>246</v>
      </c>
      <c r="S1207" s="6" t="s">
        <v>147</v>
      </c>
      <c r="T1207" s="6" t="s">
        <v>250</v>
      </c>
      <c r="U1207" s="6" t="s">
        <v>686</v>
      </c>
      <c r="V1207" s="6" t="s">
        <v>246</v>
      </c>
      <c r="W1207" s="6" t="s">
        <v>158</v>
      </c>
      <c r="X1207" s="6" t="s">
        <v>257</v>
      </c>
      <c r="Y1207" s="6" t="s">
        <v>162</v>
      </c>
      <c r="Z1207" s="6" t="s">
        <v>165</v>
      </c>
      <c r="AA1207" s="6" t="s">
        <v>262</v>
      </c>
      <c r="AB1207" s="6" t="s">
        <v>171</v>
      </c>
      <c r="AC1207" s="6" t="s">
        <v>174</v>
      </c>
      <c r="AD1207" s="6" t="s">
        <v>175</v>
      </c>
      <c r="AE1207" s="6" t="s">
        <v>1211</v>
      </c>
      <c r="AF1207" s="6" t="s">
        <v>181</v>
      </c>
      <c r="AG1207" s="6" t="s">
        <v>182</v>
      </c>
      <c r="AH1207" s="7"/>
      <c r="AI1207" s="7"/>
      <c r="AJ1207" s="7"/>
      <c r="AK1207" s="7"/>
      <c r="AL1207" s="7"/>
      <c r="AM1207" s="7"/>
      <c r="AN1207" s="7"/>
      <c r="AO1207" s="7"/>
      <c r="AP1207" s="7"/>
      <c r="AQ1207" s="7"/>
      <c r="AR1207" s="7"/>
      <c r="AS1207" s="7"/>
      <c r="AT1207" s="7"/>
      <c r="AU1207" s="7"/>
      <c r="AV1207" s="7"/>
      <c r="AW1207" s="7"/>
      <c r="AX1207" s="7"/>
      <c r="AY1207" s="7"/>
      <c r="AZ1207" s="7"/>
      <c r="BA1207" s="7"/>
      <c r="BB1207" s="7"/>
      <c r="BC1207" s="7"/>
      <c r="BD1207" s="7"/>
      <c r="BE1207" s="7"/>
      <c r="BF1207" s="7"/>
      <c r="BG1207" s="7"/>
      <c r="BH1207" s="7"/>
      <c r="BI1207" s="7"/>
      <c r="BJ1207" s="7"/>
      <c r="BK1207" s="7"/>
    </row>
    <row r="1208" ht="22.5" customHeight="1">
      <c r="A1208" s="4">
        <v>46229.70613152778</v>
      </c>
      <c r="B1208" s="5">
        <v>0.0</v>
      </c>
      <c r="C1208" s="6" t="s">
        <v>3296</v>
      </c>
      <c r="D1208" s="7"/>
      <c r="E1208" s="7"/>
      <c r="F1208" s="7"/>
      <c r="G1208" s="7"/>
      <c r="H1208" s="7"/>
      <c r="I1208" s="7"/>
      <c r="J1208" s="7"/>
      <c r="K1208" s="7"/>
      <c r="L1208" s="7"/>
      <c r="M1208" s="7"/>
      <c r="N1208" s="7"/>
      <c r="O1208" s="7"/>
      <c r="P1208" s="7"/>
      <c r="Q1208" s="7"/>
      <c r="R1208" s="7"/>
      <c r="S1208" s="7"/>
      <c r="T1208" s="7"/>
      <c r="U1208" s="7"/>
      <c r="V1208" s="7"/>
      <c r="W1208" s="7"/>
      <c r="X1208" s="7"/>
      <c r="Y1208" s="7"/>
      <c r="Z1208" s="7"/>
      <c r="AA1208" s="7"/>
      <c r="AB1208" s="7"/>
      <c r="AC1208" s="7"/>
      <c r="AD1208" s="7"/>
      <c r="AE1208" s="7"/>
      <c r="AF1208" s="7"/>
      <c r="AG1208" s="7"/>
      <c r="AH1208" s="6" t="s">
        <v>2933</v>
      </c>
      <c r="AI1208" s="6" t="s">
        <v>2934</v>
      </c>
      <c r="AJ1208" s="6">
        <v>6.9070504011E10</v>
      </c>
      <c r="AK1208" s="6" t="s">
        <v>4331</v>
      </c>
      <c r="AL1208" s="7"/>
      <c r="AM1208" s="6" t="s">
        <v>11636</v>
      </c>
      <c r="AN1208" s="6" t="s">
        <v>11637</v>
      </c>
      <c r="AO1208" s="6" t="s">
        <v>11638</v>
      </c>
      <c r="AP1208" s="6" t="s">
        <v>11639</v>
      </c>
      <c r="AQ1208" s="6" t="s">
        <v>11640</v>
      </c>
      <c r="AR1208" s="7"/>
      <c r="AS1208" s="6" t="s">
        <v>11641</v>
      </c>
      <c r="AT1208" s="6" t="s">
        <v>11642</v>
      </c>
      <c r="AU1208" s="6" t="s">
        <v>11643</v>
      </c>
      <c r="AV1208" s="6" t="s">
        <v>3306</v>
      </c>
      <c r="AW1208" s="6" t="s">
        <v>3307</v>
      </c>
      <c r="AX1208" s="6" t="s">
        <v>3887</v>
      </c>
      <c r="AY1208" s="6" t="s">
        <v>3309</v>
      </c>
      <c r="AZ1208" s="6" t="s">
        <v>3887</v>
      </c>
      <c r="BA1208" s="6" t="s">
        <v>3311</v>
      </c>
      <c r="BB1208" s="6" t="s">
        <v>4693</v>
      </c>
      <c r="BC1208" s="6" t="s">
        <v>3313</v>
      </c>
      <c r="BD1208" s="6" t="s">
        <v>165</v>
      </c>
      <c r="BE1208" s="6" t="s">
        <v>3314</v>
      </c>
      <c r="BF1208" s="6" t="s">
        <v>3315</v>
      </c>
      <c r="BG1208" s="6" t="s">
        <v>4068</v>
      </c>
      <c r="BH1208" s="6" t="s">
        <v>5246</v>
      </c>
      <c r="BI1208" s="6" t="s">
        <v>271</v>
      </c>
      <c r="BJ1208" s="6" t="s">
        <v>3318</v>
      </c>
      <c r="BK1208" s="6" t="s">
        <v>3319</v>
      </c>
    </row>
    <row r="1209" ht="22.5" customHeight="1">
      <c r="A1209" s="4">
        <v>46229.70619849537</v>
      </c>
      <c r="B1209" s="5">
        <v>0.0</v>
      </c>
      <c r="C1209" s="6" t="s">
        <v>114</v>
      </c>
      <c r="D1209" s="6" t="s">
        <v>284</v>
      </c>
      <c r="E1209" s="6" t="s">
        <v>2427</v>
      </c>
      <c r="F1209" s="6">
        <v>6.9070509438E10</v>
      </c>
      <c r="G1209" s="6" t="s">
        <v>122</v>
      </c>
      <c r="H1209" s="6" t="s">
        <v>11644</v>
      </c>
      <c r="I1209" s="6" t="s">
        <v>11645</v>
      </c>
      <c r="J1209" s="6" t="s">
        <v>11646</v>
      </c>
      <c r="K1209" s="6" t="s">
        <v>11647</v>
      </c>
      <c r="L1209" s="6" t="s">
        <v>11648</v>
      </c>
      <c r="M1209" s="6" t="s">
        <v>7443</v>
      </c>
      <c r="N1209" s="6" t="s">
        <v>11549</v>
      </c>
      <c r="O1209" s="6" t="s">
        <v>11649</v>
      </c>
      <c r="P1209" s="6" t="s">
        <v>11650</v>
      </c>
      <c r="Q1209" s="6" t="s">
        <v>11651</v>
      </c>
      <c r="R1209" s="6" t="s">
        <v>246</v>
      </c>
      <c r="S1209" s="6" t="s">
        <v>147</v>
      </c>
      <c r="T1209" s="6" t="s">
        <v>250</v>
      </c>
      <c r="U1209" s="6" t="s">
        <v>560</v>
      </c>
      <c r="V1209" s="6" t="s">
        <v>246</v>
      </c>
      <c r="W1209" s="6" t="s">
        <v>158</v>
      </c>
      <c r="X1209" s="6" t="s">
        <v>257</v>
      </c>
      <c r="Y1209" s="6" t="s">
        <v>162</v>
      </c>
      <c r="Z1209" s="6" t="s">
        <v>165</v>
      </c>
      <c r="AA1209" s="6" t="s">
        <v>262</v>
      </c>
      <c r="AB1209" s="6" t="s">
        <v>171</v>
      </c>
      <c r="AC1209" s="6" t="s">
        <v>174</v>
      </c>
      <c r="AD1209" s="6" t="s">
        <v>175</v>
      </c>
      <c r="AE1209" s="6" t="s">
        <v>3105</v>
      </c>
      <c r="AF1209" s="6" t="s">
        <v>181</v>
      </c>
      <c r="AG1209" s="6" t="s">
        <v>182</v>
      </c>
      <c r="AH1209" s="7"/>
      <c r="AI1209" s="7"/>
      <c r="AJ1209" s="7"/>
      <c r="AK1209" s="7"/>
      <c r="AL1209" s="7"/>
      <c r="AM1209" s="7"/>
      <c r="AN1209" s="7"/>
      <c r="AO1209" s="7"/>
      <c r="AP1209" s="7"/>
      <c r="AQ1209" s="7"/>
      <c r="AR1209" s="7"/>
      <c r="AS1209" s="7"/>
      <c r="AT1209" s="7"/>
      <c r="AU1209" s="7"/>
      <c r="AV1209" s="7"/>
      <c r="AW1209" s="7"/>
      <c r="AX1209" s="7"/>
      <c r="AY1209" s="7"/>
      <c r="AZ1209" s="7"/>
      <c r="BA1209" s="7"/>
      <c r="BB1209" s="7"/>
      <c r="BC1209" s="7"/>
      <c r="BD1209" s="7"/>
      <c r="BE1209" s="7"/>
      <c r="BF1209" s="7"/>
      <c r="BG1209" s="7"/>
      <c r="BH1209" s="7"/>
      <c r="BI1209" s="7"/>
      <c r="BJ1209" s="7"/>
      <c r="BK1209" s="7"/>
    </row>
    <row r="1210" ht="22.5" customHeight="1">
      <c r="A1210" s="4">
        <v>46229.70622128472</v>
      </c>
      <c r="B1210" s="5">
        <v>0.0</v>
      </c>
      <c r="C1210" s="6" t="s">
        <v>3296</v>
      </c>
      <c r="D1210" s="7"/>
      <c r="E1210" s="7"/>
      <c r="F1210" s="7"/>
      <c r="G1210" s="7"/>
      <c r="H1210" s="7"/>
      <c r="I1210" s="7"/>
      <c r="J1210" s="7"/>
      <c r="K1210" s="7"/>
      <c r="L1210" s="7"/>
      <c r="M1210" s="7"/>
      <c r="N1210" s="7"/>
      <c r="O1210" s="7"/>
      <c r="P1210" s="7"/>
      <c r="Q1210" s="7"/>
      <c r="R1210" s="7"/>
      <c r="S1210" s="7"/>
      <c r="T1210" s="7"/>
      <c r="U1210" s="7"/>
      <c r="V1210" s="7"/>
      <c r="W1210" s="7"/>
      <c r="X1210" s="7"/>
      <c r="Y1210" s="7"/>
      <c r="Z1210" s="7"/>
      <c r="AA1210" s="7"/>
      <c r="AB1210" s="7"/>
      <c r="AC1210" s="7"/>
      <c r="AD1210" s="7"/>
      <c r="AE1210" s="7"/>
      <c r="AF1210" s="7"/>
      <c r="AG1210" s="7"/>
      <c r="AH1210" s="6" t="s">
        <v>2935</v>
      </c>
      <c r="AI1210" s="6" t="s">
        <v>2936</v>
      </c>
      <c r="AJ1210" s="6">
        <v>6.9070504003E10</v>
      </c>
      <c r="AK1210" s="6" t="s">
        <v>4331</v>
      </c>
      <c r="AL1210" s="6" t="s">
        <v>11652</v>
      </c>
      <c r="AM1210" s="6" t="s">
        <v>11653</v>
      </c>
      <c r="AN1210" s="6" t="s">
        <v>11654</v>
      </c>
      <c r="AO1210" s="6" t="s">
        <v>11655</v>
      </c>
      <c r="AP1210" s="6" t="s">
        <v>11656</v>
      </c>
      <c r="AQ1210" s="6" t="s">
        <v>11657</v>
      </c>
      <c r="AR1210" s="7"/>
      <c r="AS1210" s="6" t="s">
        <v>11658</v>
      </c>
      <c r="AT1210" s="6" t="s">
        <v>11659</v>
      </c>
      <c r="AU1210" s="6" t="s">
        <v>11660</v>
      </c>
      <c r="AV1210" s="6" t="s">
        <v>3306</v>
      </c>
      <c r="AW1210" s="6" t="s">
        <v>3307</v>
      </c>
      <c r="AX1210" s="6" t="s">
        <v>3887</v>
      </c>
      <c r="AY1210" s="6" t="s">
        <v>5759</v>
      </c>
      <c r="AZ1210" s="6" t="s">
        <v>3306</v>
      </c>
      <c r="BA1210" s="6" t="s">
        <v>3311</v>
      </c>
      <c r="BB1210" s="6" t="s">
        <v>4693</v>
      </c>
      <c r="BC1210" s="6" t="s">
        <v>3313</v>
      </c>
      <c r="BD1210" s="6" t="s">
        <v>165</v>
      </c>
      <c r="BE1210" s="6" t="s">
        <v>3888</v>
      </c>
      <c r="BF1210" s="6" t="s">
        <v>3889</v>
      </c>
      <c r="BG1210" s="6" t="s">
        <v>4068</v>
      </c>
      <c r="BH1210" s="6" t="s">
        <v>3317</v>
      </c>
      <c r="BI1210" s="6" t="s">
        <v>271</v>
      </c>
      <c r="BJ1210" s="6" t="s">
        <v>3318</v>
      </c>
      <c r="BK1210" s="6" t="s">
        <v>3319</v>
      </c>
    </row>
    <row r="1211" ht="22.5" customHeight="1">
      <c r="A1211" s="4">
        <v>46229.70624210648</v>
      </c>
      <c r="B1211" s="5">
        <v>0.0</v>
      </c>
      <c r="C1211" s="6" t="s">
        <v>3296</v>
      </c>
      <c r="D1211" s="7"/>
      <c r="E1211" s="7"/>
      <c r="F1211" s="7"/>
      <c r="G1211" s="7"/>
      <c r="H1211" s="7"/>
      <c r="I1211" s="7"/>
      <c r="J1211" s="7"/>
      <c r="K1211" s="7"/>
      <c r="L1211" s="7"/>
      <c r="M1211" s="7"/>
      <c r="N1211" s="7"/>
      <c r="O1211" s="7"/>
      <c r="P1211" s="7"/>
      <c r="Q1211" s="7"/>
      <c r="R1211" s="7"/>
      <c r="S1211" s="7"/>
      <c r="T1211" s="7"/>
      <c r="U1211" s="7"/>
      <c r="V1211" s="7"/>
      <c r="W1211" s="7"/>
      <c r="X1211" s="7"/>
      <c r="Y1211" s="7"/>
      <c r="Z1211" s="7"/>
      <c r="AA1211" s="7"/>
      <c r="AB1211" s="7"/>
      <c r="AC1211" s="7"/>
      <c r="AD1211" s="7"/>
      <c r="AE1211" s="7"/>
      <c r="AF1211" s="7"/>
      <c r="AG1211" s="7"/>
      <c r="AH1211" s="6" t="s">
        <v>2937</v>
      </c>
      <c r="AI1211" s="6" t="s">
        <v>2938</v>
      </c>
      <c r="AJ1211" s="6">
        <v>6.9070508634E10</v>
      </c>
      <c r="AK1211" s="6" t="s">
        <v>9716</v>
      </c>
      <c r="AL1211" s="7"/>
      <c r="AM1211" s="6" t="s">
        <v>11661</v>
      </c>
      <c r="AN1211" s="6" t="s">
        <v>11662</v>
      </c>
      <c r="AO1211" s="6" t="s">
        <v>11663</v>
      </c>
      <c r="AP1211" s="6" t="s">
        <v>11664</v>
      </c>
      <c r="AQ1211" s="6" t="s">
        <v>9063</v>
      </c>
      <c r="AR1211" s="7"/>
      <c r="AS1211" s="6" t="s">
        <v>11665</v>
      </c>
      <c r="AT1211" s="6" t="s">
        <v>11666</v>
      </c>
      <c r="AU1211" s="6" t="s">
        <v>11667</v>
      </c>
      <c r="AV1211" s="6" t="s">
        <v>3306</v>
      </c>
      <c r="AW1211" s="6" t="s">
        <v>3307</v>
      </c>
      <c r="AX1211" s="6" t="s">
        <v>3306</v>
      </c>
      <c r="AY1211" s="6" t="s">
        <v>3309</v>
      </c>
      <c r="AZ1211" s="6" t="s">
        <v>3306</v>
      </c>
      <c r="BA1211" s="6" t="s">
        <v>3311</v>
      </c>
      <c r="BB1211" s="6" t="s">
        <v>3312</v>
      </c>
      <c r="BC1211" s="6" t="s">
        <v>3313</v>
      </c>
      <c r="BD1211" s="6" t="s">
        <v>165</v>
      </c>
      <c r="BE1211" s="6" t="s">
        <v>3888</v>
      </c>
      <c r="BF1211" s="6" t="s">
        <v>3315</v>
      </c>
      <c r="BG1211" s="6" t="s">
        <v>4068</v>
      </c>
      <c r="BH1211" s="6" t="s">
        <v>3317</v>
      </c>
      <c r="BI1211" s="6" t="s">
        <v>524</v>
      </c>
      <c r="BJ1211" s="6" t="s">
        <v>3318</v>
      </c>
      <c r="BK1211" s="6" t="s">
        <v>3319</v>
      </c>
    </row>
    <row r="1212" ht="22.5" customHeight="1">
      <c r="A1212" s="4">
        <v>46229.70624396991</v>
      </c>
      <c r="B1212" s="5">
        <v>0.0</v>
      </c>
      <c r="C1212" s="6" t="s">
        <v>114</v>
      </c>
      <c r="D1212" s="6" t="s">
        <v>2428</v>
      </c>
      <c r="E1212" s="6" t="s">
        <v>2429</v>
      </c>
      <c r="F1212" s="6">
        <v>6.9070502472E10</v>
      </c>
      <c r="G1212" s="6" t="s">
        <v>122</v>
      </c>
      <c r="H1212" s="7"/>
      <c r="I1212" s="6" t="s">
        <v>7134</v>
      </c>
      <c r="J1212" s="6" t="s">
        <v>8699</v>
      </c>
      <c r="K1212" s="6" t="s">
        <v>383</v>
      </c>
      <c r="L1212" s="6" t="s">
        <v>11668</v>
      </c>
      <c r="M1212" s="6" t="s">
        <v>11669</v>
      </c>
      <c r="N1212" s="7"/>
      <c r="O1212" s="6" t="s">
        <v>11670</v>
      </c>
      <c r="P1212" s="6" t="s">
        <v>11671</v>
      </c>
      <c r="Q1212" s="6" t="s">
        <v>11672</v>
      </c>
      <c r="R1212" s="6" t="s">
        <v>246</v>
      </c>
      <c r="S1212" s="6" t="s">
        <v>147</v>
      </c>
      <c r="T1212" s="6" t="s">
        <v>250</v>
      </c>
      <c r="U1212" s="6" t="s">
        <v>252</v>
      </c>
      <c r="V1212" s="6" t="s">
        <v>246</v>
      </c>
      <c r="W1212" s="6" t="s">
        <v>158</v>
      </c>
      <c r="X1212" s="6" t="s">
        <v>458</v>
      </c>
      <c r="Y1212" s="6" t="s">
        <v>162</v>
      </c>
      <c r="Z1212" s="6" t="s">
        <v>165</v>
      </c>
      <c r="AA1212" s="6" t="s">
        <v>262</v>
      </c>
      <c r="AB1212" s="6" t="s">
        <v>521</v>
      </c>
      <c r="AC1212" s="6" t="s">
        <v>174</v>
      </c>
      <c r="AD1212" s="6" t="s">
        <v>175</v>
      </c>
      <c r="AE1212" s="6" t="s">
        <v>178</v>
      </c>
      <c r="AF1212" s="6" t="s">
        <v>181</v>
      </c>
      <c r="AG1212" s="6" t="s">
        <v>812</v>
      </c>
      <c r="AH1212" s="7"/>
      <c r="AI1212" s="7"/>
      <c r="AJ1212" s="7"/>
      <c r="AK1212" s="7"/>
      <c r="AL1212" s="7"/>
      <c r="AM1212" s="7"/>
      <c r="AN1212" s="7"/>
      <c r="AO1212" s="7"/>
      <c r="AP1212" s="7"/>
      <c r="AQ1212" s="7"/>
      <c r="AR1212" s="7"/>
      <c r="AS1212" s="7"/>
      <c r="AT1212" s="7"/>
      <c r="AU1212" s="7"/>
      <c r="AV1212" s="7"/>
      <c r="AW1212" s="7"/>
      <c r="AX1212" s="7"/>
      <c r="AY1212" s="7"/>
      <c r="AZ1212" s="7"/>
      <c r="BA1212" s="7"/>
      <c r="BB1212" s="7"/>
      <c r="BC1212" s="7"/>
      <c r="BD1212" s="7"/>
      <c r="BE1212" s="7"/>
      <c r="BF1212" s="7"/>
      <c r="BG1212" s="7"/>
      <c r="BH1212" s="7"/>
      <c r="BI1212" s="7"/>
      <c r="BJ1212" s="7"/>
      <c r="BK1212" s="7"/>
    </row>
    <row r="1213" ht="22.5" customHeight="1">
      <c r="A1213" s="4">
        <v>46229.706253344906</v>
      </c>
      <c r="B1213" s="5">
        <v>0.0</v>
      </c>
      <c r="C1213" s="6" t="s">
        <v>114</v>
      </c>
      <c r="D1213" s="6" t="s">
        <v>2430</v>
      </c>
      <c r="E1213" s="6" t="s">
        <v>2431</v>
      </c>
      <c r="F1213" s="6">
        <v>6.9070508821E10</v>
      </c>
      <c r="G1213" s="6" t="s">
        <v>5399</v>
      </c>
      <c r="H1213" s="6" t="s">
        <v>11673</v>
      </c>
      <c r="I1213" s="6" t="s">
        <v>11674</v>
      </c>
      <c r="J1213" s="6" t="s">
        <v>7190</v>
      </c>
      <c r="K1213" s="6" t="s">
        <v>667</v>
      </c>
      <c r="L1213" s="6" t="s">
        <v>7682</v>
      </c>
      <c r="M1213" s="6" t="s">
        <v>11675</v>
      </c>
      <c r="N1213" s="7"/>
      <c r="O1213" s="6" t="s">
        <v>11676</v>
      </c>
      <c r="P1213" s="6" t="s">
        <v>11667</v>
      </c>
      <c r="Q1213" s="6" t="s">
        <v>11677</v>
      </c>
      <c r="R1213" s="6" t="s">
        <v>246</v>
      </c>
      <c r="S1213" s="6" t="s">
        <v>147</v>
      </c>
      <c r="T1213" s="6" t="s">
        <v>246</v>
      </c>
      <c r="U1213" s="6" t="s">
        <v>252</v>
      </c>
      <c r="V1213" s="6" t="s">
        <v>246</v>
      </c>
      <c r="W1213" s="6" t="s">
        <v>158</v>
      </c>
      <c r="X1213" s="6" t="s">
        <v>257</v>
      </c>
      <c r="Y1213" s="6" t="s">
        <v>162</v>
      </c>
      <c r="Z1213" s="6" t="s">
        <v>165</v>
      </c>
      <c r="AA1213" s="6" t="s">
        <v>262</v>
      </c>
      <c r="AB1213" s="6" t="s">
        <v>521</v>
      </c>
      <c r="AC1213" s="6" t="s">
        <v>174</v>
      </c>
      <c r="AD1213" s="6" t="s">
        <v>175</v>
      </c>
      <c r="AE1213" s="6" t="s">
        <v>524</v>
      </c>
      <c r="AF1213" s="6" t="s">
        <v>181</v>
      </c>
      <c r="AG1213" s="6" t="s">
        <v>182</v>
      </c>
      <c r="AH1213" s="7"/>
      <c r="AI1213" s="7"/>
      <c r="AJ1213" s="7"/>
      <c r="AK1213" s="7"/>
      <c r="AL1213" s="7"/>
      <c r="AM1213" s="7"/>
      <c r="AN1213" s="7"/>
      <c r="AO1213" s="7"/>
      <c r="AP1213" s="7"/>
      <c r="AQ1213" s="7"/>
      <c r="AR1213" s="7"/>
      <c r="AS1213" s="7"/>
      <c r="AT1213" s="7"/>
      <c r="AU1213" s="7"/>
      <c r="AV1213" s="7"/>
      <c r="AW1213" s="7"/>
      <c r="AX1213" s="7"/>
      <c r="AY1213" s="7"/>
      <c r="AZ1213" s="7"/>
      <c r="BA1213" s="7"/>
      <c r="BB1213" s="7"/>
      <c r="BC1213" s="7"/>
      <c r="BD1213" s="7"/>
      <c r="BE1213" s="7"/>
      <c r="BF1213" s="7"/>
      <c r="BG1213" s="7"/>
      <c r="BH1213" s="7"/>
      <c r="BI1213" s="7"/>
      <c r="BJ1213" s="7"/>
      <c r="BK1213" s="7"/>
    </row>
    <row r="1214" ht="22.5" customHeight="1">
      <c r="A1214" s="4">
        <v>46229.706311574075</v>
      </c>
      <c r="B1214" s="5">
        <v>0.0</v>
      </c>
      <c r="C1214" s="6" t="s">
        <v>114</v>
      </c>
      <c r="D1214" s="6" t="s">
        <v>2432</v>
      </c>
      <c r="E1214" s="6" t="s">
        <v>2433</v>
      </c>
      <c r="F1214" s="6">
        <v>6.9070500272E10</v>
      </c>
      <c r="G1214" s="6" t="s">
        <v>599</v>
      </c>
      <c r="H1214" s="6" t="s">
        <v>11678</v>
      </c>
      <c r="I1214" s="6" t="s">
        <v>4607</v>
      </c>
      <c r="J1214" s="6" t="s">
        <v>4004</v>
      </c>
      <c r="K1214" s="6" t="s">
        <v>11679</v>
      </c>
      <c r="L1214" s="6" t="s">
        <v>3322</v>
      </c>
      <c r="M1214" s="6" t="s">
        <v>3161</v>
      </c>
      <c r="N1214" s="7"/>
      <c r="O1214" s="6" t="s">
        <v>11680</v>
      </c>
      <c r="P1214" s="6" t="s">
        <v>11681</v>
      </c>
      <c r="Q1214" s="6" t="s">
        <v>11682</v>
      </c>
      <c r="R1214" s="6" t="s">
        <v>246</v>
      </c>
      <c r="S1214" s="6" t="s">
        <v>147</v>
      </c>
      <c r="T1214" s="6" t="s">
        <v>250</v>
      </c>
      <c r="U1214" s="6" t="s">
        <v>560</v>
      </c>
      <c r="V1214" s="6" t="s">
        <v>246</v>
      </c>
      <c r="W1214" s="6" t="s">
        <v>158</v>
      </c>
      <c r="X1214" s="6" t="s">
        <v>257</v>
      </c>
      <c r="Y1214" s="6" t="s">
        <v>162</v>
      </c>
      <c r="Z1214" s="6" t="s">
        <v>165</v>
      </c>
      <c r="AA1214" s="6" t="s">
        <v>262</v>
      </c>
      <c r="AB1214" s="6" t="s">
        <v>171</v>
      </c>
      <c r="AC1214" s="6" t="s">
        <v>174</v>
      </c>
      <c r="AD1214" s="6" t="s">
        <v>175</v>
      </c>
      <c r="AE1214" s="6" t="s">
        <v>271</v>
      </c>
      <c r="AF1214" s="6" t="s">
        <v>181</v>
      </c>
      <c r="AG1214" s="6" t="s">
        <v>182</v>
      </c>
      <c r="AH1214" s="7"/>
      <c r="AI1214" s="7"/>
      <c r="AJ1214" s="7"/>
      <c r="AK1214" s="7"/>
      <c r="AL1214" s="7"/>
      <c r="AM1214" s="7"/>
      <c r="AN1214" s="7"/>
      <c r="AO1214" s="7"/>
      <c r="AP1214" s="7"/>
      <c r="AQ1214" s="7"/>
      <c r="AR1214" s="7"/>
      <c r="AS1214" s="7"/>
      <c r="AT1214" s="7"/>
      <c r="AU1214" s="7"/>
      <c r="AV1214" s="7"/>
      <c r="AW1214" s="7"/>
      <c r="AX1214" s="7"/>
      <c r="AY1214" s="7"/>
      <c r="AZ1214" s="7"/>
      <c r="BA1214" s="7"/>
      <c r="BB1214" s="7"/>
      <c r="BC1214" s="7"/>
      <c r="BD1214" s="7"/>
      <c r="BE1214" s="7"/>
      <c r="BF1214" s="7"/>
      <c r="BG1214" s="7"/>
      <c r="BH1214" s="7"/>
      <c r="BI1214" s="7"/>
      <c r="BJ1214" s="7"/>
      <c r="BK1214" s="7"/>
    </row>
    <row r="1215" ht="22.5" customHeight="1">
      <c r="A1215" s="4">
        <v>46229.706390555555</v>
      </c>
      <c r="B1215" s="5">
        <v>0.0</v>
      </c>
      <c r="C1215" s="6" t="s">
        <v>114</v>
      </c>
      <c r="D1215" s="6" t="s">
        <v>2434</v>
      </c>
      <c r="E1215" s="6" t="s">
        <v>2435</v>
      </c>
      <c r="F1215" s="6">
        <v>6.9070501012E10</v>
      </c>
      <c r="G1215" s="6" t="s">
        <v>1470</v>
      </c>
      <c r="H1215" s="7"/>
      <c r="I1215" s="6" t="s">
        <v>5008</v>
      </c>
      <c r="J1215" s="6" t="s">
        <v>11683</v>
      </c>
      <c r="K1215" s="6" t="s">
        <v>7015</v>
      </c>
      <c r="L1215" s="6" t="s">
        <v>5385</v>
      </c>
      <c r="M1215" s="6" t="s">
        <v>11684</v>
      </c>
      <c r="N1215" s="7"/>
      <c r="O1215" s="6" t="s">
        <v>11685</v>
      </c>
      <c r="P1215" s="6" t="s">
        <v>11686</v>
      </c>
      <c r="Q1215" s="6" t="s">
        <v>11687</v>
      </c>
      <c r="R1215" s="6" t="s">
        <v>246</v>
      </c>
      <c r="S1215" s="6" t="s">
        <v>147</v>
      </c>
      <c r="T1215" s="6" t="s">
        <v>250</v>
      </c>
      <c r="U1215" s="6" t="s">
        <v>560</v>
      </c>
      <c r="V1215" s="6" t="s">
        <v>246</v>
      </c>
      <c r="W1215" s="6" t="s">
        <v>158</v>
      </c>
      <c r="X1215" s="6" t="s">
        <v>257</v>
      </c>
      <c r="Y1215" s="6" t="s">
        <v>162</v>
      </c>
      <c r="Z1215" s="6" t="s">
        <v>165</v>
      </c>
      <c r="AA1215" s="6" t="s">
        <v>262</v>
      </c>
      <c r="AB1215" s="6" t="s">
        <v>521</v>
      </c>
      <c r="AC1215" s="6" t="s">
        <v>174</v>
      </c>
      <c r="AD1215" s="6" t="s">
        <v>175</v>
      </c>
      <c r="AE1215" s="6" t="s">
        <v>271</v>
      </c>
      <c r="AF1215" s="6" t="s">
        <v>181</v>
      </c>
      <c r="AG1215" s="6" t="s">
        <v>182</v>
      </c>
      <c r="AH1215" s="7"/>
      <c r="AI1215" s="7"/>
      <c r="AJ1215" s="7"/>
      <c r="AK1215" s="7"/>
      <c r="AL1215" s="7"/>
      <c r="AM1215" s="7"/>
      <c r="AN1215" s="7"/>
      <c r="AO1215" s="7"/>
      <c r="AP1215" s="7"/>
      <c r="AQ1215" s="7"/>
      <c r="AR1215" s="7"/>
      <c r="AS1215" s="7"/>
      <c r="AT1215" s="7"/>
      <c r="AU1215" s="7"/>
      <c r="AV1215" s="7"/>
      <c r="AW1215" s="7"/>
      <c r="AX1215" s="7"/>
      <c r="AY1215" s="7"/>
      <c r="AZ1215" s="7"/>
      <c r="BA1215" s="7"/>
      <c r="BB1215" s="7"/>
      <c r="BC1215" s="7"/>
      <c r="BD1215" s="7"/>
      <c r="BE1215" s="7"/>
      <c r="BF1215" s="7"/>
      <c r="BG1215" s="7"/>
      <c r="BH1215" s="7"/>
      <c r="BI1215" s="7"/>
      <c r="BJ1215" s="7"/>
      <c r="BK1215" s="7"/>
    </row>
    <row r="1216" ht="22.5" customHeight="1">
      <c r="A1216" s="4">
        <v>46229.70639769676</v>
      </c>
      <c r="B1216" s="5">
        <v>0.0</v>
      </c>
      <c r="C1216" s="6" t="s">
        <v>114</v>
      </c>
      <c r="D1216" s="6" t="s">
        <v>1000</v>
      </c>
      <c r="E1216" s="6" t="s">
        <v>2436</v>
      </c>
      <c r="F1216" s="6">
        <v>6.9070500616E10</v>
      </c>
      <c r="G1216" s="6" t="s">
        <v>6140</v>
      </c>
      <c r="H1216" s="7"/>
      <c r="I1216" s="6" t="s">
        <v>11688</v>
      </c>
      <c r="J1216" s="6" t="s">
        <v>11689</v>
      </c>
      <c r="K1216" s="6" t="s">
        <v>11690</v>
      </c>
      <c r="L1216" s="6" t="s">
        <v>3330</v>
      </c>
      <c r="M1216" s="6" t="s">
        <v>10810</v>
      </c>
      <c r="N1216" s="6" t="s">
        <v>6482</v>
      </c>
      <c r="O1216" s="6" t="s">
        <v>11691</v>
      </c>
      <c r="P1216" s="6" t="s">
        <v>11692</v>
      </c>
      <c r="Q1216" s="6" t="s">
        <v>11693</v>
      </c>
      <c r="R1216" s="6" t="s">
        <v>257</v>
      </c>
      <c r="S1216" s="6" t="s">
        <v>147</v>
      </c>
      <c r="T1216" s="6" t="s">
        <v>257</v>
      </c>
      <c r="U1216" s="6" t="s">
        <v>252</v>
      </c>
      <c r="V1216" s="6" t="s">
        <v>155</v>
      </c>
      <c r="W1216" s="6" t="s">
        <v>158</v>
      </c>
      <c r="X1216" s="6" t="s">
        <v>250</v>
      </c>
      <c r="Y1216" s="6" t="s">
        <v>162</v>
      </c>
      <c r="Z1216" s="6" t="s">
        <v>165</v>
      </c>
      <c r="AA1216" s="6" t="s">
        <v>262</v>
      </c>
      <c r="AB1216" s="6" t="s">
        <v>171</v>
      </c>
      <c r="AC1216" s="6" t="s">
        <v>174</v>
      </c>
      <c r="AD1216" s="6" t="s">
        <v>175</v>
      </c>
      <c r="AE1216" s="6" t="s">
        <v>271</v>
      </c>
      <c r="AF1216" s="6" t="s">
        <v>181</v>
      </c>
      <c r="AG1216" s="6" t="s">
        <v>182</v>
      </c>
      <c r="AH1216" s="7"/>
      <c r="AI1216" s="7"/>
      <c r="AJ1216" s="7"/>
      <c r="AK1216" s="7"/>
      <c r="AL1216" s="7"/>
      <c r="AM1216" s="7"/>
      <c r="AN1216" s="7"/>
      <c r="AO1216" s="7"/>
      <c r="AP1216" s="7"/>
      <c r="AQ1216" s="7"/>
      <c r="AR1216" s="7"/>
      <c r="AS1216" s="7"/>
      <c r="AT1216" s="7"/>
      <c r="AU1216" s="7"/>
      <c r="AV1216" s="7"/>
      <c r="AW1216" s="7"/>
      <c r="AX1216" s="7"/>
      <c r="AY1216" s="7"/>
      <c r="AZ1216" s="7"/>
      <c r="BA1216" s="7"/>
      <c r="BB1216" s="7"/>
      <c r="BC1216" s="7"/>
      <c r="BD1216" s="7"/>
      <c r="BE1216" s="7"/>
      <c r="BF1216" s="7"/>
      <c r="BG1216" s="7"/>
      <c r="BH1216" s="7"/>
      <c r="BI1216" s="7"/>
      <c r="BJ1216" s="7"/>
      <c r="BK1216" s="7"/>
    </row>
    <row r="1217" ht="22.5" customHeight="1">
      <c r="A1217" s="4">
        <v>46229.70644787037</v>
      </c>
      <c r="B1217" s="5">
        <v>0.0</v>
      </c>
      <c r="C1217" s="6" t="s">
        <v>3296</v>
      </c>
      <c r="D1217" s="7"/>
      <c r="E1217" s="7"/>
      <c r="F1217" s="7"/>
      <c r="G1217" s="7"/>
      <c r="H1217" s="7"/>
      <c r="I1217" s="7"/>
      <c r="J1217" s="7"/>
      <c r="K1217" s="7"/>
      <c r="L1217" s="7"/>
      <c r="M1217" s="7"/>
      <c r="N1217" s="7"/>
      <c r="O1217" s="7"/>
      <c r="P1217" s="7"/>
      <c r="Q1217" s="7"/>
      <c r="R1217" s="7"/>
      <c r="S1217" s="7"/>
      <c r="T1217" s="7"/>
      <c r="U1217" s="7"/>
      <c r="V1217" s="7"/>
      <c r="W1217" s="7"/>
      <c r="X1217" s="7"/>
      <c r="Y1217" s="7"/>
      <c r="Z1217" s="7"/>
      <c r="AA1217" s="7"/>
      <c r="AB1217" s="7"/>
      <c r="AC1217" s="7"/>
      <c r="AD1217" s="7"/>
      <c r="AE1217" s="7"/>
      <c r="AF1217" s="7"/>
      <c r="AG1217" s="7"/>
      <c r="AH1217" s="6" t="s">
        <v>2939</v>
      </c>
      <c r="AI1217" s="6" t="s">
        <v>2940</v>
      </c>
      <c r="AJ1217" s="6">
        <v>6.9070503272E10</v>
      </c>
      <c r="AK1217" s="6" t="s">
        <v>9323</v>
      </c>
      <c r="AL1217" s="6" t="s">
        <v>2633</v>
      </c>
      <c r="AM1217" s="6" t="s">
        <v>11694</v>
      </c>
      <c r="AN1217" s="6" t="s">
        <v>11695</v>
      </c>
      <c r="AO1217" s="6" t="s">
        <v>11696</v>
      </c>
      <c r="AP1217" s="6" t="s">
        <v>11697</v>
      </c>
      <c r="AQ1217" s="6" t="s">
        <v>11698</v>
      </c>
      <c r="AR1217" s="6" t="s">
        <v>11699</v>
      </c>
      <c r="AS1217" s="6" t="s">
        <v>11700</v>
      </c>
      <c r="AT1217" s="6" t="s">
        <v>11701</v>
      </c>
      <c r="AU1217" s="6" t="s">
        <v>11702</v>
      </c>
      <c r="AV1217" s="6" t="s">
        <v>3306</v>
      </c>
      <c r="AW1217" s="6" t="s">
        <v>3307</v>
      </c>
      <c r="AX1217" s="6" t="s">
        <v>3306</v>
      </c>
      <c r="AY1217" s="6" t="s">
        <v>4067</v>
      </c>
      <c r="AZ1217" s="6" t="s">
        <v>3310</v>
      </c>
      <c r="BA1217" s="6" t="s">
        <v>7430</v>
      </c>
      <c r="BB1217" s="6" t="s">
        <v>3312</v>
      </c>
      <c r="BC1217" s="6" t="s">
        <v>3313</v>
      </c>
      <c r="BD1217" s="6" t="s">
        <v>165</v>
      </c>
      <c r="BE1217" s="6" t="s">
        <v>3314</v>
      </c>
      <c r="BF1217" s="6" t="s">
        <v>3315</v>
      </c>
      <c r="BG1217" s="6" t="s">
        <v>4068</v>
      </c>
      <c r="BH1217" s="6" t="s">
        <v>3317</v>
      </c>
      <c r="BI1217" s="6" t="s">
        <v>271</v>
      </c>
      <c r="BJ1217" s="6" t="s">
        <v>3318</v>
      </c>
      <c r="BK1217" s="6" t="s">
        <v>3319</v>
      </c>
    </row>
    <row r="1218" ht="22.5" customHeight="1">
      <c r="A1218" s="4">
        <v>46229.70652202546</v>
      </c>
      <c r="B1218" s="5">
        <v>0.0</v>
      </c>
      <c r="C1218" s="6" t="s">
        <v>114</v>
      </c>
      <c r="D1218" s="6" t="s">
        <v>2437</v>
      </c>
      <c r="E1218" s="6" t="s">
        <v>2438</v>
      </c>
      <c r="F1218" s="6">
        <v>6.9070502424E10</v>
      </c>
      <c r="G1218" s="6" t="s">
        <v>122</v>
      </c>
      <c r="H1218" s="7"/>
      <c r="I1218" s="6" t="s">
        <v>8891</v>
      </c>
      <c r="J1218" s="6" t="s">
        <v>11703</v>
      </c>
      <c r="K1218" s="6" t="s">
        <v>11704</v>
      </c>
      <c r="L1218" s="6" t="s">
        <v>1641</v>
      </c>
      <c r="M1218" s="6" t="s">
        <v>5022</v>
      </c>
      <c r="N1218" s="7"/>
      <c r="O1218" s="6" t="s">
        <v>11705</v>
      </c>
      <c r="P1218" s="6" t="s">
        <v>11706</v>
      </c>
      <c r="Q1218" s="6" t="s">
        <v>11707</v>
      </c>
      <c r="R1218" s="6" t="s">
        <v>246</v>
      </c>
      <c r="S1218" s="6" t="s">
        <v>147</v>
      </c>
      <c r="T1218" s="6" t="s">
        <v>250</v>
      </c>
      <c r="U1218" s="6" t="s">
        <v>686</v>
      </c>
      <c r="V1218" s="6" t="s">
        <v>246</v>
      </c>
      <c r="W1218" s="6" t="s">
        <v>158</v>
      </c>
      <c r="X1218" s="6" t="s">
        <v>257</v>
      </c>
      <c r="Y1218" s="6" t="s">
        <v>162</v>
      </c>
      <c r="Z1218" s="6" t="s">
        <v>165</v>
      </c>
      <c r="AA1218" s="6" t="s">
        <v>262</v>
      </c>
      <c r="AB1218" s="6" t="s">
        <v>171</v>
      </c>
      <c r="AC1218" s="6" t="s">
        <v>174</v>
      </c>
      <c r="AD1218" s="6" t="s">
        <v>175</v>
      </c>
      <c r="AE1218" s="6" t="s">
        <v>271</v>
      </c>
      <c r="AF1218" s="6" t="s">
        <v>181</v>
      </c>
      <c r="AG1218" s="6" t="s">
        <v>182</v>
      </c>
      <c r="AH1218" s="7"/>
      <c r="AI1218" s="7"/>
      <c r="AJ1218" s="7"/>
      <c r="AK1218" s="7"/>
      <c r="AL1218" s="7"/>
      <c r="AM1218" s="7"/>
      <c r="AN1218" s="7"/>
      <c r="AO1218" s="7"/>
      <c r="AP1218" s="7"/>
      <c r="AQ1218" s="7"/>
      <c r="AR1218" s="7"/>
      <c r="AS1218" s="7"/>
      <c r="AT1218" s="7"/>
      <c r="AU1218" s="7"/>
      <c r="AV1218" s="7"/>
      <c r="AW1218" s="7"/>
      <c r="AX1218" s="7"/>
      <c r="AY1218" s="7"/>
      <c r="AZ1218" s="7"/>
      <c r="BA1218" s="7"/>
      <c r="BB1218" s="7"/>
      <c r="BC1218" s="7"/>
      <c r="BD1218" s="7"/>
      <c r="BE1218" s="7"/>
      <c r="BF1218" s="7"/>
      <c r="BG1218" s="7"/>
      <c r="BH1218" s="7"/>
      <c r="BI1218" s="7"/>
      <c r="BJ1218" s="7"/>
      <c r="BK1218" s="7"/>
    </row>
    <row r="1219" ht="22.5" customHeight="1">
      <c r="A1219" s="4">
        <v>46229.70653780093</v>
      </c>
      <c r="B1219" s="5">
        <v>0.0</v>
      </c>
      <c r="C1219" s="6" t="s">
        <v>3296</v>
      </c>
      <c r="D1219" s="7"/>
      <c r="E1219" s="7"/>
      <c r="F1219" s="7"/>
      <c r="G1219" s="7"/>
      <c r="H1219" s="7"/>
      <c r="I1219" s="7"/>
      <c r="J1219" s="7"/>
      <c r="K1219" s="7"/>
      <c r="L1219" s="7"/>
      <c r="M1219" s="7"/>
      <c r="N1219" s="7"/>
      <c r="O1219" s="7"/>
      <c r="P1219" s="7"/>
      <c r="Q1219" s="7"/>
      <c r="R1219" s="7"/>
      <c r="S1219" s="7"/>
      <c r="T1219" s="7"/>
      <c r="U1219" s="7"/>
      <c r="V1219" s="7"/>
      <c r="W1219" s="7"/>
      <c r="X1219" s="7"/>
      <c r="Y1219" s="7"/>
      <c r="Z1219" s="7"/>
      <c r="AA1219" s="7"/>
      <c r="AB1219" s="7"/>
      <c r="AC1219" s="7"/>
      <c r="AD1219" s="7"/>
      <c r="AE1219" s="7"/>
      <c r="AF1219" s="7"/>
      <c r="AG1219" s="7"/>
      <c r="AH1219" s="6" t="s">
        <v>2944</v>
      </c>
      <c r="AI1219" s="6" t="s">
        <v>2945</v>
      </c>
      <c r="AJ1219" s="6">
        <v>6.9070504047E10</v>
      </c>
      <c r="AK1219" s="6" t="s">
        <v>4331</v>
      </c>
      <c r="AL1219" s="7"/>
      <c r="AM1219" s="6" t="s">
        <v>11708</v>
      </c>
      <c r="AN1219" s="6" t="s">
        <v>3403</v>
      </c>
      <c r="AO1219" s="6" t="s">
        <v>11709</v>
      </c>
      <c r="AP1219" s="6" t="s">
        <v>11710</v>
      </c>
      <c r="AQ1219" s="6" t="s">
        <v>11711</v>
      </c>
      <c r="AR1219" s="7"/>
      <c r="AS1219" s="6" t="s">
        <v>11712</v>
      </c>
      <c r="AT1219" s="6" t="s">
        <v>11713</v>
      </c>
      <c r="AU1219" s="6" t="s">
        <v>11714</v>
      </c>
      <c r="AV1219" s="6" t="s">
        <v>3306</v>
      </c>
      <c r="AW1219" s="6" t="s">
        <v>3307</v>
      </c>
      <c r="AX1219" s="6" t="s">
        <v>3887</v>
      </c>
      <c r="AY1219" s="6" t="s">
        <v>5759</v>
      </c>
      <c r="AZ1219" s="6" t="s">
        <v>3306</v>
      </c>
      <c r="BA1219" s="6" t="s">
        <v>3311</v>
      </c>
      <c r="BB1219" s="6" t="s">
        <v>3312</v>
      </c>
      <c r="BC1219" s="6" t="s">
        <v>3313</v>
      </c>
      <c r="BD1219" s="6" t="s">
        <v>165</v>
      </c>
      <c r="BE1219" s="6" t="s">
        <v>3888</v>
      </c>
      <c r="BF1219" s="6" t="s">
        <v>3889</v>
      </c>
      <c r="BG1219" s="6" t="s">
        <v>4068</v>
      </c>
      <c r="BH1219" s="6" t="s">
        <v>3317</v>
      </c>
      <c r="BI1219" s="6" t="s">
        <v>271</v>
      </c>
      <c r="BJ1219" s="6" t="s">
        <v>3318</v>
      </c>
      <c r="BK1219" s="6" t="s">
        <v>3319</v>
      </c>
    </row>
    <row r="1220" ht="22.5" customHeight="1">
      <c r="A1220" s="4">
        <v>46229.70657809028</v>
      </c>
      <c r="B1220" s="5">
        <v>0.0</v>
      </c>
      <c r="C1220" s="6" t="s">
        <v>114</v>
      </c>
      <c r="D1220" s="6" t="s">
        <v>2439</v>
      </c>
      <c r="E1220" s="6" t="s">
        <v>2440</v>
      </c>
      <c r="F1220" s="6">
        <v>6.9070500667E10</v>
      </c>
      <c r="G1220" s="6" t="s">
        <v>6140</v>
      </c>
      <c r="H1220" s="7"/>
      <c r="I1220" s="6" t="s">
        <v>11508</v>
      </c>
      <c r="J1220" s="6" t="s">
        <v>11715</v>
      </c>
      <c r="K1220" s="6" t="s">
        <v>11716</v>
      </c>
      <c r="L1220" s="6" t="s">
        <v>2856</v>
      </c>
      <c r="M1220" s="6" t="s">
        <v>11717</v>
      </c>
      <c r="N1220" s="7"/>
      <c r="O1220" s="6" t="s">
        <v>11718</v>
      </c>
      <c r="P1220" s="6" t="s">
        <v>11719</v>
      </c>
      <c r="Q1220" s="6" t="s">
        <v>11720</v>
      </c>
      <c r="R1220" s="6" t="s">
        <v>246</v>
      </c>
      <c r="S1220" s="6" t="s">
        <v>147</v>
      </c>
      <c r="T1220" s="6" t="s">
        <v>250</v>
      </c>
      <c r="U1220" s="6" t="s">
        <v>252</v>
      </c>
      <c r="V1220" s="6" t="s">
        <v>246</v>
      </c>
      <c r="W1220" s="6" t="s">
        <v>158</v>
      </c>
      <c r="X1220" s="6" t="s">
        <v>257</v>
      </c>
      <c r="Y1220" s="6" t="s">
        <v>162</v>
      </c>
      <c r="Z1220" s="6" t="s">
        <v>165</v>
      </c>
      <c r="AA1220" s="6" t="s">
        <v>262</v>
      </c>
      <c r="AB1220" s="6" t="s">
        <v>521</v>
      </c>
      <c r="AC1220" s="6" t="s">
        <v>2718</v>
      </c>
      <c r="AD1220" s="6" t="s">
        <v>175</v>
      </c>
      <c r="AE1220" s="6" t="s">
        <v>271</v>
      </c>
      <c r="AF1220" s="6" t="s">
        <v>181</v>
      </c>
      <c r="AG1220" s="6" t="s">
        <v>182</v>
      </c>
      <c r="AH1220" s="7"/>
      <c r="AI1220" s="7"/>
      <c r="AJ1220" s="7"/>
      <c r="AK1220" s="7"/>
      <c r="AL1220" s="7"/>
      <c r="AM1220" s="7"/>
      <c r="AN1220" s="7"/>
      <c r="AO1220" s="7"/>
      <c r="AP1220" s="7"/>
      <c r="AQ1220" s="7"/>
      <c r="AR1220" s="7"/>
      <c r="AS1220" s="7"/>
      <c r="AT1220" s="7"/>
      <c r="AU1220" s="7"/>
      <c r="AV1220" s="7"/>
      <c r="AW1220" s="7"/>
      <c r="AX1220" s="7"/>
      <c r="AY1220" s="7"/>
      <c r="AZ1220" s="7"/>
      <c r="BA1220" s="7"/>
      <c r="BB1220" s="7"/>
      <c r="BC1220" s="7"/>
      <c r="BD1220" s="7"/>
      <c r="BE1220" s="7"/>
      <c r="BF1220" s="7"/>
      <c r="BG1220" s="7"/>
      <c r="BH1220" s="7"/>
      <c r="BI1220" s="7"/>
      <c r="BJ1220" s="7"/>
      <c r="BK1220" s="7"/>
    </row>
    <row r="1221" ht="22.5" customHeight="1">
      <c r="A1221" s="4">
        <v>46229.70660230324</v>
      </c>
      <c r="B1221" s="5">
        <v>0.0</v>
      </c>
      <c r="C1221" s="6" t="s">
        <v>114</v>
      </c>
      <c r="D1221" s="6" t="s">
        <v>488</v>
      </c>
      <c r="E1221" s="6" t="s">
        <v>2441</v>
      </c>
      <c r="F1221" s="6">
        <v>6.9070500654E10</v>
      </c>
      <c r="G1221" s="6" t="s">
        <v>6140</v>
      </c>
      <c r="H1221" s="7"/>
      <c r="I1221" s="6" t="s">
        <v>11721</v>
      </c>
      <c r="J1221" s="6" t="s">
        <v>11722</v>
      </c>
      <c r="K1221" s="6" t="s">
        <v>11723</v>
      </c>
      <c r="L1221" s="6" t="s">
        <v>11724</v>
      </c>
      <c r="M1221" s="6" t="s">
        <v>11725</v>
      </c>
      <c r="N1221" s="6" t="s">
        <v>11726</v>
      </c>
      <c r="O1221" s="6" t="s">
        <v>11727</v>
      </c>
      <c r="P1221" s="6" t="s">
        <v>11728</v>
      </c>
      <c r="Q1221" s="6" t="s">
        <v>11729</v>
      </c>
      <c r="R1221" s="6" t="s">
        <v>246</v>
      </c>
      <c r="S1221" s="6" t="s">
        <v>147</v>
      </c>
      <c r="T1221" s="6" t="s">
        <v>250</v>
      </c>
      <c r="U1221" s="6" t="s">
        <v>686</v>
      </c>
      <c r="V1221" s="6" t="s">
        <v>155</v>
      </c>
      <c r="W1221" s="6" t="s">
        <v>158</v>
      </c>
      <c r="X1221" s="6" t="s">
        <v>257</v>
      </c>
      <c r="Y1221" s="6" t="s">
        <v>162</v>
      </c>
      <c r="Z1221" s="6" t="s">
        <v>165</v>
      </c>
      <c r="AA1221" s="6" t="s">
        <v>262</v>
      </c>
      <c r="AB1221" s="6" t="s">
        <v>171</v>
      </c>
      <c r="AC1221" s="6" t="s">
        <v>174</v>
      </c>
      <c r="AD1221" s="6" t="s">
        <v>175</v>
      </c>
      <c r="AE1221" s="6" t="s">
        <v>271</v>
      </c>
      <c r="AF1221" s="6" t="s">
        <v>181</v>
      </c>
      <c r="AG1221" s="6" t="s">
        <v>182</v>
      </c>
      <c r="AH1221" s="7"/>
      <c r="AI1221" s="7"/>
      <c r="AJ1221" s="7"/>
      <c r="AK1221" s="7"/>
      <c r="AL1221" s="7"/>
      <c r="AM1221" s="7"/>
      <c r="AN1221" s="7"/>
      <c r="AO1221" s="7"/>
      <c r="AP1221" s="7"/>
      <c r="AQ1221" s="7"/>
      <c r="AR1221" s="7"/>
      <c r="AS1221" s="7"/>
      <c r="AT1221" s="7"/>
      <c r="AU1221" s="7"/>
      <c r="AV1221" s="7"/>
      <c r="AW1221" s="7"/>
      <c r="AX1221" s="7"/>
      <c r="AY1221" s="7"/>
      <c r="AZ1221" s="7"/>
      <c r="BA1221" s="7"/>
      <c r="BB1221" s="7"/>
      <c r="BC1221" s="7"/>
      <c r="BD1221" s="7"/>
      <c r="BE1221" s="7"/>
      <c r="BF1221" s="7"/>
      <c r="BG1221" s="7"/>
      <c r="BH1221" s="7"/>
      <c r="BI1221" s="7"/>
      <c r="BJ1221" s="7"/>
      <c r="BK1221" s="7"/>
    </row>
    <row r="1222" ht="22.5" customHeight="1">
      <c r="A1222" s="4">
        <v>46229.706648506944</v>
      </c>
      <c r="B1222" s="5">
        <v>0.0</v>
      </c>
      <c r="C1222" s="6" t="s">
        <v>114</v>
      </c>
      <c r="D1222" s="6" t="s">
        <v>2443</v>
      </c>
      <c r="E1222" s="6" t="s">
        <v>2445</v>
      </c>
      <c r="F1222" s="6">
        <v>6.907050062E10</v>
      </c>
      <c r="G1222" s="6" t="s">
        <v>6140</v>
      </c>
      <c r="H1222" s="7"/>
      <c r="I1222" s="6" t="s">
        <v>8286</v>
      </c>
      <c r="J1222" s="6" t="s">
        <v>11730</v>
      </c>
      <c r="K1222" s="6" t="s">
        <v>11731</v>
      </c>
      <c r="L1222" s="6" t="s">
        <v>9179</v>
      </c>
      <c r="M1222" s="6" t="s">
        <v>3736</v>
      </c>
      <c r="N1222" s="7"/>
      <c r="O1222" s="6" t="s">
        <v>11732</v>
      </c>
      <c r="P1222" s="6" t="s">
        <v>11733</v>
      </c>
      <c r="Q1222" s="6" t="s">
        <v>11734</v>
      </c>
      <c r="R1222" s="6" t="s">
        <v>246</v>
      </c>
      <c r="S1222" s="6" t="s">
        <v>147</v>
      </c>
      <c r="T1222" s="6" t="s">
        <v>250</v>
      </c>
      <c r="U1222" s="6" t="s">
        <v>560</v>
      </c>
      <c r="V1222" s="6" t="s">
        <v>246</v>
      </c>
      <c r="W1222" s="6" t="s">
        <v>158</v>
      </c>
      <c r="X1222" s="6" t="s">
        <v>257</v>
      </c>
      <c r="Y1222" s="6" t="s">
        <v>162</v>
      </c>
      <c r="Z1222" s="6" t="s">
        <v>165</v>
      </c>
      <c r="AA1222" s="6" t="s">
        <v>262</v>
      </c>
      <c r="AB1222" s="6" t="s">
        <v>521</v>
      </c>
      <c r="AC1222" s="6" t="s">
        <v>174</v>
      </c>
      <c r="AD1222" s="6" t="s">
        <v>175</v>
      </c>
      <c r="AE1222" s="6" t="s">
        <v>271</v>
      </c>
      <c r="AF1222" s="6" t="s">
        <v>181</v>
      </c>
      <c r="AG1222" s="6" t="s">
        <v>182</v>
      </c>
      <c r="AH1222" s="7"/>
      <c r="AI1222" s="7"/>
      <c r="AJ1222" s="7"/>
      <c r="AK1222" s="7"/>
      <c r="AL1222" s="7"/>
      <c r="AM1222" s="7"/>
      <c r="AN1222" s="7"/>
      <c r="AO1222" s="7"/>
      <c r="AP1222" s="7"/>
      <c r="AQ1222" s="7"/>
      <c r="AR1222" s="7"/>
      <c r="AS1222" s="7"/>
      <c r="AT1222" s="7"/>
      <c r="AU1222" s="7"/>
      <c r="AV1222" s="7"/>
      <c r="AW1222" s="7"/>
      <c r="AX1222" s="7"/>
      <c r="AY1222" s="7"/>
      <c r="AZ1222" s="7"/>
      <c r="BA1222" s="7"/>
      <c r="BB1222" s="7"/>
      <c r="BC1222" s="7"/>
      <c r="BD1222" s="7"/>
      <c r="BE1222" s="7"/>
      <c r="BF1222" s="7"/>
      <c r="BG1222" s="7"/>
      <c r="BH1222" s="7"/>
      <c r="BI1222" s="7"/>
      <c r="BJ1222" s="7"/>
      <c r="BK1222" s="7"/>
    </row>
    <row r="1223" ht="22.5" customHeight="1">
      <c r="A1223" s="4">
        <v>46229.70666761574</v>
      </c>
      <c r="B1223" s="5">
        <v>0.0</v>
      </c>
      <c r="C1223" s="6" t="s">
        <v>114</v>
      </c>
      <c r="D1223" s="6" t="s">
        <v>2448</v>
      </c>
      <c r="E1223" s="6" t="s">
        <v>2449</v>
      </c>
      <c r="F1223" s="6">
        <v>6.9070500661E10</v>
      </c>
      <c r="G1223" s="6" t="s">
        <v>6140</v>
      </c>
      <c r="H1223" s="7"/>
      <c r="I1223" s="6" t="s">
        <v>11735</v>
      </c>
      <c r="J1223" s="6" t="s">
        <v>11736</v>
      </c>
      <c r="K1223" s="6" t="s">
        <v>3771</v>
      </c>
      <c r="L1223" s="6" t="s">
        <v>11737</v>
      </c>
      <c r="M1223" s="6" t="s">
        <v>11738</v>
      </c>
      <c r="N1223" s="6" t="s">
        <v>11117</v>
      </c>
      <c r="O1223" s="6" t="s">
        <v>11739</v>
      </c>
      <c r="P1223" s="6" t="s">
        <v>11740</v>
      </c>
      <c r="Q1223" s="6" t="s">
        <v>11741</v>
      </c>
      <c r="R1223" s="6" t="s">
        <v>257</v>
      </c>
      <c r="S1223" s="6" t="s">
        <v>147</v>
      </c>
      <c r="T1223" s="6" t="s">
        <v>246</v>
      </c>
      <c r="U1223" s="6" t="s">
        <v>2254</v>
      </c>
      <c r="V1223" s="6" t="s">
        <v>246</v>
      </c>
      <c r="W1223" s="6" t="s">
        <v>158</v>
      </c>
      <c r="X1223" s="6" t="s">
        <v>458</v>
      </c>
      <c r="Y1223" s="6" t="s">
        <v>162</v>
      </c>
      <c r="Z1223" s="6" t="s">
        <v>804</v>
      </c>
      <c r="AA1223" s="6" t="s">
        <v>1322</v>
      </c>
      <c r="AB1223" s="6" t="s">
        <v>521</v>
      </c>
      <c r="AC1223" s="6" t="s">
        <v>633</v>
      </c>
      <c r="AD1223" s="6" t="s">
        <v>175</v>
      </c>
      <c r="AE1223" s="6" t="s">
        <v>271</v>
      </c>
      <c r="AF1223" s="6" t="s">
        <v>174</v>
      </c>
      <c r="AG1223" s="6" t="s">
        <v>641</v>
      </c>
      <c r="AH1223" s="7"/>
      <c r="AI1223" s="7"/>
      <c r="AJ1223" s="7"/>
      <c r="AK1223" s="7"/>
      <c r="AL1223" s="7"/>
      <c r="AM1223" s="7"/>
      <c r="AN1223" s="7"/>
      <c r="AO1223" s="7"/>
      <c r="AP1223" s="7"/>
      <c r="AQ1223" s="7"/>
      <c r="AR1223" s="7"/>
      <c r="AS1223" s="7"/>
      <c r="AT1223" s="7"/>
      <c r="AU1223" s="7"/>
      <c r="AV1223" s="7"/>
      <c r="AW1223" s="7"/>
      <c r="AX1223" s="7"/>
      <c r="AY1223" s="7"/>
      <c r="AZ1223" s="7"/>
      <c r="BA1223" s="7"/>
      <c r="BB1223" s="7"/>
      <c r="BC1223" s="7"/>
      <c r="BD1223" s="7"/>
      <c r="BE1223" s="7"/>
      <c r="BF1223" s="7"/>
      <c r="BG1223" s="7"/>
      <c r="BH1223" s="7"/>
      <c r="BI1223" s="7"/>
      <c r="BJ1223" s="7"/>
      <c r="BK1223" s="7"/>
    </row>
    <row r="1224" ht="22.5" customHeight="1">
      <c r="A1224" s="4">
        <v>46229.70671762731</v>
      </c>
      <c r="B1224" s="5">
        <v>0.0</v>
      </c>
      <c r="C1224" s="6" t="s">
        <v>114</v>
      </c>
      <c r="D1224" s="6" t="s">
        <v>1218</v>
      </c>
      <c r="E1224" s="6" t="s">
        <v>2453</v>
      </c>
      <c r="F1224" s="6">
        <v>6.9070508841E10</v>
      </c>
      <c r="G1224" s="6" t="s">
        <v>5399</v>
      </c>
      <c r="H1224" s="7"/>
      <c r="I1224" s="6" t="s">
        <v>11742</v>
      </c>
      <c r="J1224" s="6" t="s">
        <v>11743</v>
      </c>
      <c r="K1224" s="6" t="s">
        <v>11744</v>
      </c>
      <c r="L1224" s="6" t="s">
        <v>11745</v>
      </c>
      <c r="M1224" s="6" t="s">
        <v>3473</v>
      </c>
      <c r="N1224" s="7"/>
      <c r="O1224" s="6" t="s">
        <v>11746</v>
      </c>
      <c r="P1224" s="6" t="s">
        <v>11747</v>
      </c>
      <c r="Q1224" s="6" t="s">
        <v>11748</v>
      </c>
      <c r="R1224" s="6" t="s">
        <v>246</v>
      </c>
      <c r="S1224" s="6" t="s">
        <v>147</v>
      </c>
      <c r="T1224" s="6" t="s">
        <v>250</v>
      </c>
      <c r="U1224" s="6" t="s">
        <v>686</v>
      </c>
      <c r="V1224" s="6" t="s">
        <v>246</v>
      </c>
      <c r="W1224" s="6" t="s">
        <v>158</v>
      </c>
      <c r="X1224" s="6" t="s">
        <v>458</v>
      </c>
      <c r="Y1224" s="6" t="s">
        <v>162</v>
      </c>
      <c r="Z1224" s="6" t="s">
        <v>165</v>
      </c>
      <c r="AA1224" s="6" t="s">
        <v>262</v>
      </c>
      <c r="AB1224" s="6" t="s">
        <v>1266</v>
      </c>
      <c r="AC1224" s="6" t="s">
        <v>174</v>
      </c>
      <c r="AD1224" s="6" t="s">
        <v>175</v>
      </c>
      <c r="AE1224" s="6" t="s">
        <v>524</v>
      </c>
      <c r="AF1224" s="6" t="s">
        <v>181</v>
      </c>
      <c r="AG1224" s="6" t="s">
        <v>182</v>
      </c>
      <c r="AH1224" s="7"/>
      <c r="AI1224" s="7"/>
      <c r="AJ1224" s="7"/>
      <c r="AK1224" s="7"/>
      <c r="AL1224" s="7"/>
      <c r="AM1224" s="7"/>
      <c r="AN1224" s="7"/>
      <c r="AO1224" s="7"/>
      <c r="AP1224" s="7"/>
      <c r="AQ1224" s="7"/>
      <c r="AR1224" s="7"/>
      <c r="AS1224" s="7"/>
      <c r="AT1224" s="7"/>
      <c r="AU1224" s="7"/>
      <c r="AV1224" s="7"/>
      <c r="AW1224" s="7"/>
      <c r="AX1224" s="7"/>
      <c r="AY1224" s="7"/>
      <c r="AZ1224" s="7"/>
      <c r="BA1224" s="7"/>
      <c r="BB1224" s="7"/>
      <c r="BC1224" s="7"/>
      <c r="BD1224" s="7"/>
      <c r="BE1224" s="7"/>
      <c r="BF1224" s="7"/>
      <c r="BG1224" s="7"/>
      <c r="BH1224" s="7"/>
      <c r="BI1224" s="7"/>
      <c r="BJ1224" s="7"/>
      <c r="BK1224" s="7"/>
    </row>
    <row r="1225" ht="22.5" customHeight="1">
      <c r="A1225" s="4">
        <v>46229.7068096875</v>
      </c>
      <c r="B1225" s="5">
        <v>0.0</v>
      </c>
      <c r="C1225" s="6" t="s">
        <v>114</v>
      </c>
      <c r="D1225" s="6" t="s">
        <v>338</v>
      </c>
      <c r="E1225" s="6" t="s">
        <v>2456</v>
      </c>
      <c r="F1225" s="6">
        <v>6.907050002E10</v>
      </c>
      <c r="G1225" s="6" t="s">
        <v>4580</v>
      </c>
      <c r="H1225" s="7"/>
      <c r="I1225" s="6" t="s">
        <v>11749</v>
      </c>
      <c r="J1225" s="6" t="s">
        <v>11750</v>
      </c>
      <c r="K1225" s="6" t="s">
        <v>11751</v>
      </c>
      <c r="L1225" s="6" t="s">
        <v>11752</v>
      </c>
      <c r="M1225" s="6" t="s">
        <v>11753</v>
      </c>
      <c r="N1225" s="7"/>
      <c r="O1225" s="6" t="s">
        <v>11754</v>
      </c>
      <c r="P1225" s="6" t="s">
        <v>11755</v>
      </c>
      <c r="Q1225" s="6" t="s">
        <v>11756</v>
      </c>
      <c r="R1225" s="6" t="s">
        <v>246</v>
      </c>
      <c r="S1225" s="6" t="s">
        <v>147</v>
      </c>
      <c r="T1225" s="6" t="s">
        <v>250</v>
      </c>
      <c r="U1225" s="6" t="s">
        <v>560</v>
      </c>
      <c r="V1225" s="6" t="s">
        <v>246</v>
      </c>
      <c r="W1225" s="6" t="s">
        <v>158</v>
      </c>
      <c r="X1225" s="6" t="s">
        <v>257</v>
      </c>
      <c r="Y1225" s="6" t="s">
        <v>162</v>
      </c>
      <c r="Z1225" s="6" t="s">
        <v>165</v>
      </c>
      <c r="AA1225" s="6" t="s">
        <v>262</v>
      </c>
      <c r="AB1225" s="6" t="s">
        <v>521</v>
      </c>
      <c r="AC1225" s="6" t="s">
        <v>633</v>
      </c>
      <c r="AD1225" s="6" t="s">
        <v>175</v>
      </c>
      <c r="AE1225" s="6" t="s">
        <v>271</v>
      </c>
      <c r="AF1225" s="6" t="s">
        <v>181</v>
      </c>
      <c r="AG1225" s="6" t="s">
        <v>182</v>
      </c>
      <c r="AH1225" s="7"/>
      <c r="AI1225" s="7"/>
      <c r="AJ1225" s="7"/>
      <c r="AK1225" s="7"/>
      <c r="AL1225" s="7"/>
      <c r="AM1225" s="7"/>
      <c r="AN1225" s="7"/>
      <c r="AO1225" s="7"/>
      <c r="AP1225" s="7"/>
      <c r="AQ1225" s="7"/>
      <c r="AR1225" s="7"/>
      <c r="AS1225" s="7"/>
      <c r="AT1225" s="7"/>
      <c r="AU1225" s="7"/>
      <c r="AV1225" s="7"/>
      <c r="AW1225" s="7"/>
      <c r="AX1225" s="7"/>
      <c r="AY1225" s="7"/>
      <c r="AZ1225" s="7"/>
      <c r="BA1225" s="7"/>
      <c r="BB1225" s="7"/>
      <c r="BC1225" s="7"/>
      <c r="BD1225" s="7"/>
      <c r="BE1225" s="7"/>
      <c r="BF1225" s="7"/>
      <c r="BG1225" s="7"/>
      <c r="BH1225" s="7"/>
      <c r="BI1225" s="7"/>
      <c r="BJ1225" s="7"/>
      <c r="BK1225" s="7"/>
    </row>
    <row r="1226" ht="22.5" customHeight="1">
      <c r="A1226" s="4">
        <v>46229.70687115741</v>
      </c>
      <c r="B1226" s="5">
        <v>0.0</v>
      </c>
      <c r="C1226" s="6" t="s">
        <v>114</v>
      </c>
      <c r="D1226" s="6" t="s">
        <v>2458</v>
      </c>
      <c r="E1226" s="6" t="s">
        <v>2459</v>
      </c>
      <c r="F1226" s="6">
        <v>6.9070500626E10</v>
      </c>
      <c r="G1226" s="6" t="s">
        <v>6140</v>
      </c>
      <c r="H1226" s="7"/>
      <c r="I1226" s="6" t="s">
        <v>11196</v>
      </c>
      <c r="J1226" s="6" t="s">
        <v>11757</v>
      </c>
      <c r="K1226" s="6" t="s">
        <v>11758</v>
      </c>
      <c r="L1226" s="6" t="s">
        <v>11759</v>
      </c>
      <c r="M1226" s="6" t="s">
        <v>11760</v>
      </c>
      <c r="N1226" s="7"/>
      <c r="O1226" s="6" t="s">
        <v>11761</v>
      </c>
      <c r="P1226" s="6" t="s">
        <v>11762</v>
      </c>
      <c r="Q1226" s="6" t="s">
        <v>11763</v>
      </c>
      <c r="R1226" s="6" t="s">
        <v>246</v>
      </c>
      <c r="S1226" s="6" t="s">
        <v>147</v>
      </c>
      <c r="T1226" s="6" t="s">
        <v>250</v>
      </c>
      <c r="U1226" s="6" t="s">
        <v>560</v>
      </c>
      <c r="V1226" s="6" t="s">
        <v>246</v>
      </c>
      <c r="W1226" s="6" t="s">
        <v>158</v>
      </c>
      <c r="X1226" s="6" t="s">
        <v>257</v>
      </c>
      <c r="Y1226" s="6" t="s">
        <v>162</v>
      </c>
      <c r="Z1226" s="6" t="s">
        <v>165</v>
      </c>
      <c r="AA1226" s="6" t="s">
        <v>262</v>
      </c>
      <c r="AB1226" s="6" t="s">
        <v>521</v>
      </c>
      <c r="AC1226" s="6" t="s">
        <v>174</v>
      </c>
      <c r="AD1226" s="6" t="s">
        <v>175</v>
      </c>
      <c r="AE1226" s="6" t="s">
        <v>524</v>
      </c>
      <c r="AF1226" s="6" t="s">
        <v>181</v>
      </c>
      <c r="AG1226" s="6" t="s">
        <v>182</v>
      </c>
      <c r="AH1226" s="7"/>
      <c r="AI1226" s="7"/>
      <c r="AJ1226" s="7"/>
      <c r="AK1226" s="7"/>
      <c r="AL1226" s="7"/>
      <c r="AM1226" s="7"/>
      <c r="AN1226" s="7"/>
      <c r="AO1226" s="7"/>
      <c r="AP1226" s="7"/>
      <c r="AQ1226" s="7"/>
      <c r="AR1226" s="7"/>
      <c r="AS1226" s="7"/>
      <c r="AT1226" s="7"/>
      <c r="AU1226" s="7"/>
      <c r="AV1226" s="7"/>
      <c r="AW1226" s="7"/>
      <c r="AX1226" s="7"/>
      <c r="AY1226" s="7"/>
      <c r="AZ1226" s="7"/>
      <c r="BA1226" s="7"/>
      <c r="BB1226" s="7"/>
      <c r="BC1226" s="7"/>
      <c r="BD1226" s="7"/>
      <c r="BE1226" s="7"/>
      <c r="BF1226" s="7"/>
      <c r="BG1226" s="7"/>
      <c r="BH1226" s="7"/>
      <c r="BI1226" s="7"/>
      <c r="BJ1226" s="7"/>
      <c r="BK1226" s="7"/>
    </row>
    <row r="1227" ht="22.5" customHeight="1">
      <c r="A1227" s="4">
        <v>46229.70689396991</v>
      </c>
      <c r="B1227" s="5">
        <v>0.0</v>
      </c>
      <c r="C1227" s="6" t="s">
        <v>114</v>
      </c>
      <c r="D1227" s="6" t="s">
        <v>2460</v>
      </c>
      <c r="E1227" s="6" t="s">
        <v>2461</v>
      </c>
      <c r="F1227" s="6">
        <v>6.9070502482E10</v>
      </c>
      <c r="G1227" s="6" t="s">
        <v>122</v>
      </c>
      <c r="H1227" s="7"/>
      <c r="I1227" s="6" t="s">
        <v>7516</v>
      </c>
      <c r="J1227" s="6" t="s">
        <v>11764</v>
      </c>
      <c r="K1227" s="6" t="s">
        <v>9123</v>
      </c>
      <c r="L1227" s="6" t="s">
        <v>11765</v>
      </c>
      <c r="M1227" s="6" t="s">
        <v>8828</v>
      </c>
      <c r="N1227" s="7"/>
      <c r="O1227" s="6" t="s">
        <v>11766</v>
      </c>
      <c r="P1227" s="6" t="s">
        <v>11767</v>
      </c>
      <c r="Q1227" s="6" t="s">
        <v>11768</v>
      </c>
      <c r="R1227" s="6" t="s">
        <v>246</v>
      </c>
      <c r="S1227" s="6" t="s">
        <v>147</v>
      </c>
      <c r="T1227" s="6" t="s">
        <v>250</v>
      </c>
      <c r="U1227" s="6" t="s">
        <v>252</v>
      </c>
      <c r="V1227" s="6" t="s">
        <v>246</v>
      </c>
      <c r="W1227" s="6" t="s">
        <v>158</v>
      </c>
      <c r="X1227" s="6" t="s">
        <v>246</v>
      </c>
      <c r="Y1227" s="6" t="s">
        <v>162</v>
      </c>
      <c r="Z1227" s="6" t="s">
        <v>165</v>
      </c>
      <c r="AA1227" s="6" t="s">
        <v>262</v>
      </c>
      <c r="AB1227" s="6" t="s">
        <v>171</v>
      </c>
      <c r="AC1227" s="6" t="s">
        <v>174</v>
      </c>
      <c r="AD1227" s="6" t="s">
        <v>175</v>
      </c>
      <c r="AE1227" s="6" t="s">
        <v>271</v>
      </c>
      <c r="AF1227" s="6" t="s">
        <v>181</v>
      </c>
      <c r="AG1227" s="6" t="s">
        <v>182</v>
      </c>
      <c r="AH1227" s="7"/>
      <c r="AI1227" s="7"/>
      <c r="AJ1227" s="7"/>
      <c r="AK1227" s="7"/>
      <c r="AL1227" s="7"/>
      <c r="AM1227" s="7"/>
      <c r="AN1227" s="7"/>
      <c r="AO1227" s="7"/>
      <c r="AP1227" s="7"/>
      <c r="AQ1227" s="7"/>
      <c r="AR1227" s="7"/>
      <c r="AS1227" s="7"/>
      <c r="AT1227" s="7"/>
      <c r="AU1227" s="7"/>
      <c r="AV1227" s="7"/>
      <c r="AW1227" s="7"/>
      <c r="AX1227" s="7"/>
      <c r="AY1227" s="7"/>
      <c r="AZ1227" s="7"/>
      <c r="BA1227" s="7"/>
      <c r="BB1227" s="7"/>
      <c r="BC1227" s="7"/>
      <c r="BD1227" s="7"/>
      <c r="BE1227" s="7"/>
      <c r="BF1227" s="7"/>
      <c r="BG1227" s="7"/>
      <c r="BH1227" s="7"/>
      <c r="BI1227" s="7"/>
      <c r="BJ1227" s="7"/>
      <c r="BK1227" s="7"/>
    </row>
    <row r="1228" ht="22.5" customHeight="1">
      <c r="A1228" s="4">
        <v>46229.706897048614</v>
      </c>
      <c r="B1228" s="5">
        <v>0.0</v>
      </c>
      <c r="C1228" s="6" t="s">
        <v>114</v>
      </c>
      <c r="D1228" s="6" t="s">
        <v>2462</v>
      </c>
      <c r="E1228" s="6" t="s">
        <v>2463</v>
      </c>
      <c r="F1228" s="6">
        <v>6.9070509618E10</v>
      </c>
      <c r="G1228" s="6" t="s">
        <v>730</v>
      </c>
      <c r="H1228" s="6" t="s">
        <v>2633</v>
      </c>
      <c r="I1228" s="6" t="s">
        <v>11769</v>
      </c>
      <c r="J1228" s="6" t="s">
        <v>11770</v>
      </c>
      <c r="K1228" s="6" t="s">
        <v>11771</v>
      </c>
      <c r="L1228" s="6" t="s">
        <v>11772</v>
      </c>
      <c r="M1228" s="6" t="s">
        <v>11773</v>
      </c>
      <c r="N1228" s="6" t="s">
        <v>11774</v>
      </c>
      <c r="O1228" s="6" t="s">
        <v>11775</v>
      </c>
      <c r="P1228" s="6" t="s">
        <v>4349</v>
      </c>
      <c r="Q1228" s="6" t="s">
        <v>11776</v>
      </c>
      <c r="R1228" s="6" t="s">
        <v>257</v>
      </c>
      <c r="S1228" s="6" t="s">
        <v>147</v>
      </c>
      <c r="T1228" s="6" t="s">
        <v>250</v>
      </c>
      <c r="U1228" s="6" t="s">
        <v>686</v>
      </c>
      <c r="V1228" s="6" t="s">
        <v>155</v>
      </c>
      <c r="W1228" s="6" t="s">
        <v>158</v>
      </c>
      <c r="X1228" s="6" t="s">
        <v>161</v>
      </c>
      <c r="Y1228" s="6" t="s">
        <v>162</v>
      </c>
      <c r="Z1228" s="6" t="s">
        <v>165</v>
      </c>
      <c r="AA1228" s="6" t="s">
        <v>641</v>
      </c>
      <c r="AB1228" s="6" t="s">
        <v>171</v>
      </c>
      <c r="AC1228" s="6" t="s">
        <v>174</v>
      </c>
      <c r="AD1228" s="6" t="s">
        <v>175</v>
      </c>
      <c r="AE1228" s="6" t="s">
        <v>1211</v>
      </c>
      <c r="AF1228" s="6" t="s">
        <v>181</v>
      </c>
      <c r="AG1228" s="6" t="s">
        <v>182</v>
      </c>
      <c r="AH1228" s="7"/>
      <c r="AI1228" s="7"/>
      <c r="AJ1228" s="7"/>
      <c r="AK1228" s="7"/>
      <c r="AL1228" s="7"/>
      <c r="AM1228" s="7"/>
      <c r="AN1228" s="7"/>
      <c r="AO1228" s="7"/>
      <c r="AP1228" s="7"/>
      <c r="AQ1228" s="7"/>
      <c r="AR1228" s="7"/>
      <c r="AS1228" s="7"/>
      <c r="AT1228" s="7"/>
      <c r="AU1228" s="7"/>
      <c r="AV1228" s="7"/>
      <c r="AW1228" s="7"/>
      <c r="AX1228" s="7"/>
      <c r="AY1228" s="7"/>
      <c r="AZ1228" s="7"/>
      <c r="BA1228" s="7"/>
      <c r="BB1228" s="7"/>
      <c r="BC1228" s="7"/>
      <c r="BD1228" s="7"/>
      <c r="BE1228" s="7"/>
      <c r="BF1228" s="7"/>
      <c r="BG1228" s="7"/>
      <c r="BH1228" s="7"/>
      <c r="BI1228" s="7"/>
      <c r="BJ1228" s="7"/>
      <c r="BK1228" s="7"/>
    </row>
    <row r="1229" ht="22.5" customHeight="1">
      <c r="A1229" s="4">
        <v>46229.70691519676</v>
      </c>
      <c r="B1229" s="5">
        <v>0.0</v>
      </c>
      <c r="C1229" s="6" t="s">
        <v>114</v>
      </c>
      <c r="D1229" s="6" t="s">
        <v>2464</v>
      </c>
      <c r="E1229" s="6" t="s">
        <v>2465</v>
      </c>
      <c r="F1229" s="6">
        <v>6.9070500677E10</v>
      </c>
      <c r="G1229" s="6" t="s">
        <v>6140</v>
      </c>
      <c r="H1229" s="7"/>
      <c r="I1229" s="6" t="s">
        <v>11777</v>
      </c>
      <c r="J1229" s="6" t="s">
        <v>11778</v>
      </c>
      <c r="K1229" s="6" t="s">
        <v>11779</v>
      </c>
      <c r="L1229" s="6" t="s">
        <v>11780</v>
      </c>
      <c r="M1229" s="6" t="s">
        <v>11781</v>
      </c>
      <c r="N1229" s="7"/>
      <c r="O1229" s="6" t="s">
        <v>11782</v>
      </c>
      <c r="P1229" s="6" t="s">
        <v>11783</v>
      </c>
      <c r="Q1229" s="6" t="s">
        <v>11784</v>
      </c>
      <c r="R1229" s="6" t="s">
        <v>246</v>
      </c>
      <c r="S1229" s="6" t="s">
        <v>147</v>
      </c>
      <c r="T1229" s="6" t="s">
        <v>246</v>
      </c>
      <c r="U1229" s="6" t="s">
        <v>686</v>
      </c>
      <c r="V1229" s="6" t="s">
        <v>246</v>
      </c>
      <c r="W1229" s="6" t="s">
        <v>158</v>
      </c>
      <c r="X1229" s="6" t="s">
        <v>161</v>
      </c>
      <c r="Y1229" s="6" t="s">
        <v>162</v>
      </c>
      <c r="Z1229" s="6" t="s">
        <v>165</v>
      </c>
      <c r="AA1229" s="6" t="s">
        <v>262</v>
      </c>
      <c r="AB1229" s="6" t="s">
        <v>521</v>
      </c>
      <c r="AC1229" s="6" t="s">
        <v>1669</v>
      </c>
      <c r="AD1229" s="6" t="s">
        <v>1723</v>
      </c>
      <c r="AE1229" s="6" t="s">
        <v>178</v>
      </c>
      <c r="AF1229" s="6" t="s">
        <v>181</v>
      </c>
      <c r="AG1229" s="6" t="s">
        <v>182</v>
      </c>
      <c r="AH1229" s="7"/>
      <c r="AI1229" s="7"/>
      <c r="AJ1229" s="7"/>
      <c r="AK1229" s="7"/>
      <c r="AL1229" s="7"/>
      <c r="AM1229" s="7"/>
      <c r="AN1229" s="7"/>
      <c r="AO1229" s="7"/>
      <c r="AP1229" s="7"/>
      <c r="AQ1229" s="7"/>
      <c r="AR1229" s="7"/>
      <c r="AS1229" s="7"/>
      <c r="AT1229" s="7"/>
      <c r="AU1229" s="7"/>
      <c r="AV1229" s="7"/>
      <c r="AW1229" s="7"/>
      <c r="AX1229" s="7"/>
      <c r="AY1229" s="7"/>
      <c r="AZ1229" s="7"/>
      <c r="BA1229" s="7"/>
      <c r="BB1229" s="7"/>
      <c r="BC1229" s="7"/>
      <c r="BD1229" s="7"/>
      <c r="BE1229" s="7"/>
      <c r="BF1229" s="7"/>
      <c r="BG1229" s="7"/>
      <c r="BH1229" s="7"/>
      <c r="BI1229" s="7"/>
      <c r="BJ1229" s="7"/>
      <c r="BK1229" s="7"/>
    </row>
    <row r="1230" ht="22.5" customHeight="1">
      <c r="A1230" s="4">
        <v>46229.706945011574</v>
      </c>
      <c r="B1230" s="5">
        <v>0.0</v>
      </c>
      <c r="C1230" s="6" t="s">
        <v>114</v>
      </c>
      <c r="D1230" s="6" t="s">
        <v>260</v>
      </c>
      <c r="E1230" s="6" t="s">
        <v>2466</v>
      </c>
      <c r="F1230" s="6">
        <v>6.907050122E10</v>
      </c>
      <c r="G1230" s="6" t="s">
        <v>228</v>
      </c>
      <c r="H1230" s="7"/>
      <c r="I1230" s="6" t="s">
        <v>9937</v>
      </c>
      <c r="J1230" s="6" t="s">
        <v>10922</v>
      </c>
      <c r="K1230" s="6" t="s">
        <v>11785</v>
      </c>
      <c r="L1230" s="6" t="s">
        <v>9802</v>
      </c>
      <c r="M1230" s="6" t="s">
        <v>9553</v>
      </c>
      <c r="N1230" s="7"/>
      <c r="O1230" s="6" t="s">
        <v>11786</v>
      </c>
      <c r="P1230" s="6" t="s">
        <v>11787</v>
      </c>
      <c r="Q1230" s="6" t="s">
        <v>11788</v>
      </c>
      <c r="R1230" s="6" t="s">
        <v>257</v>
      </c>
      <c r="S1230" s="6" t="s">
        <v>147</v>
      </c>
      <c r="T1230" s="6" t="s">
        <v>250</v>
      </c>
      <c r="U1230" s="6" t="s">
        <v>560</v>
      </c>
      <c r="V1230" s="6" t="s">
        <v>246</v>
      </c>
      <c r="W1230" s="6" t="s">
        <v>158</v>
      </c>
      <c r="X1230" s="6" t="s">
        <v>257</v>
      </c>
      <c r="Y1230" s="6" t="s">
        <v>162</v>
      </c>
      <c r="Z1230" s="6" t="s">
        <v>165</v>
      </c>
      <c r="AA1230" s="6" t="s">
        <v>262</v>
      </c>
      <c r="AB1230" s="6" t="s">
        <v>171</v>
      </c>
      <c r="AC1230" s="6" t="s">
        <v>174</v>
      </c>
      <c r="AD1230" s="6" t="s">
        <v>175</v>
      </c>
      <c r="AE1230" s="6" t="s">
        <v>271</v>
      </c>
      <c r="AF1230" s="6" t="s">
        <v>181</v>
      </c>
      <c r="AG1230" s="6" t="s">
        <v>182</v>
      </c>
      <c r="AH1230" s="7"/>
      <c r="AI1230" s="7"/>
      <c r="AJ1230" s="7"/>
      <c r="AK1230" s="7"/>
      <c r="AL1230" s="7"/>
      <c r="AM1230" s="7"/>
      <c r="AN1230" s="7"/>
      <c r="AO1230" s="7"/>
      <c r="AP1230" s="7"/>
      <c r="AQ1230" s="7"/>
      <c r="AR1230" s="7"/>
      <c r="AS1230" s="7"/>
      <c r="AT1230" s="7"/>
      <c r="AU1230" s="7"/>
      <c r="AV1230" s="7"/>
      <c r="AW1230" s="7"/>
      <c r="AX1230" s="7"/>
      <c r="AY1230" s="7"/>
      <c r="AZ1230" s="7"/>
      <c r="BA1230" s="7"/>
      <c r="BB1230" s="7"/>
      <c r="BC1230" s="7"/>
      <c r="BD1230" s="7"/>
      <c r="BE1230" s="7"/>
      <c r="BF1230" s="7"/>
      <c r="BG1230" s="7"/>
      <c r="BH1230" s="7"/>
      <c r="BI1230" s="7"/>
      <c r="BJ1230" s="7"/>
      <c r="BK1230" s="7"/>
    </row>
    <row r="1231" ht="22.5" customHeight="1">
      <c r="A1231" s="4">
        <v>46229.707096620376</v>
      </c>
      <c r="B1231" s="5">
        <v>0.0</v>
      </c>
      <c r="C1231" s="6" t="s">
        <v>114</v>
      </c>
      <c r="D1231" s="6" t="s">
        <v>179</v>
      </c>
      <c r="E1231" s="6" t="s">
        <v>2467</v>
      </c>
      <c r="F1231" s="6">
        <v>6.9070500637E10</v>
      </c>
      <c r="G1231" s="6" t="s">
        <v>6140</v>
      </c>
      <c r="H1231" s="6" t="s">
        <v>2633</v>
      </c>
      <c r="I1231" s="6" t="s">
        <v>2122</v>
      </c>
      <c r="J1231" s="6" t="s">
        <v>11789</v>
      </c>
      <c r="K1231" s="6" t="s">
        <v>10424</v>
      </c>
      <c r="L1231" s="6" t="s">
        <v>10423</v>
      </c>
      <c r="M1231" s="6" t="s">
        <v>11790</v>
      </c>
      <c r="N1231" s="6" t="s">
        <v>10422</v>
      </c>
      <c r="O1231" s="6" t="s">
        <v>11791</v>
      </c>
      <c r="P1231" s="6" t="s">
        <v>11792</v>
      </c>
      <c r="Q1231" s="6" t="s">
        <v>11793</v>
      </c>
      <c r="R1231" s="6" t="s">
        <v>246</v>
      </c>
      <c r="S1231" s="6" t="s">
        <v>147</v>
      </c>
      <c r="T1231" s="6" t="s">
        <v>250</v>
      </c>
      <c r="U1231" s="6" t="s">
        <v>252</v>
      </c>
      <c r="V1231" s="6" t="s">
        <v>246</v>
      </c>
      <c r="W1231" s="6" t="s">
        <v>158</v>
      </c>
      <c r="X1231" s="6" t="s">
        <v>257</v>
      </c>
      <c r="Y1231" s="6" t="s">
        <v>162</v>
      </c>
      <c r="Z1231" s="6" t="s">
        <v>165</v>
      </c>
      <c r="AA1231" s="6" t="s">
        <v>262</v>
      </c>
      <c r="AB1231" s="6" t="s">
        <v>521</v>
      </c>
      <c r="AC1231" s="6" t="s">
        <v>174</v>
      </c>
      <c r="AD1231" s="6" t="s">
        <v>175</v>
      </c>
      <c r="AE1231" s="6" t="s">
        <v>271</v>
      </c>
      <c r="AF1231" s="6" t="s">
        <v>181</v>
      </c>
      <c r="AG1231" s="6" t="s">
        <v>182</v>
      </c>
      <c r="AH1231" s="7"/>
      <c r="AI1231" s="7"/>
      <c r="AJ1231" s="7"/>
      <c r="AK1231" s="7"/>
      <c r="AL1231" s="7"/>
      <c r="AM1231" s="7"/>
      <c r="AN1231" s="7"/>
      <c r="AO1231" s="7"/>
      <c r="AP1231" s="7"/>
      <c r="AQ1231" s="7"/>
      <c r="AR1231" s="7"/>
      <c r="AS1231" s="7"/>
      <c r="AT1231" s="7"/>
      <c r="AU1231" s="7"/>
      <c r="AV1231" s="7"/>
      <c r="AW1231" s="7"/>
      <c r="AX1231" s="7"/>
      <c r="AY1231" s="7"/>
      <c r="AZ1231" s="7"/>
      <c r="BA1231" s="7"/>
      <c r="BB1231" s="7"/>
      <c r="BC1231" s="7"/>
      <c r="BD1231" s="7"/>
      <c r="BE1231" s="7"/>
      <c r="BF1231" s="7"/>
      <c r="BG1231" s="7"/>
      <c r="BH1231" s="7"/>
      <c r="BI1231" s="7"/>
      <c r="BJ1231" s="7"/>
      <c r="BK1231" s="7"/>
    </row>
    <row r="1232" ht="22.5" customHeight="1">
      <c r="A1232" s="4">
        <v>46229.70709863426</v>
      </c>
      <c r="B1232" s="5">
        <v>0.0</v>
      </c>
      <c r="C1232" s="6" t="s">
        <v>114</v>
      </c>
      <c r="D1232" s="6" t="s">
        <v>2468</v>
      </c>
      <c r="E1232" s="6" t="s">
        <v>2469</v>
      </c>
      <c r="F1232" s="6">
        <v>6.9070509442E10</v>
      </c>
      <c r="G1232" s="6" t="s">
        <v>122</v>
      </c>
      <c r="H1232" s="6" t="s">
        <v>11794</v>
      </c>
      <c r="I1232" s="6" t="s">
        <v>11795</v>
      </c>
      <c r="J1232" s="6" t="s">
        <v>11796</v>
      </c>
      <c r="K1232" s="6" t="s">
        <v>11797</v>
      </c>
      <c r="L1232" s="6" t="s">
        <v>11798</v>
      </c>
      <c r="M1232" s="6" t="s">
        <v>11799</v>
      </c>
      <c r="N1232" s="6" t="s">
        <v>11800</v>
      </c>
      <c r="O1232" s="6" t="s">
        <v>11801</v>
      </c>
      <c r="P1232" s="6" t="s">
        <v>11802</v>
      </c>
      <c r="Q1232" s="6" t="s">
        <v>11803</v>
      </c>
      <c r="R1232" s="6" t="s">
        <v>246</v>
      </c>
      <c r="S1232" s="6" t="s">
        <v>1148</v>
      </c>
      <c r="T1232" s="6" t="s">
        <v>257</v>
      </c>
      <c r="U1232" s="6" t="s">
        <v>152</v>
      </c>
      <c r="V1232" s="6" t="s">
        <v>250</v>
      </c>
      <c r="W1232" s="6" t="s">
        <v>158</v>
      </c>
      <c r="X1232" s="6" t="s">
        <v>458</v>
      </c>
      <c r="Y1232" s="6" t="s">
        <v>162</v>
      </c>
      <c r="Z1232" s="6" t="s">
        <v>165</v>
      </c>
      <c r="AA1232" s="6" t="s">
        <v>641</v>
      </c>
      <c r="AB1232" s="6" t="s">
        <v>521</v>
      </c>
      <c r="AC1232" s="6" t="s">
        <v>174</v>
      </c>
      <c r="AD1232" s="6" t="s">
        <v>175</v>
      </c>
      <c r="AE1232" s="6" t="s">
        <v>271</v>
      </c>
      <c r="AF1232" s="6" t="s">
        <v>181</v>
      </c>
      <c r="AG1232" s="6" t="s">
        <v>182</v>
      </c>
      <c r="AH1232" s="7"/>
      <c r="AI1232" s="7"/>
      <c r="AJ1232" s="7"/>
      <c r="AK1232" s="7"/>
      <c r="AL1232" s="7"/>
      <c r="AM1232" s="7"/>
      <c r="AN1232" s="7"/>
      <c r="AO1232" s="7"/>
      <c r="AP1232" s="7"/>
      <c r="AQ1232" s="7"/>
      <c r="AR1232" s="7"/>
      <c r="AS1232" s="7"/>
      <c r="AT1232" s="7"/>
      <c r="AU1232" s="7"/>
      <c r="AV1232" s="7"/>
      <c r="AW1232" s="7"/>
      <c r="AX1232" s="7"/>
      <c r="AY1232" s="7"/>
      <c r="AZ1232" s="7"/>
      <c r="BA1232" s="7"/>
      <c r="BB1232" s="7"/>
      <c r="BC1232" s="7"/>
      <c r="BD1232" s="7"/>
      <c r="BE1232" s="7"/>
      <c r="BF1232" s="7"/>
      <c r="BG1232" s="7"/>
      <c r="BH1232" s="7"/>
      <c r="BI1232" s="7"/>
      <c r="BJ1232" s="7"/>
      <c r="BK1232" s="7"/>
    </row>
    <row r="1233" ht="22.5" customHeight="1">
      <c r="A1233" s="4">
        <v>46229.70724152778</v>
      </c>
      <c r="B1233" s="5">
        <v>0.0</v>
      </c>
      <c r="C1233" s="6" t="s">
        <v>114</v>
      </c>
      <c r="D1233" s="6" t="s">
        <v>2470</v>
      </c>
      <c r="E1233" s="6" t="s">
        <v>2471</v>
      </c>
      <c r="F1233" s="6">
        <v>6.9070500643E10</v>
      </c>
      <c r="G1233" s="6" t="s">
        <v>6140</v>
      </c>
      <c r="H1233" s="7"/>
      <c r="I1233" s="6" t="s">
        <v>11804</v>
      </c>
      <c r="J1233" s="6" t="s">
        <v>11805</v>
      </c>
      <c r="K1233" s="6" t="s">
        <v>8604</v>
      </c>
      <c r="L1233" s="6" t="s">
        <v>11806</v>
      </c>
      <c r="M1233" s="6" t="s">
        <v>11807</v>
      </c>
      <c r="N1233" s="7"/>
      <c r="O1233" s="6" t="s">
        <v>11808</v>
      </c>
      <c r="P1233" s="6" t="s">
        <v>11809</v>
      </c>
      <c r="Q1233" s="6" t="s">
        <v>11810</v>
      </c>
      <c r="R1233" s="6" t="s">
        <v>246</v>
      </c>
      <c r="S1233" s="6" t="s">
        <v>147</v>
      </c>
      <c r="T1233" s="6" t="s">
        <v>250</v>
      </c>
      <c r="U1233" s="6" t="s">
        <v>252</v>
      </c>
      <c r="V1233" s="6" t="s">
        <v>246</v>
      </c>
      <c r="W1233" s="6" t="s">
        <v>158</v>
      </c>
      <c r="X1233" s="6" t="s">
        <v>257</v>
      </c>
      <c r="Y1233" s="6" t="s">
        <v>162</v>
      </c>
      <c r="Z1233" s="6" t="s">
        <v>165</v>
      </c>
      <c r="AA1233" s="6" t="s">
        <v>262</v>
      </c>
      <c r="AB1233" s="6" t="s">
        <v>171</v>
      </c>
      <c r="AC1233" s="6" t="s">
        <v>1210</v>
      </c>
      <c r="AD1233" s="6" t="s">
        <v>175</v>
      </c>
      <c r="AE1233" s="6" t="s">
        <v>271</v>
      </c>
      <c r="AF1233" s="6" t="s">
        <v>181</v>
      </c>
      <c r="AG1233" s="6" t="s">
        <v>182</v>
      </c>
      <c r="AH1233" s="7"/>
      <c r="AI1233" s="7"/>
      <c r="AJ1233" s="7"/>
      <c r="AK1233" s="7"/>
      <c r="AL1233" s="7"/>
      <c r="AM1233" s="7"/>
      <c r="AN1233" s="7"/>
      <c r="AO1233" s="7"/>
      <c r="AP1233" s="7"/>
      <c r="AQ1233" s="7"/>
      <c r="AR1233" s="7"/>
      <c r="AS1233" s="7"/>
      <c r="AT1233" s="7"/>
      <c r="AU1233" s="7"/>
      <c r="AV1233" s="7"/>
      <c r="AW1233" s="7"/>
      <c r="AX1233" s="7"/>
      <c r="AY1233" s="7"/>
      <c r="AZ1233" s="7"/>
      <c r="BA1233" s="7"/>
      <c r="BB1233" s="7"/>
      <c r="BC1233" s="7"/>
      <c r="BD1233" s="7"/>
      <c r="BE1233" s="7"/>
      <c r="BF1233" s="7"/>
      <c r="BG1233" s="7"/>
      <c r="BH1233" s="7"/>
      <c r="BI1233" s="7"/>
      <c r="BJ1233" s="7"/>
      <c r="BK1233" s="7"/>
    </row>
    <row r="1234" ht="22.5" customHeight="1">
      <c r="A1234" s="4">
        <v>46229.707307662036</v>
      </c>
      <c r="B1234" s="5">
        <v>0.0</v>
      </c>
      <c r="C1234" s="6" t="s">
        <v>3296</v>
      </c>
      <c r="D1234" s="7"/>
      <c r="E1234" s="7"/>
      <c r="F1234" s="7"/>
      <c r="G1234" s="7"/>
      <c r="H1234" s="7"/>
      <c r="I1234" s="7"/>
      <c r="J1234" s="7"/>
      <c r="K1234" s="7"/>
      <c r="L1234" s="7"/>
      <c r="M1234" s="7"/>
      <c r="N1234" s="7"/>
      <c r="O1234" s="7"/>
      <c r="P1234" s="7"/>
      <c r="Q1234" s="7"/>
      <c r="R1234" s="7"/>
      <c r="S1234" s="7"/>
      <c r="T1234" s="7"/>
      <c r="U1234" s="7"/>
      <c r="V1234" s="7"/>
      <c r="W1234" s="7"/>
      <c r="X1234" s="7"/>
      <c r="Y1234" s="7"/>
      <c r="Z1234" s="7"/>
      <c r="AA1234" s="7"/>
      <c r="AB1234" s="7"/>
      <c r="AC1234" s="7"/>
      <c r="AD1234" s="7"/>
      <c r="AE1234" s="7"/>
      <c r="AF1234" s="7"/>
      <c r="AG1234" s="7"/>
      <c r="AH1234" s="6" t="s">
        <v>2948</v>
      </c>
      <c r="AI1234" s="6" t="s">
        <v>2949</v>
      </c>
      <c r="AJ1234" s="6">
        <v>6.9070504012E10</v>
      </c>
      <c r="AK1234" s="6" t="s">
        <v>4331</v>
      </c>
      <c r="AL1234" s="7"/>
      <c r="AM1234" s="6" t="s">
        <v>11811</v>
      </c>
      <c r="AN1234" s="6" t="s">
        <v>11812</v>
      </c>
      <c r="AO1234" s="6" t="s">
        <v>9530</v>
      </c>
      <c r="AP1234" s="6" t="s">
        <v>11813</v>
      </c>
      <c r="AQ1234" s="6" t="s">
        <v>11814</v>
      </c>
      <c r="AR1234" s="7"/>
      <c r="AS1234" s="6" t="s">
        <v>11815</v>
      </c>
      <c r="AT1234" s="6" t="s">
        <v>11816</v>
      </c>
      <c r="AU1234" s="6" t="s">
        <v>11817</v>
      </c>
      <c r="AV1234" s="6" t="s">
        <v>3306</v>
      </c>
      <c r="AW1234" s="6" t="s">
        <v>3307</v>
      </c>
      <c r="AX1234" s="6" t="s">
        <v>3312</v>
      </c>
      <c r="AY1234" s="6" t="s">
        <v>4067</v>
      </c>
      <c r="AZ1234" s="6" t="s">
        <v>3306</v>
      </c>
      <c r="BA1234" s="6" t="s">
        <v>3311</v>
      </c>
      <c r="BB1234" s="6" t="s">
        <v>3312</v>
      </c>
      <c r="BC1234" s="6" t="s">
        <v>3313</v>
      </c>
      <c r="BD1234" s="6" t="s">
        <v>165</v>
      </c>
      <c r="BE1234" s="6" t="s">
        <v>3888</v>
      </c>
      <c r="BF1234" s="6" t="s">
        <v>3315</v>
      </c>
      <c r="BG1234" s="6" t="s">
        <v>5760</v>
      </c>
      <c r="BH1234" s="6" t="s">
        <v>5246</v>
      </c>
      <c r="BI1234" s="6" t="s">
        <v>271</v>
      </c>
      <c r="BJ1234" s="6" t="s">
        <v>4068</v>
      </c>
      <c r="BK1234" s="6" t="s">
        <v>3319</v>
      </c>
    </row>
    <row r="1235" ht="22.5" customHeight="1">
      <c r="A1235" s="4">
        <v>46229.707314618056</v>
      </c>
      <c r="B1235" s="5">
        <v>0.0</v>
      </c>
      <c r="C1235" s="6" t="s">
        <v>114</v>
      </c>
      <c r="D1235" s="6" t="s">
        <v>2472</v>
      </c>
      <c r="E1235" s="6" t="s">
        <v>2473</v>
      </c>
      <c r="F1235" s="6">
        <v>6.9070501037E10</v>
      </c>
      <c r="G1235" s="6" t="s">
        <v>1470</v>
      </c>
      <c r="H1235" s="7"/>
      <c r="I1235" s="6" t="s">
        <v>3177</v>
      </c>
      <c r="J1235" s="6" t="s">
        <v>11818</v>
      </c>
      <c r="K1235" s="6" t="s">
        <v>11819</v>
      </c>
      <c r="L1235" s="6" t="s">
        <v>11820</v>
      </c>
      <c r="M1235" s="6" t="s">
        <v>1476</v>
      </c>
      <c r="N1235" s="7"/>
      <c r="O1235" s="6" t="s">
        <v>11821</v>
      </c>
      <c r="P1235" s="6" t="s">
        <v>11822</v>
      </c>
      <c r="Q1235" s="6" t="s">
        <v>11823</v>
      </c>
      <c r="R1235" s="6" t="s">
        <v>246</v>
      </c>
      <c r="S1235" s="6" t="s">
        <v>147</v>
      </c>
      <c r="T1235" s="6" t="s">
        <v>250</v>
      </c>
      <c r="U1235" s="6" t="s">
        <v>252</v>
      </c>
      <c r="V1235" s="6" t="s">
        <v>246</v>
      </c>
      <c r="W1235" s="6" t="s">
        <v>158</v>
      </c>
      <c r="X1235" s="6" t="s">
        <v>257</v>
      </c>
      <c r="Y1235" s="6" t="s">
        <v>162</v>
      </c>
      <c r="Z1235" s="6" t="s">
        <v>165</v>
      </c>
      <c r="AA1235" s="6" t="s">
        <v>262</v>
      </c>
      <c r="AB1235" s="6" t="s">
        <v>171</v>
      </c>
      <c r="AC1235" s="6" t="s">
        <v>174</v>
      </c>
      <c r="AD1235" s="6" t="s">
        <v>175</v>
      </c>
      <c r="AE1235" s="6" t="s">
        <v>271</v>
      </c>
      <c r="AF1235" s="6" t="s">
        <v>181</v>
      </c>
      <c r="AG1235" s="6" t="s">
        <v>182</v>
      </c>
      <c r="AH1235" s="7"/>
      <c r="AI1235" s="7"/>
      <c r="AJ1235" s="7"/>
      <c r="AK1235" s="7"/>
      <c r="AL1235" s="7"/>
      <c r="AM1235" s="7"/>
      <c r="AN1235" s="7"/>
      <c r="AO1235" s="7"/>
      <c r="AP1235" s="7"/>
      <c r="AQ1235" s="7"/>
      <c r="AR1235" s="7"/>
      <c r="AS1235" s="7"/>
      <c r="AT1235" s="7"/>
      <c r="AU1235" s="7"/>
      <c r="AV1235" s="7"/>
      <c r="AW1235" s="7"/>
      <c r="AX1235" s="7"/>
      <c r="AY1235" s="7"/>
      <c r="AZ1235" s="7"/>
      <c r="BA1235" s="7"/>
      <c r="BB1235" s="7"/>
      <c r="BC1235" s="7"/>
      <c r="BD1235" s="7"/>
      <c r="BE1235" s="7"/>
      <c r="BF1235" s="7"/>
      <c r="BG1235" s="7"/>
      <c r="BH1235" s="7"/>
      <c r="BI1235" s="7"/>
      <c r="BJ1235" s="7"/>
      <c r="BK1235" s="7"/>
    </row>
    <row r="1236" ht="22.5" customHeight="1">
      <c r="A1236" s="4">
        <v>46229.70735690973</v>
      </c>
      <c r="B1236" s="5">
        <v>0.0</v>
      </c>
      <c r="C1236" s="6" t="s">
        <v>114</v>
      </c>
      <c r="D1236" s="6" t="s">
        <v>2474</v>
      </c>
      <c r="E1236" s="6" t="s">
        <v>2475</v>
      </c>
      <c r="F1236" s="6">
        <v>6.9070500651E10</v>
      </c>
      <c r="G1236" s="6" t="s">
        <v>6140</v>
      </c>
      <c r="H1236" s="6" t="s">
        <v>11633</v>
      </c>
      <c r="I1236" s="6" t="s">
        <v>10821</v>
      </c>
      <c r="J1236" s="6" t="s">
        <v>11824</v>
      </c>
      <c r="K1236" s="6" t="s">
        <v>11825</v>
      </c>
      <c r="L1236" s="6" t="s">
        <v>11826</v>
      </c>
      <c r="M1236" s="6" t="s">
        <v>11827</v>
      </c>
      <c r="N1236" s="7"/>
      <c r="O1236" s="6" t="s">
        <v>11828</v>
      </c>
      <c r="P1236" s="6" t="s">
        <v>11829</v>
      </c>
      <c r="Q1236" s="6" t="s">
        <v>11830</v>
      </c>
      <c r="R1236" s="6" t="s">
        <v>246</v>
      </c>
      <c r="S1236" s="6" t="s">
        <v>147</v>
      </c>
      <c r="T1236" s="6" t="s">
        <v>250</v>
      </c>
      <c r="U1236" s="6" t="s">
        <v>252</v>
      </c>
      <c r="V1236" s="6" t="s">
        <v>246</v>
      </c>
      <c r="W1236" s="6" t="s">
        <v>158</v>
      </c>
      <c r="X1236" s="6" t="s">
        <v>257</v>
      </c>
      <c r="Y1236" s="6" t="s">
        <v>162</v>
      </c>
      <c r="Z1236" s="6" t="s">
        <v>4804</v>
      </c>
      <c r="AA1236" s="6" t="s">
        <v>262</v>
      </c>
      <c r="AB1236" s="6" t="s">
        <v>521</v>
      </c>
      <c r="AC1236" s="6" t="s">
        <v>174</v>
      </c>
      <c r="AD1236" s="6" t="s">
        <v>175</v>
      </c>
      <c r="AE1236" s="6" t="s">
        <v>271</v>
      </c>
      <c r="AF1236" s="6" t="s">
        <v>181</v>
      </c>
      <c r="AG1236" s="6" t="s">
        <v>182</v>
      </c>
      <c r="AH1236" s="7"/>
      <c r="AI1236" s="7"/>
      <c r="AJ1236" s="7"/>
      <c r="AK1236" s="7"/>
      <c r="AL1236" s="7"/>
      <c r="AM1236" s="7"/>
      <c r="AN1236" s="7"/>
      <c r="AO1236" s="7"/>
      <c r="AP1236" s="7"/>
      <c r="AQ1236" s="7"/>
      <c r="AR1236" s="7"/>
      <c r="AS1236" s="7"/>
      <c r="AT1236" s="7"/>
      <c r="AU1236" s="7"/>
      <c r="AV1236" s="7"/>
      <c r="AW1236" s="7"/>
      <c r="AX1236" s="7"/>
      <c r="AY1236" s="7"/>
      <c r="AZ1236" s="7"/>
      <c r="BA1236" s="7"/>
      <c r="BB1236" s="7"/>
      <c r="BC1236" s="7"/>
      <c r="BD1236" s="7"/>
      <c r="BE1236" s="7"/>
      <c r="BF1236" s="7"/>
      <c r="BG1236" s="7"/>
      <c r="BH1236" s="7"/>
      <c r="BI1236" s="7"/>
      <c r="BJ1236" s="7"/>
      <c r="BK1236" s="7"/>
    </row>
    <row r="1237" ht="22.5" customHeight="1">
      <c r="A1237" s="4">
        <v>46229.70743805556</v>
      </c>
      <c r="B1237" s="5">
        <v>0.0</v>
      </c>
      <c r="C1237" s="6" t="s">
        <v>114</v>
      </c>
      <c r="D1237" s="6" t="s">
        <v>94</v>
      </c>
      <c r="E1237" s="6" t="s">
        <v>2476</v>
      </c>
      <c r="F1237" s="6">
        <v>6.9070500634E10</v>
      </c>
      <c r="G1237" s="6" t="s">
        <v>6140</v>
      </c>
      <c r="H1237" s="7"/>
      <c r="I1237" s="6" t="s">
        <v>11831</v>
      </c>
      <c r="J1237" s="6" t="s">
        <v>11832</v>
      </c>
      <c r="K1237" s="6" t="s">
        <v>11833</v>
      </c>
      <c r="L1237" s="6" t="s">
        <v>11834</v>
      </c>
      <c r="M1237" s="6" t="s">
        <v>11835</v>
      </c>
      <c r="N1237" s="7"/>
      <c r="O1237" s="6" t="s">
        <v>11836</v>
      </c>
      <c r="P1237" s="6" t="s">
        <v>11837</v>
      </c>
      <c r="Q1237" s="6" t="s">
        <v>11838</v>
      </c>
      <c r="R1237" s="6" t="s">
        <v>257</v>
      </c>
      <c r="S1237" s="6" t="s">
        <v>147</v>
      </c>
      <c r="T1237" s="6" t="s">
        <v>246</v>
      </c>
      <c r="U1237" s="6" t="s">
        <v>252</v>
      </c>
      <c r="V1237" s="6" t="s">
        <v>246</v>
      </c>
      <c r="W1237" s="6" t="s">
        <v>158</v>
      </c>
      <c r="X1237" s="6" t="s">
        <v>257</v>
      </c>
      <c r="Y1237" s="6" t="s">
        <v>162</v>
      </c>
      <c r="Z1237" s="6" t="s">
        <v>165</v>
      </c>
      <c r="AA1237" s="6" t="s">
        <v>262</v>
      </c>
      <c r="AB1237" s="6" t="s">
        <v>171</v>
      </c>
      <c r="AC1237" s="6" t="s">
        <v>174</v>
      </c>
      <c r="AD1237" s="6" t="s">
        <v>1723</v>
      </c>
      <c r="AE1237" s="6" t="s">
        <v>524</v>
      </c>
      <c r="AF1237" s="6" t="s">
        <v>181</v>
      </c>
      <c r="AG1237" s="6" t="s">
        <v>182</v>
      </c>
      <c r="AH1237" s="7"/>
      <c r="AI1237" s="7"/>
      <c r="AJ1237" s="7"/>
      <c r="AK1237" s="7"/>
      <c r="AL1237" s="7"/>
      <c r="AM1237" s="7"/>
      <c r="AN1237" s="7"/>
      <c r="AO1237" s="7"/>
      <c r="AP1237" s="7"/>
      <c r="AQ1237" s="7"/>
      <c r="AR1237" s="7"/>
      <c r="AS1237" s="7"/>
      <c r="AT1237" s="7"/>
      <c r="AU1237" s="7"/>
      <c r="AV1237" s="7"/>
      <c r="AW1237" s="7"/>
      <c r="AX1237" s="7"/>
      <c r="AY1237" s="7"/>
      <c r="AZ1237" s="7"/>
      <c r="BA1237" s="7"/>
      <c r="BB1237" s="7"/>
      <c r="BC1237" s="7"/>
      <c r="BD1237" s="7"/>
      <c r="BE1237" s="7"/>
      <c r="BF1237" s="7"/>
      <c r="BG1237" s="7"/>
      <c r="BH1237" s="7"/>
      <c r="BI1237" s="7"/>
      <c r="BJ1237" s="7"/>
      <c r="BK1237" s="7"/>
    </row>
    <row r="1238" ht="22.5" customHeight="1">
      <c r="A1238" s="4">
        <v>46229.70744145833</v>
      </c>
      <c r="B1238" s="5">
        <v>0.0</v>
      </c>
      <c r="C1238" s="6" t="s">
        <v>3296</v>
      </c>
      <c r="D1238" s="7"/>
      <c r="E1238" s="7"/>
      <c r="F1238" s="7"/>
      <c r="G1238" s="7"/>
      <c r="H1238" s="7"/>
      <c r="I1238" s="7"/>
      <c r="J1238" s="7"/>
      <c r="K1238" s="7"/>
      <c r="L1238" s="7"/>
      <c r="M1238" s="7"/>
      <c r="N1238" s="7"/>
      <c r="O1238" s="7"/>
      <c r="P1238" s="7"/>
      <c r="Q1238" s="7"/>
      <c r="R1238" s="7"/>
      <c r="S1238" s="7"/>
      <c r="T1238" s="7"/>
      <c r="U1238" s="7"/>
      <c r="V1238" s="7"/>
      <c r="W1238" s="7"/>
      <c r="X1238" s="7"/>
      <c r="Y1238" s="7"/>
      <c r="Z1238" s="7"/>
      <c r="AA1238" s="7"/>
      <c r="AB1238" s="7"/>
      <c r="AC1238" s="7"/>
      <c r="AD1238" s="7"/>
      <c r="AE1238" s="7"/>
      <c r="AF1238" s="7"/>
      <c r="AG1238" s="7"/>
      <c r="AH1238" s="6" t="s">
        <v>2950</v>
      </c>
      <c r="AI1238" s="6" t="s">
        <v>2951</v>
      </c>
      <c r="AJ1238" s="6">
        <v>6.9070504035E10</v>
      </c>
      <c r="AK1238" s="6" t="s">
        <v>4331</v>
      </c>
      <c r="AL1238" s="6" t="s">
        <v>11839</v>
      </c>
      <c r="AM1238" s="6" t="s">
        <v>11840</v>
      </c>
      <c r="AN1238" s="6" t="s">
        <v>11841</v>
      </c>
      <c r="AO1238" s="6" t="s">
        <v>11842</v>
      </c>
      <c r="AP1238" s="6" t="s">
        <v>11843</v>
      </c>
      <c r="AQ1238" s="6" t="s">
        <v>11844</v>
      </c>
      <c r="AR1238" s="6" t="s">
        <v>11845</v>
      </c>
      <c r="AS1238" s="6" t="s">
        <v>11846</v>
      </c>
      <c r="AT1238" s="6" t="s">
        <v>11847</v>
      </c>
      <c r="AU1238" s="6" t="s">
        <v>11848</v>
      </c>
      <c r="AV1238" s="6" t="s">
        <v>3306</v>
      </c>
      <c r="AW1238" s="6" t="s">
        <v>3307</v>
      </c>
      <c r="AX1238" s="6" t="s">
        <v>3887</v>
      </c>
      <c r="AY1238" s="6" t="s">
        <v>804</v>
      </c>
      <c r="AZ1238" s="6" t="s">
        <v>3306</v>
      </c>
      <c r="BA1238" s="6" t="s">
        <v>3311</v>
      </c>
      <c r="BB1238" s="6" t="s">
        <v>4693</v>
      </c>
      <c r="BC1238" s="6" t="s">
        <v>3313</v>
      </c>
      <c r="BD1238" s="6" t="s">
        <v>165</v>
      </c>
      <c r="BE1238" s="6" t="s">
        <v>4341</v>
      </c>
      <c r="BF1238" s="6" t="s">
        <v>3315</v>
      </c>
      <c r="BG1238" s="6" t="s">
        <v>4694</v>
      </c>
      <c r="BH1238" s="6" t="s">
        <v>3317</v>
      </c>
      <c r="BI1238" s="6" t="s">
        <v>271</v>
      </c>
      <c r="BJ1238" s="6" t="s">
        <v>3318</v>
      </c>
      <c r="BK1238" s="6" t="s">
        <v>3319</v>
      </c>
    </row>
    <row r="1239" ht="22.5" customHeight="1">
      <c r="A1239" s="4">
        <v>46229.70746601852</v>
      </c>
      <c r="B1239" s="5">
        <v>0.0</v>
      </c>
      <c r="C1239" s="6" t="s">
        <v>3296</v>
      </c>
      <c r="D1239" s="7"/>
      <c r="E1239" s="7"/>
      <c r="F1239" s="7"/>
      <c r="G1239" s="7"/>
      <c r="H1239" s="7"/>
      <c r="I1239" s="7"/>
      <c r="J1239" s="7"/>
      <c r="K1239" s="7"/>
      <c r="L1239" s="7"/>
      <c r="M1239" s="7"/>
      <c r="N1239" s="7"/>
      <c r="O1239" s="7"/>
      <c r="P1239" s="7"/>
      <c r="Q1239" s="7"/>
      <c r="R1239" s="7"/>
      <c r="S1239" s="7"/>
      <c r="T1239" s="7"/>
      <c r="U1239" s="7"/>
      <c r="V1239" s="7"/>
      <c r="W1239" s="7"/>
      <c r="X1239" s="7"/>
      <c r="Y1239" s="7"/>
      <c r="Z1239" s="7"/>
      <c r="AA1239" s="7"/>
      <c r="AB1239" s="7"/>
      <c r="AC1239" s="7"/>
      <c r="AD1239" s="7"/>
      <c r="AE1239" s="7"/>
      <c r="AF1239" s="7"/>
      <c r="AG1239" s="7"/>
      <c r="AH1239" s="6" t="s">
        <v>2953</v>
      </c>
      <c r="AI1239" s="6" t="s">
        <v>2955</v>
      </c>
      <c r="AJ1239" s="6">
        <v>6.9070504049E10</v>
      </c>
      <c r="AK1239" s="6" t="s">
        <v>4331</v>
      </c>
      <c r="AL1239" s="7"/>
      <c r="AM1239" s="6" t="s">
        <v>11182</v>
      </c>
      <c r="AN1239" s="6" t="s">
        <v>10747</v>
      </c>
      <c r="AO1239" s="6" t="s">
        <v>11849</v>
      </c>
      <c r="AP1239" s="6" t="s">
        <v>11850</v>
      </c>
      <c r="AQ1239" s="6" t="s">
        <v>11851</v>
      </c>
      <c r="AR1239" s="7"/>
      <c r="AS1239" s="6" t="s">
        <v>11852</v>
      </c>
      <c r="AT1239" s="6" t="s">
        <v>11853</v>
      </c>
      <c r="AU1239" s="6" t="s">
        <v>11854</v>
      </c>
      <c r="AV1239" s="6" t="s">
        <v>3306</v>
      </c>
      <c r="AW1239" s="6" t="s">
        <v>3307</v>
      </c>
      <c r="AX1239" s="6" t="s">
        <v>3887</v>
      </c>
      <c r="AY1239" s="6" t="s">
        <v>804</v>
      </c>
      <c r="AZ1239" s="6" t="s">
        <v>3306</v>
      </c>
      <c r="BA1239" s="6" t="s">
        <v>3311</v>
      </c>
      <c r="BB1239" s="6" t="s">
        <v>4693</v>
      </c>
      <c r="BC1239" s="6" t="s">
        <v>3313</v>
      </c>
      <c r="BD1239" s="6" t="s">
        <v>165</v>
      </c>
      <c r="BE1239" s="6" t="s">
        <v>4341</v>
      </c>
      <c r="BF1239" s="6" t="s">
        <v>3889</v>
      </c>
      <c r="BG1239" s="6" t="s">
        <v>4068</v>
      </c>
      <c r="BH1239" s="6" t="s">
        <v>3317</v>
      </c>
      <c r="BI1239" s="6" t="s">
        <v>271</v>
      </c>
      <c r="BJ1239" s="6" t="s">
        <v>3318</v>
      </c>
      <c r="BK1239" s="6" t="s">
        <v>3319</v>
      </c>
    </row>
    <row r="1240" ht="22.5" customHeight="1">
      <c r="A1240" s="4">
        <v>46229.70753972222</v>
      </c>
      <c r="B1240" s="5">
        <v>0.0</v>
      </c>
      <c r="C1240" s="6" t="s">
        <v>3296</v>
      </c>
      <c r="D1240" s="7"/>
      <c r="E1240" s="7"/>
      <c r="F1240" s="7"/>
      <c r="G1240" s="7"/>
      <c r="H1240" s="7"/>
      <c r="I1240" s="7"/>
      <c r="J1240" s="7"/>
      <c r="K1240" s="7"/>
      <c r="L1240" s="7"/>
      <c r="M1240" s="7"/>
      <c r="N1240" s="7"/>
      <c r="O1240" s="7"/>
      <c r="P1240" s="7"/>
      <c r="Q1240" s="7"/>
      <c r="R1240" s="7"/>
      <c r="S1240" s="7"/>
      <c r="T1240" s="7"/>
      <c r="U1240" s="7"/>
      <c r="V1240" s="7"/>
      <c r="W1240" s="7"/>
      <c r="X1240" s="7"/>
      <c r="Y1240" s="7"/>
      <c r="Z1240" s="7"/>
      <c r="AA1240" s="7"/>
      <c r="AB1240" s="7"/>
      <c r="AC1240" s="7"/>
      <c r="AD1240" s="7"/>
      <c r="AE1240" s="7"/>
      <c r="AF1240" s="7"/>
      <c r="AG1240" s="7"/>
      <c r="AH1240" s="6" t="s">
        <v>2803</v>
      </c>
      <c r="AI1240" s="6" t="s">
        <v>2957</v>
      </c>
      <c r="AJ1240" s="6">
        <v>6.9070503276E10</v>
      </c>
      <c r="AK1240" s="6" t="s">
        <v>9323</v>
      </c>
      <c r="AL1240" s="6" t="s">
        <v>11855</v>
      </c>
      <c r="AM1240" s="6" t="s">
        <v>11856</v>
      </c>
      <c r="AN1240" s="6" t="s">
        <v>11857</v>
      </c>
      <c r="AO1240" s="6" t="s">
        <v>11858</v>
      </c>
      <c r="AP1240" s="6" t="s">
        <v>11859</v>
      </c>
      <c r="AQ1240" s="6" t="s">
        <v>11860</v>
      </c>
      <c r="AR1240" s="6" t="s">
        <v>2633</v>
      </c>
      <c r="AS1240" s="6" t="s">
        <v>11861</v>
      </c>
      <c r="AT1240" s="6" t="s">
        <v>11862</v>
      </c>
      <c r="AU1240" s="6" t="s">
        <v>11863</v>
      </c>
      <c r="AV1240" s="6" t="s">
        <v>3306</v>
      </c>
      <c r="AW1240" s="6" t="s">
        <v>3307</v>
      </c>
      <c r="AX1240" s="6" t="s">
        <v>3306</v>
      </c>
      <c r="AY1240" s="6" t="s">
        <v>5759</v>
      </c>
      <c r="AZ1240" s="6" t="s">
        <v>3306</v>
      </c>
      <c r="BA1240" s="6" t="s">
        <v>3311</v>
      </c>
      <c r="BB1240" s="6" t="s">
        <v>3312</v>
      </c>
      <c r="BC1240" s="6" t="s">
        <v>3313</v>
      </c>
      <c r="BD1240" s="6" t="s">
        <v>165</v>
      </c>
      <c r="BE1240" s="6" t="s">
        <v>3888</v>
      </c>
      <c r="BF1240" s="6" t="s">
        <v>4862</v>
      </c>
      <c r="BG1240" s="6" t="s">
        <v>4342</v>
      </c>
      <c r="BH1240" s="6" t="s">
        <v>5246</v>
      </c>
      <c r="BI1240" s="6" t="s">
        <v>1211</v>
      </c>
      <c r="BJ1240" s="6" t="s">
        <v>3318</v>
      </c>
      <c r="BK1240" s="6" t="s">
        <v>8803</v>
      </c>
    </row>
    <row r="1241" ht="22.5" customHeight="1">
      <c r="A1241" s="4">
        <v>46229.70761244213</v>
      </c>
      <c r="B1241" s="5">
        <v>0.0</v>
      </c>
      <c r="C1241" s="6" t="s">
        <v>3296</v>
      </c>
      <c r="D1241" s="7"/>
      <c r="E1241" s="7"/>
      <c r="F1241" s="7"/>
      <c r="G1241" s="7"/>
      <c r="H1241" s="7"/>
      <c r="I1241" s="7"/>
      <c r="J1241" s="7"/>
      <c r="K1241" s="7"/>
      <c r="L1241" s="7"/>
      <c r="M1241" s="7"/>
      <c r="N1241" s="7"/>
      <c r="O1241" s="7"/>
      <c r="P1241" s="7"/>
      <c r="Q1241" s="7"/>
      <c r="R1241" s="7"/>
      <c r="S1241" s="7"/>
      <c r="T1241" s="7"/>
      <c r="U1241" s="7"/>
      <c r="V1241" s="7"/>
      <c r="W1241" s="7"/>
      <c r="X1241" s="7"/>
      <c r="Y1241" s="7"/>
      <c r="Z1241" s="7"/>
      <c r="AA1241" s="7"/>
      <c r="AB1241" s="7"/>
      <c r="AC1241" s="7"/>
      <c r="AD1241" s="7"/>
      <c r="AE1241" s="7"/>
      <c r="AF1241" s="7"/>
      <c r="AG1241" s="7"/>
      <c r="AH1241" s="6" t="s">
        <v>2958</v>
      </c>
      <c r="AI1241" s="6" t="s">
        <v>2959</v>
      </c>
      <c r="AJ1241" s="6">
        <v>6.9070504039E10</v>
      </c>
      <c r="AK1241" s="6" t="s">
        <v>4331</v>
      </c>
      <c r="AL1241" s="6" t="s">
        <v>11864</v>
      </c>
      <c r="AM1241" s="6" t="s">
        <v>11865</v>
      </c>
      <c r="AN1241" s="6" t="s">
        <v>11866</v>
      </c>
      <c r="AO1241" s="6" t="s">
        <v>11867</v>
      </c>
      <c r="AP1241" s="6" t="s">
        <v>11868</v>
      </c>
      <c r="AQ1241" s="6" t="s">
        <v>11869</v>
      </c>
      <c r="AR1241" s="7"/>
      <c r="AS1241" s="6" t="s">
        <v>11870</v>
      </c>
      <c r="AT1241" s="6" t="s">
        <v>11871</v>
      </c>
      <c r="AU1241" s="6" t="s">
        <v>11872</v>
      </c>
      <c r="AV1241" s="6" t="s">
        <v>3306</v>
      </c>
      <c r="AW1241" s="6" t="s">
        <v>3307</v>
      </c>
      <c r="AX1241" s="6" t="s">
        <v>3887</v>
      </c>
      <c r="AY1241" s="6" t="s">
        <v>3309</v>
      </c>
      <c r="AZ1241" s="6" t="s">
        <v>3306</v>
      </c>
      <c r="BA1241" s="6" t="s">
        <v>3311</v>
      </c>
      <c r="BB1241" s="6" t="s">
        <v>3312</v>
      </c>
      <c r="BC1241" s="6" t="s">
        <v>3313</v>
      </c>
      <c r="BD1241" s="6" t="s">
        <v>165</v>
      </c>
      <c r="BE1241" s="6" t="s">
        <v>3314</v>
      </c>
      <c r="BF1241" s="6" t="s">
        <v>3315</v>
      </c>
      <c r="BG1241" s="6" t="s">
        <v>5760</v>
      </c>
      <c r="BH1241" s="6" t="s">
        <v>3317</v>
      </c>
      <c r="BI1241" s="6" t="s">
        <v>1211</v>
      </c>
      <c r="BJ1241" s="6" t="s">
        <v>3318</v>
      </c>
      <c r="BK1241" s="6" t="s">
        <v>3319</v>
      </c>
    </row>
    <row r="1242" ht="22.5" customHeight="1">
      <c r="A1242" s="4">
        <v>46229.70761328704</v>
      </c>
      <c r="B1242" s="5">
        <v>0.0</v>
      </c>
      <c r="C1242" s="6" t="s">
        <v>3296</v>
      </c>
      <c r="D1242" s="7"/>
      <c r="E1242" s="7"/>
      <c r="F1242" s="7"/>
      <c r="G1242" s="7"/>
      <c r="H1242" s="7"/>
      <c r="I1242" s="7"/>
      <c r="J1242" s="7"/>
      <c r="K1242" s="7"/>
      <c r="L1242" s="7"/>
      <c r="M1242" s="7"/>
      <c r="N1242" s="7"/>
      <c r="O1242" s="7"/>
      <c r="P1242" s="7"/>
      <c r="Q1242" s="7"/>
      <c r="R1242" s="7"/>
      <c r="S1242" s="7"/>
      <c r="T1242" s="7"/>
      <c r="U1242" s="7"/>
      <c r="V1242" s="7"/>
      <c r="W1242" s="7"/>
      <c r="X1242" s="7"/>
      <c r="Y1242" s="7"/>
      <c r="Z1242" s="7"/>
      <c r="AA1242" s="7"/>
      <c r="AB1242" s="7"/>
      <c r="AC1242" s="7"/>
      <c r="AD1242" s="7"/>
      <c r="AE1242" s="7"/>
      <c r="AF1242" s="7"/>
      <c r="AG1242" s="7"/>
      <c r="AH1242" s="6" t="s">
        <v>2960</v>
      </c>
      <c r="AI1242" s="6" t="s">
        <v>2961</v>
      </c>
      <c r="AJ1242" s="6">
        <v>6.9070503453E10</v>
      </c>
      <c r="AK1242" s="6" t="s">
        <v>3297</v>
      </c>
      <c r="AL1242" s="6" t="s">
        <v>11873</v>
      </c>
      <c r="AM1242" s="6" t="s">
        <v>11874</v>
      </c>
      <c r="AN1242" s="6" t="s">
        <v>11875</v>
      </c>
      <c r="AO1242" s="6" t="s">
        <v>6343</v>
      </c>
      <c r="AP1242" s="6" t="s">
        <v>11876</v>
      </c>
      <c r="AQ1242" s="6" t="s">
        <v>11877</v>
      </c>
      <c r="AR1242" s="6" t="s">
        <v>11878</v>
      </c>
      <c r="AS1242" s="6" t="s">
        <v>11879</v>
      </c>
      <c r="AT1242" s="6" t="s">
        <v>11880</v>
      </c>
      <c r="AU1242" s="6" t="s">
        <v>11881</v>
      </c>
      <c r="AV1242" s="6" t="s">
        <v>3306</v>
      </c>
      <c r="AW1242" s="6" t="s">
        <v>3307</v>
      </c>
      <c r="AX1242" s="6" t="s">
        <v>3887</v>
      </c>
      <c r="AY1242" s="6" t="s">
        <v>4067</v>
      </c>
      <c r="AZ1242" s="6" t="s">
        <v>3306</v>
      </c>
      <c r="BA1242" s="6" t="s">
        <v>3311</v>
      </c>
      <c r="BB1242" s="6" t="s">
        <v>3312</v>
      </c>
      <c r="BC1242" s="6" t="s">
        <v>3313</v>
      </c>
      <c r="BD1242" s="6" t="s">
        <v>165</v>
      </c>
      <c r="BE1242" s="6" t="s">
        <v>3314</v>
      </c>
      <c r="BF1242" s="6" t="s">
        <v>3315</v>
      </c>
      <c r="BG1242" s="6" t="s">
        <v>4068</v>
      </c>
      <c r="BH1242" s="6" t="s">
        <v>3317</v>
      </c>
      <c r="BI1242" s="6" t="s">
        <v>271</v>
      </c>
      <c r="BJ1242" s="6" t="s">
        <v>3318</v>
      </c>
      <c r="BK1242" s="6" t="s">
        <v>3319</v>
      </c>
    </row>
    <row r="1243" ht="22.5" customHeight="1">
      <c r="A1243" s="4">
        <v>46229.7076256713</v>
      </c>
      <c r="B1243" s="5">
        <v>0.0</v>
      </c>
      <c r="C1243" s="6" t="s">
        <v>3296</v>
      </c>
      <c r="D1243" s="7"/>
      <c r="E1243" s="7"/>
      <c r="F1243" s="7"/>
      <c r="G1243" s="7"/>
      <c r="H1243" s="7"/>
      <c r="I1243" s="7"/>
      <c r="J1243" s="7"/>
      <c r="K1243" s="7"/>
      <c r="L1243" s="7"/>
      <c r="M1243" s="7"/>
      <c r="N1243" s="7"/>
      <c r="O1243" s="7"/>
      <c r="P1243" s="7"/>
      <c r="Q1243" s="7"/>
      <c r="R1243" s="7"/>
      <c r="S1243" s="7"/>
      <c r="T1243" s="7"/>
      <c r="U1243" s="7"/>
      <c r="V1243" s="7"/>
      <c r="W1243" s="7"/>
      <c r="X1243" s="7"/>
      <c r="Y1243" s="7"/>
      <c r="Z1243" s="7"/>
      <c r="AA1243" s="7"/>
      <c r="AB1243" s="7"/>
      <c r="AC1243" s="7"/>
      <c r="AD1243" s="7"/>
      <c r="AE1243" s="7"/>
      <c r="AF1243" s="7"/>
      <c r="AG1243" s="7"/>
      <c r="AH1243" s="6" t="s">
        <v>2962</v>
      </c>
      <c r="AI1243" s="6" t="s">
        <v>2963</v>
      </c>
      <c r="AJ1243" s="6">
        <v>6.9070503259E10</v>
      </c>
      <c r="AK1243" s="6" t="s">
        <v>9323</v>
      </c>
      <c r="AL1243" s="6" t="s">
        <v>8113</v>
      </c>
      <c r="AM1243" s="6" t="s">
        <v>11882</v>
      </c>
      <c r="AN1243" s="6" t="s">
        <v>11883</v>
      </c>
      <c r="AO1243" s="6" t="s">
        <v>11884</v>
      </c>
      <c r="AP1243" s="6" t="s">
        <v>11885</v>
      </c>
      <c r="AQ1243" s="6" t="s">
        <v>11886</v>
      </c>
      <c r="AR1243" s="6" t="s">
        <v>11887</v>
      </c>
      <c r="AS1243" s="6" t="s">
        <v>11888</v>
      </c>
      <c r="AT1243" s="6" t="s">
        <v>11889</v>
      </c>
      <c r="AU1243" s="6" t="s">
        <v>11890</v>
      </c>
      <c r="AV1243" s="6" t="s">
        <v>3312</v>
      </c>
      <c r="AW1243" s="6" t="s">
        <v>3307</v>
      </c>
      <c r="AX1243" s="6" t="s">
        <v>3306</v>
      </c>
      <c r="AY1243" s="6" t="s">
        <v>5759</v>
      </c>
      <c r="AZ1243" s="6" t="s">
        <v>3310</v>
      </c>
      <c r="BA1243" s="6" t="s">
        <v>3311</v>
      </c>
      <c r="BB1243" s="6" t="s">
        <v>6098</v>
      </c>
      <c r="BC1243" s="6" t="s">
        <v>3313</v>
      </c>
      <c r="BD1243" s="6" t="s">
        <v>165</v>
      </c>
      <c r="BE1243" s="6" t="s">
        <v>3314</v>
      </c>
      <c r="BF1243" s="6" t="s">
        <v>3889</v>
      </c>
      <c r="BG1243" s="6" t="s">
        <v>4068</v>
      </c>
      <c r="BH1243" s="6" t="s">
        <v>5246</v>
      </c>
      <c r="BI1243" s="6" t="s">
        <v>178</v>
      </c>
      <c r="BJ1243" s="6" t="s">
        <v>5247</v>
      </c>
      <c r="BK1243" s="6" t="s">
        <v>3319</v>
      </c>
    </row>
    <row r="1244" ht="22.5" customHeight="1">
      <c r="A1244" s="4">
        <v>46229.70766792824</v>
      </c>
      <c r="B1244" s="5">
        <v>0.0</v>
      </c>
      <c r="C1244" s="6" t="s">
        <v>114</v>
      </c>
      <c r="D1244" s="6" t="s">
        <v>2477</v>
      </c>
      <c r="E1244" s="6" t="s">
        <v>2478</v>
      </c>
      <c r="F1244" s="6">
        <v>6.9070500686E10</v>
      </c>
      <c r="G1244" s="6" t="s">
        <v>6140</v>
      </c>
      <c r="H1244" s="7"/>
      <c r="I1244" s="6" t="s">
        <v>11891</v>
      </c>
      <c r="J1244" s="6" t="s">
        <v>11892</v>
      </c>
      <c r="K1244" s="6" t="s">
        <v>11893</v>
      </c>
      <c r="L1244" s="6" t="s">
        <v>11684</v>
      </c>
      <c r="M1244" s="6" t="s">
        <v>11894</v>
      </c>
      <c r="N1244" s="7"/>
      <c r="O1244" s="6" t="s">
        <v>11895</v>
      </c>
      <c r="P1244" s="6" t="s">
        <v>11896</v>
      </c>
      <c r="Q1244" s="6" t="s">
        <v>11897</v>
      </c>
      <c r="R1244" s="6" t="s">
        <v>246</v>
      </c>
      <c r="S1244" s="6" t="s">
        <v>147</v>
      </c>
      <c r="T1244" s="6" t="s">
        <v>250</v>
      </c>
      <c r="U1244" s="6" t="s">
        <v>252</v>
      </c>
      <c r="V1244" s="6" t="s">
        <v>246</v>
      </c>
      <c r="W1244" s="6" t="s">
        <v>158</v>
      </c>
      <c r="X1244" s="6" t="s">
        <v>257</v>
      </c>
      <c r="Y1244" s="6" t="s">
        <v>162</v>
      </c>
      <c r="Z1244" s="6" t="s">
        <v>165</v>
      </c>
      <c r="AA1244" s="6" t="s">
        <v>262</v>
      </c>
      <c r="AB1244" s="6" t="s">
        <v>521</v>
      </c>
      <c r="AC1244" s="6" t="s">
        <v>174</v>
      </c>
      <c r="AD1244" s="6" t="s">
        <v>1723</v>
      </c>
      <c r="AE1244" s="6" t="s">
        <v>524</v>
      </c>
      <c r="AF1244" s="6" t="s">
        <v>181</v>
      </c>
      <c r="AG1244" s="6" t="s">
        <v>182</v>
      </c>
      <c r="AH1244" s="7"/>
      <c r="AI1244" s="7"/>
      <c r="AJ1244" s="7"/>
      <c r="AK1244" s="7"/>
      <c r="AL1244" s="7"/>
      <c r="AM1244" s="7"/>
      <c r="AN1244" s="7"/>
      <c r="AO1244" s="7"/>
      <c r="AP1244" s="7"/>
      <c r="AQ1244" s="7"/>
      <c r="AR1244" s="7"/>
      <c r="AS1244" s="7"/>
      <c r="AT1244" s="7"/>
      <c r="AU1244" s="7"/>
      <c r="AV1244" s="7"/>
      <c r="AW1244" s="7"/>
      <c r="AX1244" s="7"/>
      <c r="AY1244" s="7"/>
      <c r="AZ1244" s="7"/>
      <c r="BA1244" s="7"/>
      <c r="BB1244" s="7"/>
      <c r="BC1244" s="7"/>
      <c r="BD1244" s="7"/>
      <c r="BE1244" s="7"/>
      <c r="BF1244" s="7"/>
      <c r="BG1244" s="7"/>
      <c r="BH1244" s="7"/>
      <c r="BI1244" s="7"/>
      <c r="BJ1244" s="7"/>
      <c r="BK1244" s="7"/>
    </row>
    <row r="1245" ht="22.5" customHeight="1">
      <c r="A1245" s="4">
        <v>46229.7077474074</v>
      </c>
      <c r="B1245" s="5">
        <v>0.0</v>
      </c>
      <c r="C1245" s="6" t="s">
        <v>3296</v>
      </c>
      <c r="D1245" s="7"/>
      <c r="E1245" s="7"/>
      <c r="F1245" s="7"/>
      <c r="G1245" s="7"/>
      <c r="H1245" s="7"/>
      <c r="I1245" s="7"/>
      <c r="J1245" s="7"/>
      <c r="K1245" s="7"/>
      <c r="L1245" s="7"/>
      <c r="M1245" s="7"/>
      <c r="N1245" s="7"/>
      <c r="O1245" s="7"/>
      <c r="P1245" s="7"/>
      <c r="Q1245" s="7"/>
      <c r="R1245" s="7"/>
      <c r="S1245" s="7"/>
      <c r="T1245" s="7"/>
      <c r="U1245" s="7"/>
      <c r="V1245" s="7"/>
      <c r="W1245" s="7"/>
      <c r="X1245" s="7"/>
      <c r="Y1245" s="7"/>
      <c r="Z1245" s="7"/>
      <c r="AA1245" s="7"/>
      <c r="AB1245" s="7"/>
      <c r="AC1245" s="7"/>
      <c r="AD1245" s="7"/>
      <c r="AE1245" s="7"/>
      <c r="AF1245" s="7"/>
      <c r="AG1245" s="7"/>
      <c r="AH1245" s="6" t="s">
        <v>2964</v>
      </c>
      <c r="AI1245" s="6" t="s">
        <v>2964</v>
      </c>
      <c r="AJ1245" s="6">
        <v>6.9070503238E10</v>
      </c>
      <c r="AK1245" s="6" t="s">
        <v>9323</v>
      </c>
      <c r="AL1245" s="6" t="s">
        <v>11898</v>
      </c>
      <c r="AM1245" s="6" t="s">
        <v>11899</v>
      </c>
      <c r="AN1245" s="6" t="s">
        <v>11900</v>
      </c>
      <c r="AO1245" s="6" t="s">
        <v>11901</v>
      </c>
      <c r="AP1245" s="6" t="s">
        <v>11902</v>
      </c>
      <c r="AQ1245" s="6" t="s">
        <v>11903</v>
      </c>
      <c r="AR1245" s="6" t="s">
        <v>11904</v>
      </c>
      <c r="AS1245" s="6" t="s">
        <v>11905</v>
      </c>
      <c r="AT1245" s="6" t="s">
        <v>11906</v>
      </c>
      <c r="AU1245" s="6" t="s">
        <v>11907</v>
      </c>
      <c r="AV1245" s="6" t="s">
        <v>3312</v>
      </c>
      <c r="AW1245" s="6" t="s">
        <v>9070</v>
      </c>
      <c r="AX1245" s="6" t="s">
        <v>3308</v>
      </c>
      <c r="AY1245" s="6" t="s">
        <v>5759</v>
      </c>
      <c r="AZ1245" s="6" t="s">
        <v>3306</v>
      </c>
      <c r="BA1245" s="6" t="s">
        <v>7204</v>
      </c>
      <c r="BB1245" s="6" t="s">
        <v>3312</v>
      </c>
      <c r="BC1245" s="6" t="s">
        <v>9071</v>
      </c>
      <c r="BD1245" s="6" t="s">
        <v>165</v>
      </c>
      <c r="BE1245" s="6" t="s">
        <v>4341</v>
      </c>
      <c r="BF1245" s="6" t="s">
        <v>3315</v>
      </c>
      <c r="BG1245" s="6" t="s">
        <v>3316</v>
      </c>
      <c r="BH1245" s="6" t="s">
        <v>5761</v>
      </c>
      <c r="BI1245" s="6" t="s">
        <v>271</v>
      </c>
      <c r="BJ1245" s="6" t="s">
        <v>4068</v>
      </c>
      <c r="BK1245" s="6" t="s">
        <v>5248</v>
      </c>
    </row>
    <row r="1246" ht="22.5" customHeight="1">
      <c r="A1246" s="4">
        <v>46229.707833622684</v>
      </c>
      <c r="B1246" s="5">
        <v>0.0</v>
      </c>
      <c r="C1246" s="6" t="s">
        <v>114</v>
      </c>
      <c r="D1246" s="6" t="s">
        <v>2479</v>
      </c>
      <c r="E1246" s="6" t="s">
        <v>2480</v>
      </c>
      <c r="F1246" s="6">
        <v>6.9070508846E10</v>
      </c>
      <c r="G1246" s="6" t="s">
        <v>5399</v>
      </c>
      <c r="H1246" s="7"/>
      <c r="I1246" s="6" t="s">
        <v>11908</v>
      </c>
      <c r="J1246" s="6" t="s">
        <v>11909</v>
      </c>
      <c r="K1246" s="6" t="s">
        <v>11910</v>
      </c>
      <c r="L1246" s="6" t="s">
        <v>11911</v>
      </c>
      <c r="M1246" s="6" t="s">
        <v>11912</v>
      </c>
      <c r="N1246" s="6" t="s">
        <v>11913</v>
      </c>
      <c r="O1246" s="6" t="s">
        <v>11914</v>
      </c>
      <c r="P1246" s="6" t="s">
        <v>11915</v>
      </c>
      <c r="Q1246" s="6" t="s">
        <v>11916</v>
      </c>
      <c r="R1246" s="6" t="s">
        <v>246</v>
      </c>
      <c r="S1246" s="6" t="s">
        <v>147</v>
      </c>
      <c r="T1246" s="6" t="s">
        <v>250</v>
      </c>
      <c r="U1246" s="6" t="s">
        <v>560</v>
      </c>
      <c r="V1246" s="6" t="s">
        <v>246</v>
      </c>
      <c r="W1246" s="6" t="s">
        <v>158</v>
      </c>
      <c r="X1246" s="6" t="s">
        <v>458</v>
      </c>
      <c r="Y1246" s="6" t="s">
        <v>162</v>
      </c>
      <c r="Z1246" s="6" t="s">
        <v>165</v>
      </c>
      <c r="AA1246" s="6" t="s">
        <v>262</v>
      </c>
      <c r="AB1246" s="6" t="s">
        <v>521</v>
      </c>
      <c r="AC1246" s="6" t="s">
        <v>174</v>
      </c>
      <c r="AD1246" s="6" t="s">
        <v>1723</v>
      </c>
      <c r="AE1246" s="6" t="s">
        <v>271</v>
      </c>
      <c r="AF1246" s="6" t="s">
        <v>181</v>
      </c>
      <c r="AG1246" s="6" t="s">
        <v>182</v>
      </c>
      <c r="AH1246" s="7"/>
      <c r="AI1246" s="7"/>
      <c r="AJ1246" s="7"/>
      <c r="AK1246" s="7"/>
      <c r="AL1246" s="7"/>
      <c r="AM1246" s="7"/>
      <c r="AN1246" s="7"/>
      <c r="AO1246" s="7"/>
      <c r="AP1246" s="7"/>
      <c r="AQ1246" s="7"/>
      <c r="AR1246" s="7"/>
      <c r="AS1246" s="7"/>
      <c r="AT1246" s="7"/>
      <c r="AU1246" s="7"/>
      <c r="AV1246" s="7"/>
      <c r="AW1246" s="7"/>
      <c r="AX1246" s="7"/>
      <c r="AY1246" s="7"/>
      <c r="AZ1246" s="7"/>
      <c r="BA1246" s="7"/>
      <c r="BB1246" s="7"/>
      <c r="BC1246" s="7"/>
      <c r="BD1246" s="7"/>
      <c r="BE1246" s="7"/>
      <c r="BF1246" s="7"/>
      <c r="BG1246" s="7"/>
      <c r="BH1246" s="7"/>
      <c r="BI1246" s="7"/>
      <c r="BJ1246" s="7"/>
      <c r="BK1246" s="7"/>
    </row>
    <row r="1247" ht="22.5" customHeight="1">
      <c r="A1247" s="4">
        <v>46229.70786872685</v>
      </c>
      <c r="B1247" s="5">
        <v>0.0</v>
      </c>
      <c r="C1247" s="6" t="s">
        <v>114</v>
      </c>
      <c r="D1247" s="6" t="s">
        <v>2481</v>
      </c>
      <c r="E1247" s="6" t="s">
        <v>2482</v>
      </c>
      <c r="F1247" s="6">
        <v>6.9070500671E10</v>
      </c>
      <c r="G1247" s="6" t="s">
        <v>6140</v>
      </c>
      <c r="H1247" s="7"/>
      <c r="I1247" s="6" t="s">
        <v>11917</v>
      </c>
      <c r="J1247" s="6" t="s">
        <v>11918</v>
      </c>
      <c r="K1247" s="6" t="s">
        <v>5126</v>
      </c>
      <c r="L1247" s="6" t="s">
        <v>4954</v>
      </c>
      <c r="M1247" s="6" t="s">
        <v>8963</v>
      </c>
      <c r="N1247" s="7"/>
      <c r="O1247" s="6" t="s">
        <v>11919</v>
      </c>
      <c r="P1247" s="6" t="s">
        <v>11920</v>
      </c>
      <c r="Q1247" s="6" t="s">
        <v>11921</v>
      </c>
      <c r="R1247" s="6" t="s">
        <v>246</v>
      </c>
      <c r="S1247" s="6" t="s">
        <v>147</v>
      </c>
      <c r="T1247" s="6" t="s">
        <v>516</v>
      </c>
      <c r="U1247" s="6" t="s">
        <v>686</v>
      </c>
      <c r="V1247" s="6" t="s">
        <v>250</v>
      </c>
      <c r="W1247" s="6" t="s">
        <v>158</v>
      </c>
      <c r="X1247" s="6" t="s">
        <v>257</v>
      </c>
      <c r="Y1247" s="6" t="s">
        <v>162</v>
      </c>
      <c r="Z1247" s="6" t="s">
        <v>165</v>
      </c>
      <c r="AA1247" s="6" t="s">
        <v>262</v>
      </c>
      <c r="AB1247" s="6" t="s">
        <v>171</v>
      </c>
      <c r="AC1247" s="6" t="s">
        <v>174</v>
      </c>
      <c r="AD1247" s="6" t="s">
        <v>175</v>
      </c>
      <c r="AE1247" s="6" t="s">
        <v>178</v>
      </c>
      <c r="AF1247" s="6" t="s">
        <v>181</v>
      </c>
      <c r="AG1247" s="6" t="s">
        <v>182</v>
      </c>
      <c r="AH1247" s="7"/>
      <c r="AI1247" s="7"/>
      <c r="AJ1247" s="7"/>
      <c r="AK1247" s="7"/>
      <c r="AL1247" s="7"/>
      <c r="AM1247" s="7"/>
      <c r="AN1247" s="7"/>
      <c r="AO1247" s="7"/>
      <c r="AP1247" s="7"/>
      <c r="AQ1247" s="7"/>
      <c r="AR1247" s="7"/>
      <c r="AS1247" s="7"/>
      <c r="AT1247" s="7"/>
      <c r="AU1247" s="7"/>
      <c r="AV1247" s="7"/>
      <c r="AW1247" s="7"/>
      <c r="AX1247" s="7"/>
      <c r="AY1247" s="7"/>
      <c r="AZ1247" s="7"/>
      <c r="BA1247" s="7"/>
      <c r="BB1247" s="7"/>
      <c r="BC1247" s="7"/>
      <c r="BD1247" s="7"/>
      <c r="BE1247" s="7"/>
      <c r="BF1247" s="7"/>
      <c r="BG1247" s="7"/>
      <c r="BH1247" s="7"/>
      <c r="BI1247" s="7"/>
      <c r="BJ1247" s="7"/>
      <c r="BK1247" s="7"/>
    </row>
    <row r="1248" ht="22.5" customHeight="1">
      <c r="A1248" s="4">
        <v>46229.70787398148</v>
      </c>
      <c r="B1248" s="5">
        <v>0.0</v>
      </c>
      <c r="C1248" s="6" t="s">
        <v>3296</v>
      </c>
      <c r="D1248" s="7"/>
      <c r="E1248" s="7"/>
      <c r="F1248" s="7"/>
      <c r="G1248" s="7"/>
      <c r="H1248" s="7"/>
      <c r="I1248" s="7"/>
      <c r="J1248" s="7"/>
      <c r="K1248" s="7"/>
      <c r="L1248" s="7"/>
      <c r="M1248" s="7"/>
      <c r="N1248" s="7"/>
      <c r="O1248" s="7"/>
      <c r="P1248" s="7"/>
      <c r="Q1248" s="7"/>
      <c r="R1248" s="7"/>
      <c r="S1248" s="7"/>
      <c r="T1248" s="7"/>
      <c r="U1248" s="7"/>
      <c r="V1248" s="7"/>
      <c r="W1248" s="7"/>
      <c r="X1248" s="7"/>
      <c r="Y1248" s="7"/>
      <c r="Z1248" s="7"/>
      <c r="AA1248" s="7"/>
      <c r="AB1248" s="7"/>
      <c r="AC1248" s="7"/>
      <c r="AD1248" s="7"/>
      <c r="AE1248" s="7"/>
      <c r="AF1248" s="7"/>
      <c r="AG1248" s="7"/>
      <c r="AH1248" s="6" t="s">
        <v>2965</v>
      </c>
      <c r="AI1248" s="6" t="s">
        <v>2966</v>
      </c>
      <c r="AJ1248" s="6">
        <v>6.9070504017E10</v>
      </c>
      <c r="AK1248" s="6" t="s">
        <v>4331</v>
      </c>
      <c r="AL1248" s="7"/>
      <c r="AM1248" s="6" t="s">
        <v>11922</v>
      </c>
      <c r="AN1248" s="6" t="s">
        <v>11923</v>
      </c>
      <c r="AO1248" s="6" t="s">
        <v>11924</v>
      </c>
      <c r="AP1248" s="6" t="s">
        <v>11925</v>
      </c>
      <c r="AQ1248" s="6" t="s">
        <v>11926</v>
      </c>
      <c r="AR1248" s="6" t="s">
        <v>11927</v>
      </c>
      <c r="AS1248" s="6" t="s">
        <v>11928</v>
      </c>
      <c r="AT1248" s="6" t="s">
        <v>11929</v>
      </c>
      <c r="AU1248" s="6" t="s">
        <v>11930</v>
      </c>
      <c r="AV1248" s="6" t="s">
        <v>3312</v>
      </c>
      <c r="AW1248" s="6" t="s">
        <v>3307</v>
      </c>
      <c r="AX1248" s="6" t="s">
        <v>3887</v>
      </c>
      <c r="AY1248" s="6" t="s">
        <v>3309</v>
      </c>
      <c r="AZ1248" s="6" t="s">
        <v>3306</v>
      </c>
      <c r="BA1248" s="6" t="s">
        <v>3311</v>
      </c>
      <c r="BB1248" s="6" t="s">
        <v>6098</v>
      </c>
      <c r="BC1248" s="6" t="s">
        <v>3313</v>
      </c>
      <c r="BD1248" s="6" t="s">
        <v>165</v>
      </c>
      <c r="BE1248" s="6" t="s">
        <v>3888</v>
      </c>
      <c r="BF1248" s="6" t="s">
        <v>3889</v>
      </c>
      <c r="BG1248" s="6" t="s">
        <v>4694</v>
      </c>
      <c r="BH1248" s="6" t="s">
        <v>3317</v>
      </c>
      <c r="BI1248" s="6" t="s">
        <v>271</v>
      </c>
      <c r="BJ1248" s="6" t="s">
        <v>3318</v>
      </c>
      <c r="BK1248" s="6" t="s">
        <v>3319</v>
      </c>
    </row>
    <row r="1249" ht="22.5" customHeight="1">
      <c r="A1249" s="4">
        <v>46229.707908553246</v>
      </c>
      <c r="B1249" s="5">
        <v>0.0</v>
      </c>
      <c r="C1249" s="6" t="s">
        <v>3296</v>
      </c>
      <c r="D1249" s="7"/>
      <c r="E1249" s="7"/>
      <c r="F1249" s="7"/>
      <c r="G1249" s="7"/>
      <c r="H1249" s="7"/>
      <c r="I1249" s="7"/>
      <c r="J1249" s="7"/>
      <c r="K1249" s="7"/>
      <c r="L1249" s="7"/>
      <c r="M1249" s="7"/>
      <c r="N1249" s="7"/>
      <c r="O1249" s="7"/>
      <c r="P1249" s="7"/>
      <c r="Q1249" s="7"/>
      <c r="R1249" s="7"/>
      <c r="S1249" s="7"/>
      <c r="T1249" s="7"/>
      <c r="U1249" s="7"/>
      <c r="V1249" s="7"/>
      <c r="W1249" s="7"/>
      <c r="X1249" s="7"/>
      <c r="Y1249" s="7"/>
      <c r="Z1249" s="7"/>
      <c r="AA1249" s="7"/>
      <c r="AB1249" s="7"/>
      <c r="AC1249" s="7"/>
      <c r="AD1249" s="7"/>
      <c r="AE1249" s="7"/>
      <c r="AF1249" s="7"/>
      <c r="AG1249" s="7"/>
      <c r="AH1249" s="6" t="s">
        <v>2967</v>
      </c>
      <c r="AI1249" s="6" t="s">
        <v>2968</v>
      </c>
      <c r="AJ1249" s="6">
        <v>6.9070503221E10</v>
      </c>
      <c r="AK1249" s="6" t="s">
        <v>9323</v>
      </c>
      <c r="AL1249" s="6" t="s">
        <v>2442</v>
      </c>
      <c r="AM1249" s="6" t="s">
        <v>11931</v>
      </c>
      <c r="AN1249" s="6" t="s">
        <v>11932</v>
      </c>
      <c r="AO1249" s="6" t="s">
        <v>11933</v>
      </c>
      <c r="AP1249" s="6" t="s">
        <v>11934</v>
      </c>
      <c r="AQ1249" s="6" t="s">
        <v>11935</v>
      </c>
      <c r="AR1249" s="7"/>
      <c r="AS1249" s="6" t="s">
        <v>11936</v>
      </c>
      <c r="AT1249" s="6" t="s">
        <v>11937</v>
      </c>
      <c r="AU1249" s="6" t="s">
        <v>11938</v>
      </c>
      <c r="AV1249" s="6" t="s">
        <v>3306</v>
      </c>
      <c r="AW1249" s="6" t="s">
        <v>3307</v>
      </c>
      <c r="AX1249" s="6" t="s">
        <v>3887</v>
      </c>
      <c r="AY1249" s="6" t="s">
        <v>5759</v>
      </c>
      <c r="AZ1249" s="6" t="s">
        <v>3310</v>
      </c>
      <c r="BA1249" s="6" t="s">
        <v>3311</v>
      </c>
      <c r="BB1249" s="6" t="s">
        <v>3312</v>
      </c>
      <c r="BC1249" s="6" t="s">
        <v>3313</v>
      </c>
      <c r="BD1249" s="6" t="s">
        <v>165</v>
      </c>
      <c r="BE1249" s="6" t="s">
        <v>5761</v>
      </c>
      <c r="BF1249" s="6" t="s">
        <v>4862</v>
      </c>
      <c r="BG1249" s="6" t="s">
        <v>3316</v>
      </c>
      <c r="BH1249" s="6" t="s">
        <v>7150</v>
      </c>
      <c r="BI1249" s="6" t="s">
        <v>524</v>
      </c>
      <c r="BJ1249" s="6" t="s">
        <v>5247</v>
      </c>
      <c r="BK1249" s="6" t="s">
        <v>7178</v>
      </c>
    </row>
    <row r="1250" ht="22.5" customHeight="1">
      <c r="A1250" s="4">
        <v>46229.707938865744</v>
      </c>
      <c r="B1250" s="5">
        <v>0.0</v>
      </c>
      <c r="C1250" s="6" t="s">
        <v>114</v>
      </c>
      <c r="D1250" s="6" t="s">
        <v>116</v>
      </c>
      <c r="E1250" s="6" t="s">
        <v>2483</v>
      </c>
      <c r="F1250" s="6">
        <v>6.9070500407E10</v>
      </c>
      <c r="G1250" s="6" t="s">
        <v>310</v>
      </c>
      <c r="H1250" s="7"/>
      <c r="I1250" s="6" t="s">
        <v>546</v>
      </c>
      <c r="J1250" s="6" t="s">
        <v>6268</v>
      </c>
      <c r="K1250" s="6" t="s">
        <v>11939</v>
      </c>
      <c r="L1250" s="6" t="s">
        <v>11940</v>
      </c>
      <c r="M1250" s="6" t="s">
        <v>11941</v>
      </c>
      <c r="N1250" s="6" t="s">
        <v>11942</v>
      </c>
      <c r="O1250" s="6" t="s">
        <v>11943</v>
      </c>
      <c r="P1250" s="6" t="s">
        <v>11944</v>
      </c>
      <c r="Q1250" s="6" t="s">
        <v>11945</v>
      </c>
      <c r="R1250" s="6" t="s">
        <v>257</v>
      </c>
      <c r="S1250" s="6" t="s">
        <v>147</v>
      </c>
      <c r="T1250" s="6" t="s">
        <v>250</v>
      </c>
      <c r="U1250" s="6" t="s">
        <v>686</v>
      </c>
      <c r="V1250" s="6" t="s">
        <v>246</v>
      </c>
      <c r="W1250" s="6" t="s">
        <v>3463</v>
      </c>
      <c r="X1250" s="6" t="s">
        <v>458</v>
      </c>
      <c r="Y1250" s="6" t="s">
        <v>162</v>
      </c>
      <c r="Z1250" s="6" t="s">
        <v>4804</v>
      </c>
      <c r="AA1250" s="6" t="s">
        <v>262</v>
      </c>
      <c r="AB1250" s="6" t="s">
        <v>171</v>
      </c>
      <c r="AC1250" s="6" t="s">
        <v>174</v>
      </c>
      <c r="AD1250" s="6" t="s">
        <v>175</v>
      </c>
      <c r="AE1250" s="6" t="s">
        <v>1211</v>
      </c>
      <c r="AF1250" s="6" t="s">
        <v>181</v>
      </c>
      <c r="AG1250" s="6" t="s">
        <v>641</v>
      </c>
      <c r="AH1250" s="7"/>
      <c r="AI1250" s="7"/>
      <c r="AJ1250" s="7"/>
      <c r="AK1250" s="7"/>
      <c r="AL1250" s="7"/>
      <c r="AM1250" s="7"/>
      <c r="AN1250" s="7"/>
      <c r="AO1250" s="7"/>
      <c r="AP1250" s="7"/>
      <c r="AQ1250" s="7"/>
      <c r="AR1250" s="7"/>
      <c r="AS1250" s="7"/>
      <c r="AT1250" s="7"/>
      <c r="AU1250" s="7"/>
      <c r="AV1250" s="7"/>
      <c r="AW1250" s="7"/>
      <c r="AX1250" s="7"/>
      <c r="AY1250" s="7"/>
      <c r="AZ1250" s="7"/>
      <c r="BA1250" s="7"/>
      <c r="BB1250" s="7"/>
      <c r="BC1250" s="7"/>
      <c r="BD1250" s="7"/>
      <c r="BE1250" s="7"/>
      <c r="BF1250" s="7"/>
      <c r="BG1250" s="7"/>
      <c r="BH1250" s="7"/>
      <c r="BI1250" s="7"/>
      <c r="BJ1250" s="7"/>
      <c r="BK1250" s="7"/>
    </row>
    <row r="1251" ht="22.5" customHeight="1">
      <c r="A1251" s="4">
        <v>46229.707955000005</v>
      </c>
      <c r="B1251" s="5">
        <v>0.0</v>
      </c>
      <c r="C1251" s="6" t="s">
        <v>3296</v>
      </c>
      <c r="D1251" s="7"/>
      <c r="E1251" s="7"/>
      <c r="F1251" s="7"/>
      <c r="G1251" s="7"/>
      <c r="H1251" s="7"/>
      <c r="I1251" s="7"/>
      <c r="J1251" s="7"/>
      <c r="K1251" s="7"/>
      <c r="L1251" s="7"/>
      <c r="M1251" s="7"/>
      <c r="N1251" s="7"/>
      <c r="O1251" s="7"/>
      <c r="P1251" s="7"/>
      <c r="Q1251" s="7"/>
      <c r="R1251" s="7"/>
      <c r="S1251" s="7"/>
      <c r="T1251" s="7"/>
      <c r="U1251" s="7"/>
      <c r="V1251" s="7"/>
      <c r="W1251" s="7"/>
      <c r="X1251" s="7"/>
      <c r="Y1251" s="7"/>
      <c r="Z1251" s="7"/>
      <c r="AA1251" s="7"/>
      <c r="AB1251" s="7"/>
      <c r="AC1251" s="7"/>
      <c r="AD1251" s="7"/>
      <c r="AE1251" s="7"/>
      <c r="AF1251" s="7"/>
      <c r="AG1251" s="7"/>
      <c r="AH1251" s="6" t="s">
        <v>2969</v>
      </c>
      <c r="AI1251" s="6" t="s">
        <v>2970</v>
      </c>
      <c r="AJ1251" s="6">
        <v>6.9070503281E10</v>
      </c>
      <c r="AK1251" s="6" t="s">
        <v>9323</v>
      </c>
      <c r="AL1251" s="6" t="s">
        <v>2633</v>
      </c>
      <c r="AM1251" s="6" t="s">
        <v>11946</v>
      </c>
      <c r="AN1251" s="6" t="s">
        <v>11947</v>
      </c>
      <c r="AO1251" s="6" t="s">
        <v>11948</v>
      </c>
      <c r="AP1251" s="6" t="s">
        <v>11949</v>
      </c>
      <c r="AQ1251" s="6" t="s">
        <v>11950</v>
      </c>
      <c r="AR1251" s="7"/>
      <c r="AS1251" s="6" t="s">
        <v>11951</v>
      </c>
      <c r="AT1251" s="6" t="s">
        <v>11952</v>
      </c>
      <c r="AU1251" s="6" t="s">
        <v>11952</v>
      </c>
      <c r="AV1251" s="6" t="s">
        <v>3306</v>
      </c>
      <c r="AW1251" s="6" t="s">
        <v>3307</v>
      </c>
      <c r="AX1251" s="6" t="s">
        <v>3887</v>
      </c>
      <c r="AY1251" s="6" t="s">
        <v>3309</v>
      </c>
      <c r="AZ1251" s="6" t="s">
        <v>3306</v>
      </c>
      <c r="BA1251" s="6" t="s">
        <v>3311</v>
      </c>
      <c r="BB1251" s="6" t="s">
        <v>3312</v>
      </c>
      <c r="BC1251" s="6" t="s">
        <v>3313</v>
      </c>
      <c r="BD1251" s="6" t="s">
        <v>165</v>
      </c>
      <c r="BE1251" s="6" t="s">
        <v>3888</v>
      </c>
      <c r="BF1251" s="6" t="s">
        <v>3315</v>
      </c>
      <c r="BG1251" s="6" t="s">
        <v>4068</v>
      </c>
      <c r="BH1251" s="6" t="s">
        <v>3317</v>
      </c>
      <c r="BI1251" s="6" t="s">
        <v>524</v>
      </c>
      <c r="BJ1251" s="6" t="s">
        <v>5247</v>
      </c>
      <c r="BK1251" s="6" t="s">
        <v>3319</v>
      </c>
    </row>
    <row r="1252" ht="22.5" customHeight="1">
      <c r="A1252" s="4">
        <v>46229.70807099537</v>
      </c>
      <c r="B1252" s="5">
        <v>0.0</v>
      </c>
      <c r="C1252" s="6" t="s">
        <v>114</v>
      </c>
      <c r="D1252" s="6" t="s">
        <v>2484</v>
      </c>
      <c r="E1252" s="6" t="s">
        <v>2485</v>
      </c>
      <c r="F1252" s="6">
        <v>6.9070509447E10</v>
      </c>
      <c r="G1252" s="6" t="s">
        <v>122</v>
      </c>
      <c r="H1252" s="6" t="s">
        <v>11953</v>
      </c>
      <c r="I1252" s="6" t="s">
        <v>11954</v>
      </c>
      <c r="J1252" s="6" t="s">
        <v>11955</v>
      </c>
      <c r="K1252" s="6" t="s">
        <v>11956</v>
      </c>
      <c r="L1252" s="6" t="s">
        <v>11957</v>
      </c>
      <c r="M1252" s="6" t="s">
        <v>11958</v>
      </c>
      <c r="N1252" s="7"/>
      <c r="O1252" s="6" t="s">
        <v>11959</v>
      </c>
      <c r="P1252" s="6" t="s">
        <v>11960</v>
      </c>
      <c r="Q1252" s="6" t="s">
        <v>11961</v>
      </c>
      <c r="R1252" s="6" t="s">
        <v>246</v>
      </c>
      <c r="S1252" s="6" t="s">
        <v>147</v>
      </c>
      <c r="T1252" s="6" t="s">
        <v>250</v>
      </c>
      <c r="U1252" s="6" t="s">
        <v>560</v>
      </c>
      <c r="V1252" s="6" t="s">
        <v>246</v>
      </c>
      <c r="W1252" s="6" t="s">
        <v>932</v>
      </c>
      <c r="X1252" s="6" t="s">
        <v>257</v>
      </c>
      <c r="Y1252" s="6" t="s">
        <v>162</v>
      </c>
      <c r="Z1252" s="6" t="s">
        <v>165</v>
      </c>
      <c r="AA1252" s="6" t="s">
        <v>262</v>
      </c>
      <c r="AB1252" s="6" t="s">
        <v>171</v>
      </c>
      <c r="AC1252" s="6" t="s">
        <v>174</v>
      </c>
      <c r="AD1252" s="6" t="s">
        <v>635</v>
      </c>
      <c r="AE1252" s="6" t="s">
        <v>3105</v>
      </c>
      <c r="AF1252" s="6" t="s">
        <v>181</v>
      </c>
      <c r="AG1252" s="6" t="s">
        <v>182</v>
      </c>
      <c r="AH1252" s="7"/>
      <c r="AI1252" s="7"/>
      <c r="AJ1252" s="7"/>
      <c r="AK1252" s="7"/>
      <c r="AL1252" s="7"/>
      <c r="AM1252" s="7"/>
      <c r="AN1252" s="7"/>
      <c r="AO1252" s="7"/>
      <c r="AP1252" s="7"/>
      <c r="AQ1252" s="7"/>
      <c r="AR1252" s="7"/>
      <c r="AS1252" s="7"/>
      <c r="AT1252" s="7"/>
      <c r="AU1252" s="7"/>
      <c r="AV1252" s="7"/>
      <c r="AW1252" s="7"/>
      <c r="AX1252" s="7"/>
      <c r="AY1252" s="7"/>
      <c r="AZ1252" s="7"/>
      <c r="BA1252" s="7"/>
      <c r="BB1252" s="7"/>
      <c r="BC1252" s="7"/>
      <c r="BD1252" s="7"/>
      <c r="BE1252" s="7"/>
      <c r="BF1252" s="7"/>
      <c r="BG1252" s="7"/>
      <c r="BH1252" s="7"/>
      <c r="BI1252" s="7"/>
      <c r="BJ1252" s="7"/>
      <c r="BK1252" s="7"/>
    </row>
    <row r="1253" ht="22.5" customHeight="1">
      <c r="A1253" s="4">
        <v>46229.708136967594</v>
      </c>
      <c r="B1253" s="5">
        <v>0.0</v>
      </c>
      <c r="C1253" s="6" t="s">
        <v>114</v>
      </c>
      <c r="D1253" s="6" t="s">
        <v>844</v>
      </c>
      <c r="E1253" s="6" t="s">
        <v>2486</v>
      </c>
      <c r="F1253" s="6">
        <v>6.9070508845E10</v>
      </c>
      <c r="G1253" s="6" t="s">
        <v>5399</v>
      </c>
      <c r="H1253" s="7"/>
      <c r="I1253" s="6" t="s">
        <v>11962</v>
      </c>
      <c r="J1253" s="6" t="s">
        <v>11963</v>
      </c>
      <c r="K1253" s="6" t="s">
        <v>11964</v>
      </c>
      <c r="L1253" s="6" t="s">
        <v>11965</v>
      </c>
      <c r="M1253" s="6" t="s">
        <v>11966</v>
      </c>
      <c r="N1253" s="7"/>
      <c r="O1253" s="6" t="s">
        <v>11967</v>
      </c>
      <c r="P1253" s="6" t="s">
        <v>11968</v>
      </c>
      <c r="Q1253" s="6" t="s">
        <v>11969</v>
      </c>
      <c r="R1253" s="6" t="s">
        <v>246</v>
      </c>
      <c r="S1253" s="6" t="s">
        <v>147</v>
      </c>
      <c r="T1253" s="6" t="s">
        <v>250</v>
      </c>
      <c r="U1253" s="6" t="s">
        <v>152</v>
      </c>
      <c r="V1253" s="6" t="s">
        <v>246</v>
      </c>
      <c r="W1253" s="6" t="s">
        <v>158</v>
      </c>
      <c r="X1253" s="6" t="s">
        <v>257</v>
      </c>
      <c r="Y1253" s="6" t="s">
        <v>162</v>
      </c>
      <c r="Z1253" s="6" t="s">
        <v>165</v>
      </c>
      <c r="AA1253" s="6" t="s">
        <v>262</v>
      </c>
      <c r="AB1253" s="6" t="s">
        <v>521</v>
      </c>
      <c r="AC1253" s="6" t="s">
        <v>174</v>
      </c>
      <c r="AD1253" s="6" t="s">
        <v>175</v>
      </c>
      <c r="AE1253" s="6" t="s">
        <v>271</v>
      </c>
      <c r="AF1253" s="6" t="s">
        <v>181</v>
      </c>
      <c r="AG1253" s="6" t="s">
        <v>182</v>
      </c>
      <c r="AH1253" s="7"/>
      <c r="AI1253" s="7"/>
      <c r="AJ1253" s="7"/>
      <c r="AK1253" s="7"/>
      <c r="AL1253" s="7"/>
      <c r="AM1253" s="7"/>
      <c r="AN1253" s="7"/>
      <c r="AO1253" s="7"/>
      <c r="AP1253" s="7"/>
      <c r="AQ1253" s="7"/>
      <c r="AR1253" s="7"/>
      <c r="AS1253" s="7"/>
      <c r="AT1253" s="7"/>
      <c r="AU1253" s="7"/>
      <c r="AV1253" s="7"/>
      <c r="AW1253" s="7"/>
      <c r="AX1253" s="7"/>
      <c r="AY1253" s="7"/>
      <c r="AZ1253" s="7"/>
      <c r="BA1253" s="7"/>
      <c r="BB1253" s="7"/>
      <c r="BC1253" s="7"/>
      <c r="BD1253" s="7"/>
      <c r="BE1253" s="7"/>
      <c r="BF1253" s="7"/>
      <c r="BG1253" s="7"/>
      <c r="BH1253" s="7"/>
      <c r="BI1253" s="7"/>
      <c r="BJ1253" s="7"/>
      <c r="BK1253" s="7"/>
    </row>
    <row r="1254" ht="22.5" customHeight="1">
      <c r="A1254" s="4">
        <v>46229.708176307875</v>
      </c>
      <c r="B1254" s="5">
        <v>0.0</v>
      </c>
      <c r="C1254" s="6" t="s">
        <v>3296</v>
      </c>
      <c r="D1254" s="7"/>
      <c r="E1254" s="7"/>
      <c r="F1254" s="7"/>
      <c r="G1254" s="7"/>
      <c r="H1254" s="7"/>
      <c r="I1254" s="7"/>
      <c r="J1254" s="7"/>
      <c r="K1254" s="7"/>
      <c r="L1254" s="7"/>
      <c r="M1254" s="7"/>
      <c r="N1254" s="7"/>
      <c r="O1254" s="7"/>
      <c r="P1254" s="7"/>
      <c r="Q1254" s="7"/>
      <c r="R1254" s="7"/>
      <c r="S1254" s="7"/>
      <c r="T1254" s="7"/>
      <c r="U1254" s="7"/>
      <c r="V1254" s="7"/>
      <c r="W1254" s="7"/>
      <c r="X1254" s="7"/>
      <c r="Y1254" s="7"/>
      <c r="Z1254" s="7"/>
      <c r="AA1254" s="7"/>
      <c r="AB1254" s="7"/>
      <c r="AC1254" s="7"/>
      <c r="AD1254" s="7"/>
      <c r="AE1254" s="7"/>
      <c r="AF1254" s="7"/>
      <c r="AG1254" s="7"/>
      <c r="AH1254" s="6" t="s">
        <v>2412</v>
      </c>
      <c r="AI1254" s="6" t="s">
        <v>2971</v>
      </c>
      <c r="AJ1254" s="6">
        <v>6.9070503209E10</v>
      </c>
      <c r="AK1254" s="6" t="s">
        <v>9323</v>
      </c>
      <c r="AL1254" s="7"/>
      <c r="AM1254" s="6" t="s">
        <v>11970</v>
      </c>
      <c r="AN1254" s="6" t="s">
        <v>11971</v>
      </c>
      <c r="AO1254" s="6" t="s">
        <v>11972</v>
      </c>
      <c r="AP1254" s="6" t="s">
        <v>11973</v>
      </c>
      <c r="AQ1254" s="6" t="s">
        <v>11974</v>
      </c>
      <c r="AR1254" s="7"/>
      <c r="AS1254" s="6" t="s">
        <v>11975</v>
      </c>
      <c r="AT1254" s="6" t="s">
        <v>11976</v>
      </c>
      <c r="AU1254" s="6" t="s">
        <v>11977</v>
      </c>
      <c r="AV1254" s="6" t="s">
        <v>3306</v>
      </c>
      <c r="AW1254" s="6" t="s">
        <v>3307</v>
      </c>
      <c r="AX1254" s="6" t="s">
        <v>3887</v>
      </c>
      <c r="AY1254" s="6" t="s">
        <v>5759</v>
      </c>
      <c r="AZ1254" s="6" t="s">
        <v>3310</v>
      </c>
      <c r="BA1254" s="6" t="s">
        <v>7204</v>
      </c>
      <c r="BB1254" s="6" t="s">
        <v>3312</v>
      </c>
      <c r="BC1254" s="6" t="s">
        <v>3313</v>
      </c>
      <c r="BD1254" s="6" t="s">
        <v>165</v>
      </c>
      <c r="BE1254" s="6" t="s">
        <v>5631</v>
      </c>
      <c r="BF1254" s="6" t="s">
        <v>3315</v>
      </c>
      <c r="BG1254" s="6" t="s">
        <v>5760</v>
      </c>
      <c r="BH1254" s="6" t="s">
        <v>7150</v>
      </c>
      <c r="BI1254" s="6" t="s">
        <v>271</v>
      </c>
      <c r="BJ1254" s="6" t="s">
        <v>3318</v>
      </c>
      <c r="BK1254" s="6" t="s">
        <v>3319</v>
      </c>
    </row>
    <row r="1255" ht="22.5" customHeight="1">
      <c r="A1255" s="4">
        <v>46229.70837836806</v>
      </c>
      <c r="B1255" s="5">
        <v>0.0</v>
      </c>
      <c r="C1255" s="6" t="s">
        <v>114</v>
      </c>
      <c r="D1255" s="6" t="s">
        <v>2487</v>
      </c>
      <c r="E1255" s="6" t="s">
        <v>1409</v>
      </c>
      <c r="F1255" s="6">
        <v>6.9070502489E10</v>
      </c>
      <c r="G1255" s="6" t="s">
        <v>122</v>
      </c>
      <c r="H1255" s="7"/>
      <c r="I1255" s="6" t="s">
        <v>11978</v>
      </c>
      <c r="J1255" s="6" t="s">
        <v>11979</v>
      </c>
      <c r="K1255" s="6" t="s">
        <v>11980</v>
      </c>
      <c r="L1255" s="6" t="s">
        <v>1954</v>
      </c>
      <c r="M1255" s="6" t="s">
        <v>11981</v>
      </c>
      <c r="N1255" s="7"/>
      <c r="O1255" s="6" t="s">
        <v>11982</v>
      </c>
      <c r="P1255" s="6" t="s">
        <v>11983</v>
      </c>
      <c r="Q1255" s="6" t="s">
        <v>11984</v>
      </c>
      <c r="R1255" s="6" t="s">
        <v>246</v>
      </c>
      <c r="S1255" s="6" t="s">
        <v>147</v>
      </c>
      <c r="T1255" s="6" t="s">
        <v>250</v>
      </c>
      <c r="U1255" s="6" t="s">
        <v>152</v>
      </c>
      <c r="V1255" s="6" t="s">
        <v>246</v>
      </c>
      <c r="W1255" s="6" t="s">
        <v>158</v>
      </c>
      <c r="X1255" s="6" t="s">
        <v>257</v>
      </c>
      <c r="Y1255" s="6" t="s">
        <v>162</v>
      </c>
      <c r="Z1255" s="6" t="s">
        <v>165</v>
      </c>
      <c r="AA1255" s="6" t="s">
        <v>262</v>
      </c>
      <c r="AB1255" s="6" t="s">
        <v>521</v>
      </c>
      <c r="AC1255" s="6" t="s">
        <v>174</v>
      </c>
      <c r="AD1255" s="6" t="s">
        <v>175</v>
      </c>
      <c r="AE1255" s="6" t="s">
        <v>1211</v>
      </c>
      <c r="AF1255" s="6" t="s">
        <v>181</v>
      </c>
      <c r="AG1255" s="6" t="s">
        <v>182</v>
      </c>
      <c r="AH1255" s="7"/>
      <c r="AI1255" s="7"/>
      <c r="AJ1255" s="7"/>
      <c r="AK1255" s="7"/>
      <c r="AL1255" s="7"/>
      <c r="AM1255" s="7"/>
      <c r="AN1255" s="7"/>
      <c r="AO1255" s="7"/>
      <c r="AP1255" s="7"/>
      <c r="AQ1255" s="7"/>
      <c r="AR1255" s="7"/>
      <c r="AS1255" s="7"/>
      <c r="AT1255" s="7"/>
      <c r="AU1255" s="7"/>
      <c r="AV1255" s="7"/>
      <c r="AW1255" s="7"/>
      <c r="AX1255" s="7"/>
      <c r="AY1255" s="7"/>
      <c r="AZ1255" s="7"/>
      <c r="BA1255" s="7"/>
      <c r="BB1255" s="7"/>
      <c r="BC1255" s="7"/>
      <c r="BD1255" s="7"/>
      <c r="BE1255" s="7"/>
      <c r="BF1255" s="7"/>
      <c r="BG1255" s="7"/>
      <c r="BH1255" s="7"/>
      <c r="BI1255" s="7"/>
      <c r="BJ1255" s="7"/>
      <c r="BK1255" s="7"/>
    </row>
    <row r="1256" ht="22.5" customHeight="1">
      <c r="A1256" s="4">
        <v>46229.70850603009</v>
      </c>
      <c r="B1256" s="5">
        <v>0.0</v>
      </c>
      <c r="C1256" s="6" t="s">
        <v>3296</v>
      </c>
      <c r="D1256" s="7"/>
      <c r="E1256" s="7"/>
      <c r="F1256" s="7"/>
      <c r="G1256" s="7"/>
      <c r="H1256" s="7"/>
      <c r="I1256" s="7"/>
      <c r="J1256" s="7"/>
      <c r="K1256" s="7"/>
      <c r="L1256" s="7"/>
      <c r="M1256" s="7"/>
      <c r="N1256" s="7"/>
      <c r="O1256" s="7"/>
      <c r="P1256" s="7"/>
      <c r="Q1256" s="7"/>
      <c r="R1256" s="7"/>
      <c r="S1256" s="7"/>
      <c r="T1256" s="7"/>
      <c r="U1256" s="7"/>
      <c r="V1256" s="7"/>
      <c r="W1256" s="7"/>
      <c r="X1256" s="7"/>
      <c r="Y1256" s="7"/>
      <c r="Z1256" s="7"/>
      <c r="AA1256" s="7"/>
      <c r="AB1256" s="7"/>
      <c r="AC1256" s="7"/>
      <c r="AD1256" s="7"/>
      <c r="AE1256" s="7"/>
      <c r="AF1256" s="7"/>
      <c r="AG1256" s="7"/>
      <c r="AH1256" s="6" t="s">
        <v>2972</v>
      </c>
      <c r="AI1256" s="6" t="s">
        <v>2973</v>
      </c>
      <c r="AJ1256" s="6">
        <v>6.9070503277E10</v>
      </c>
      <c r="AK1256" s="6" t="s">
        <v>9323</v>
      </c>
      <c r="AL1256" s="7"/>
      <c r="AM1256" s="6" t="s">
        <v>11985</v>
      </c>
      <c r="AN1256" s="6" t="s">
        <v>11986</v>
      </c>
      <c r="AO1256" s="6" t="s">
        <v>11987</v>
      </c>
      <c r="AP1256" s="6" t="s">
        <v>11988</v>
      </c>
      <c r="AQ1256" s="6" t="s">
        <v>11989</v>
      </c>
      <c r="AR1256" s="7"/>
      <c r="AS1256" s="6" t="s">
        <v>11990</v>
      </c>
      <c r="AT1256" s="6" t="s">
        <v>11991</v>
      </c>
      <c r="AU1256" s="6" t="s">
        <v>11991</v>
      </c>
      <c r="AV1256" s="6" t="s">
        <v>3306</v>
      </c>
      <c r="AW1256" s="6" t="s">
        <v>3307</v>
      </c>
      <c r="AX1256" s="6" t="s">
        <v>3306</v>
      </c>
      <c r="AY1256" s="6" t="s">
        <v>4067</v>
      </c>
      <c r="AZ1256" s="6" t="s">
        <v>3306</v>
      </c>
      <c r="BA1256" s="6" t="s">
        <v>7430</v>
      </c>
      <c r="BB1256" s="6" t="s">
        <v>3887</v>
      </c>
      <c r="BC1256" s="6" t="s">
        <v>3313</v>
      </c>
      <c r="BD1256" s="6" t="s">
        <v>629</v>
      </c>
      <c r="BE1256" s="6" t="s">
        <v>3314</v>
      </c>
      <c r="BF1256" s="6" t="s">
        <v>3315</v>
      </c>
      <c r="BG1256" s="6" t="s">
        <v>4342</v>
      </c>
      <c r="BH1256" s="6" t="s">
        <v>5761</v>
      </c>
      <c r="BI1256" s="6" t="s">
        <v>271</v>
      </c>
      <c r="BJ1256" s="6" t="s">
        <v>3318</v>
      </c>
      <c r="BK1256" s="6" t="s">
        <v>3319</v>
      </c>
    </row>
    <row r="1257" ht="22.5" customHeight="1">
      <c r="A1257" s="4">
        <v>46229.70853309028</v>
      </c>
      <c r="B1257" s="5">
        <v>0.0</v>
      </c>
      <c r="C1257" s="6" t="s">
        <v>3296</v>
      </c>
      <c r="D1257" s="7"/>
      <c r="E1257" s="7"/>
      <c r="F1257" s="7"/>
      <c r="G1257" s="7"/>
      <c r="H1257" s="7"/>
      <c r="I1257" s="7"/>
      <c r="J1257" s="7"/>
      <c r="K1257" s="7"/>
      <c r="L1257" s="7"/>
      <c r="M1257" s="7"/>
      <c r="N1257" s="7"/>
      <c r="O1257" s="7"/>
      <c r="P1257" s="7"/>
      <c r="Q1257" s="7"/>
      <c r="R1257" s="7"/>
      <c r="S1257" s="7"/>
      <c r="T1257" s="7"/>
      <c r="U1257" s="7"/>
      <c r="V1257" s="7"/>
      <c r="W1257" s="7"/>
      <c r="X1257" s="7"/>
      <c r="Y1257" s="7"/>
      <c r="Z1257" s="7"/>
      <c r="AA1257" s="7"/>
      <c r="AB1257" s="7"/>
      <c r="AC1257" s="7"/>
      <c r="AD1257" s="7"/>
      <c r="AE1257" s="7"/>
      <c r="AF1257" s="7"/>
      <c r="AG1257" s="7"/>
      <c r="AH1257" s="6" t="s">
        <v>2909</v>
      </c>
      <c r="AI1257" s="6" t="s">
        <v>2974</v>
      </c>
      <c r="AJ1257" s="6">
        <v>6.9070503256E10</v>
      </c>
      <c r="AK1257" s="6" t="s">
        <v>9323</v>
      </c>
      <c r="AL1257" s="7"/>
      <c r="AM1257" s="6" t="s">
        <v>11992</v>
      </c>
      <c r="AN1257" s="6" t="s">
        <v>11993</v>
      </c>
      <c r="AO1257" s="6" t="s">
        <v>11994</v>
      </c>
      <c r="AP1257" s="6" t="s">
        <v>11995</v>
      </c>
      <c r="AQ1257" s="6" t="s">
        <v>11996</v>
      </c>
      <c r="AR1257" s="7"/>
      <c r="AS1257" s="6" t="s">
        <v>11997</v>
      </c>
      <c r="AT1257" s="6" t="s">
        <v>11998</v>
      </c>
      <c r="AU1257" s="6" t="s">
        <v>11999</v>
      </c>
      <c r="AV1257" s="6" t="s">
        <v>3312</v>
      </c>
      <c r="AW1257" s="6" t="s">
        <v>3307</v>
      </c>
      <c r="AX1257" s="6" t="s">
        <v>3887</v>
      </c>
      <c r="AY1257" s="6" t="s">
        <v>5759</v>
      </c>
      <c r="AZ1257" s="6" t="s">
        <v>3310</v>
      </c>
      <c r="BA1257" s="6" t="s">
        <v>3311</v>
      </c>
      <c r="BB1257" s="6" t="s">
        <v>4693</v>
      </c>
      <c r="BC1257" s="6" t="s">
        <v>3313</v>
      </c>
      <c r="BD1257" s="6" t="s">
        <v>165</v>
      </c>
      <c r="BE1257" s="6" t="s">
        <v>5631</v>
      </c>
      <c r="BF1257" s="6" t="s">
        <v>3315</v>
      </c>
      <c r="BG1257" s="6" t="s">
        <v>5760</v>
      </c>
      <c r="BH1257" s="6" t="s">
        <v>7150</v>
      </c>
      <c r="BI1257" s="6" t="s">
        <v>271</v>
      </c>
      <c r="BJ1257" s="6" t="s">
        <v>3318</v>
      </c>
      <c r="BK1257" s="6" t="s">
        <v>3319</v>
      </c>
    </row>
    <row r="1258" ht="22.5" customHeight="1">
      <c r="A1258" s="4">
        <v>46229.70878954861</v>
      </c>
      <c r="B1258" s="5">
        <v>0.0</v>
      </c>
      <c r="C1258" s="6" t="s">
        <v>3296</v>
      </c>
      <c r="D1258" s="7"/>
      <c r="E1258" s="7"/>
      <c r="F1258" s="7"/>
      <c r="G1258" s="7"/>
      <c r="H1258" s="7"/>
      <c r="I1258" s="7"/>
      <c r="J1258" s="7"/>
      <c r="K1258" s="7"/>
      <c r="L1258" s="7"/>
      <c r="M1258" s="7"/>
      <c r="N1258" s="7"/>
      <c r="O1258" s="7"/>
      <c r="P1258" s="7"/>
      <c r="Q1258" s="7"/>
      <c r="R1258" s="7"/>
      <c r="S1258" s="7"/>
      <c r="T1258" s="7"/>
      <c r="U1258" s="7"/>
      <c r="V1258" s="7"/>
      <c r="W1258" s="7"/>
      <c r="X1258" s="7"/>
      <c r="Y1258" s="7"/>
      <c r="Z1258" s="7"/>
      <c r="AA1258" s="7"/>
      <c r="AB1258" s="7"/>
      <c r="AC1258" s="7"/>
      <c r="AD1258" s="7"/>
      <c r="AE1258" s="7"/>
      <c r="AF1258" s="7"/>
      <c r="AG1258" s="7"/>
      <c r="AH1258" s="6" t="s">
        <v>2975</v>
      </c>
      <c r="AI1258" s="6" t="s">
        <v>2976</v>
      </c>
      <c r="AJ1258" s="6">
        <v>6.9070503267E10</v>
      </c>
      <c r="AK1258" s="6" t="s">
        <v>9323</v>
      </c>
      <c r="AL1258" s="6" t="s">
        <v>12000</v>
      </c>
      <c r="AM1258" s="6" t="s">
        <v>12001</v>
      </c>
      <c r="AN1258" s="6" t="s">
        <v>12002</v>
      </c>
      <c r="AO1258" s="6" t="s">
        <v>12003</v>
      </c>
      <c r="AP1258" s="6" t="s">
        <v>10966</v>
      </c>
      <c r="AQ1258" s="6" t="s">
        <v>12004</v>
      </c>
      <c r="AR1258" s="6" t="s">
        <v>12005</v>
      </c>
      <c r="AS1258" s="6" t="s">
        <v>12006</v>
      </c>
      <c r="AT1258" s="6" t="s">
        <v>12007</v>
      </c>
      <c r="AU1258" s="6" t="s">
        <v>12008</v>
      </c>
      <c r="AV1258" s="6" t="s">
        <v>3306</v>
      </c>
      <c r="AW1258" s="6" t="s">
        <v>3307</v>
      </c>
      <c r="AX1258" s="6" t="s">
        <v>3312</v>
      </c>
      <c r="AY1258" s="6" t="s">
        <v>4067</v>
      </c>
      <c r="AZ1258" s="6" t="s">
        <v>3306</v>
      </c>
      <c r="BA1258" s="6" t="s">
        <v>7430</v>
      </c>
      <c r="BB1258" s="6" t="s">
        <v>3306</v>
      </c>
      <c r="BC1258" s="6" t="s">
        <v>3313</v>
      </c>
      <c r="BD1258" s="6" t="s">
        <v>165</v>
      </c>
      <c r="BE1258" s="6" t="s">
        <v>4341</v>
      </c>
      <c r="BF1258" s="6" t="s">
        <v>3315</v>
      </c>
      <c r="BG1258" s="6" t="s">
        <v>3316</v>
      </c>
      <c r="BH1258" s="6" t="s">
        <v>3317</v>
      </c>
      <c r="BI1258" s="6" t="s">
        <v>3105</v>
      </c>
      <c r="BJ1258" s="6" t="s">
        <v>4068</v>
      </c>
      <c r="BK1258" s="6" t="s">
        <v>3319</v>
      </c>
    </row>
    <row r="1259" ht="22.5" customHeight="1">
      <c r="A1259" s="4">
        <v>46229.70881362268</v>
      </c>
      <c r="B1259" s="5">
        <v>0.0</v>
      </c>
      <c r="C1259" s="6" t="s">
        <v>3296</v>
      </c>
      <c r="D1259" s="7"/>
      <c r="E1259" s="7"/>
      <c r="F1259" s="7"/>
      <c r="G1259" s="7"/>
      <c r="H1259" s="7"/>
      <c r="I1259" s="7"/>
      <c r="J1259" s="7"/>
      <c r="K1259" s="7"/>
      <c r="L1259" s="7"/>
      <c r="M1259" s="7"/>
      <c r="N1259" s="7"/>
      <c r="O1259" s="7"/>
      <c r="P1259" s="7"/>
      <c r="Q1259" s="7"/>
      <c r="R1259" s="7"/>
      <c r="S1259" s="7"/>
      <c r="T1259" s="7"/>
      <c r="U1259" s="7"/>
      <c r="V1259" s="7"/>
      <c r="W1259" s="7"/>
      <c r="X1259" s="7"/>
      <c r="Y1259" s="7"/>
      <c r="Z1259" s="7"/>
      <c r="AA1259" s="7"/>
      <c r="AB1259" s="7"/>
      <c r="AC1259" s="7"/>
      <c r="AD1259" s="7"/>
      <c r="AE1259" s="7"/>
      <c r="AF1259" s="7"/>
      <c r="AG1259" s="7"/>
      <c r="AH1259" s="6" t="s">
        <v>2977</v>
      </c>
      <c r="AI1259" s="6" t="s">
        <v>2978</v>
      </c>
      <c r="AJ1259" s="6">
        <v>6.907050328E10</v>
      </c>
      <c r="AK1259" s="6" t="s">
        <v>9323</v>
      </c>
      <c r="AL1259" s="6" t="s">
        <v>12009</v>
      </c>
      <c r="AM1259" s="6" t="s">
        <v>12010</v>
      </c>
      <c r="AN1259" s="6" t="s">
        <v>11586</v>
      </c>
      <c r="AO1259" s="6" t="s">
        <v>12011</v>
      </c>
      <c r="AP1259" s="6" t="s">
        <v>12012</v>
      </c>
      <c r="AQ1259" s="6" t="s">
        <v>12013</v>
      </c>
      <c r="AR1259" s="6" t="s">
        <v>12014</v>
      </c>
      <c r="AS1259" s="6" t="s">
        <v>12015</v>
      </c>
      <c r="AT1259" s="6" t="s">
        <v>12016</v>
      </c>
      <c r="AU1259" s="6" t="s">
        <v>12017</v>
      </c>
      <c r="AV1259" s="6" t="s">
        <v>8899</v>
      </c>
      <c r="AW1259" s="6" t="s">
        <v>3307</v>
      </c>
      <c r="AX1259" s="6" t="s">
        <v>3312</v>
      </c>
      <c r="AY1259" s="6" t="s">
        <v>152</v>
      </c>
      <c r="AZ1259" s="6" t="s">
        <v>3306</v>
      </c>
      <c r="BA1259" s="6" t="s">
        <v>4692</v>
      </c>
      <c r="BB1259" s="6" t="s">
        <v>4693</v>
      </c>
      <c r="BC1259" s="6" t="s">
        <v>3313</v>
      </c>
      <c r="BD1259" s="6" t="s">
        <v>165</v>
      </c>
      <c r="BE1259" s="6" t="s">
        <v>3314</v>
      </c>
      <c r="BF1259" s="6" t="s">
        <v>7476</v>
      </c>
      <c r="BG1259" s="6" t="s">
        <v>4068</v>
      </c>
      <c r="BH1259" s="6" t="s">
        <v>3317</v>
      </c>
      <c r="BI1259" s="6" t="s">
        <v>271</v>
      </c>
      <c r="BJ1259" s="6" t="s">
        <v>3318</v>
      </c>
      <c r="BK1259" s="6" t="s">
        <v>3319</v>
      </c>
    </row>
    <row r="1260" ht="22.5" customHeight="1">
      <c r="A1260" s="4">
        <v>46229.70884685185</v>
      </c>
      <c r="B1260" s="5">
        <v>0.0</v>
      </c>
      <c r="C1260" s="6" t="s">
        <v>3296</v>
      </c>
      <c r="D1260" s="7"/>
      <c r="E1260" s="7"/>
      <c r="F1260" s="7"/>
      <c r="G1260" s="7"/>
      <c r="H1260" s="7"/>
      <c r="I1260" s="7"/>
      <c r="J1260" s="7"/>
      <c r="K1260" s="7"/>
      <c r="L1260" s="7"/>
      <c r="M1260" s="7"/>
      <c r="N1260" s="7"/>
      <c r="O1260" s="7"/>
      <c r="P1260" s="7"/>
      <c r="Q1260" s="7"/>
      <c r="R1260" s="7"/>
      <c r="S1260" s="7"/>
      <c r="T1260" s="7"/>
      <c r="U1260" s="7"/>
      <c r="V1260" s="7"/>
      <c r="W1260" s="7"/>
      <c r="X1260" s="7"/>
      <c r="Y1260" s="7"/>
      <c r="Z1260" s="7"/>
      <c r="AA1260" s="7"/>
      <c r="AB1260" s="7"/>
      <c r="AC1260" s="7"/>
      <c r="AD1260" s="7"/>
      <c r="AE1260" s="7"/>
      <c r="AF1260" s="7"/>
      <c r="AG1260" s="7"/>
      <c r="AH1260" s="6" t="s">
        <v>2979</v>
      </c>
      <c r="AI1260" s="6" t="s">
        <v>2980</v>
      </c>
      <c r="AJ1260" s="6">
        <v>6.9070504028E10</v>
      </c>
      <c r="AK1260" s="6" t="s">
        <v>4331</v>
      </c>
      <c r="AL1260" s="7"/>
      <c r="AM1260" s="6" t="s">
        <v>12018</v>
      </c>
      <c r="AN1260" s="6" t="s">
        <v>12019</v>
      </c>
      <c r="AO1260" s="6" t="s">
        <v>12020</v>
      </c>
      <c r="AP1260" s="6" t="s">
        <v>12021</v>
      </c>
      <c r="AQ1260" s="6" t="s">
        <v>12022</v>
      </c>
      <c r="AR1260" s="6" t="s">
        <v>11711</v>
      </c>
      <c r="AS1260" s="6" t="s">
        <v>12023</v>
      </c>
      <c r="AT1260" s="6" t="s">
        <v>12024</v>
      </c>
      <c r="AU1260" s="6" t="s">
        <v>12025</v>
      </c>
      <c r="AV1260" s="6" t="s">
        <v>3312</v>
      </c>
      <c r="AW1260" s="6" t="s">
        <v>3307</v>
      </c>
      <c r="AX1260" s="6" t="s">
        <v>3306</v>
      </c>
      <c r="AY1260" s="6" t="s">
        <v>3309</v>
      </c>
      <c r="AZ1260" s="6" t="s">
        <v>3306</v>
      </c>
      <c r="BA1260" s="6" t="s">
        <v>3311</v>
      </c>
      <c r="BB1260" s="6" t="s">
        <v>6098</v>
      </c>
      <c r="BC1260" s="6" t="s">
        <v>3313</v>
      </c>
      <c r="BD1260" s="6" t="s">
        <v>165</v>
      </c>
      <c r="BE1260" s="6" t="s">
        <v>4341</v>
      </c>
      <c r="BF1260" s="6" t="s">
        <v>3315</v>
      </c>
      <c r="BG1260" s="6" t="s">
        <v>4342</v>
      </c>
      <c r="BH1260" s="6" t="s">
        <v>5246</v>
      </c>
      <c r="BI1260" s="6" t="s">
        <v>178</v>
      </c>
      <c r="BJ1260" s="6" t="s">
        <v>8499</v>
      </c>
      <c r="BK1260" s="6" t="s">
        <v>4695</v>
      </c>
    </row>
    <row r="1261" ht="22.5" customHeight="1">
      <c r="A1261" s="4">
        <v>46229.70894115741</v>
      </c>
      <c r="B1261" s="5">
        <v>0.0</v>
      </c>
      <c r="C1261" s="6" t="s">
        <v>114</v>
      </c>
      <c r="D1261" s="6" t="s">
        <v>2488</v>
      </c>
      <c r="E1261" s="6" t="s">
        <v>2489</v>
      </c>
      <c r="F1261" s="6">
        <v>6.9070500663E10</v>
      </c>
      <c r="G1261" s="6" t="s">
        <v>6140</v>
      </c>
      <c r="H1261" s="7"/>
      <c r="I1261" s="6" t="s">
        <v>11149</v>
      </c>
      <c r="J1261" s="6" t="s">
        <v>10424</v>
      </c>
      <c r="K1261" s="6" t="s">
        <v>9036</v>
      </c>
      <c r="L1261" s="6" t="s">
        <v>10425</v>
      </c>
      <c r="M1261" s="6" t="s">
        <v>2122</v>
      </c>
      <c r="N1261" s="6" t="s">
        <v>10422</v>
      </c>
      <c r="O1261" s="6" t="s">
        <v>12026</v>
      </c>
      <c r="P1261" s="6" t="s">
        <v>12027</v>
      </c>
      <c r="Q1261" s="6" t="s">
        <v>12028</v>
      </c>
      <c r="R1261" s="6" t="s">
        <v>246</v>
      </c>
      <c r="S1261" s="6" t="s">
        <v>147</v>
      </c>
      <c r="T1261" s="6" t="s">
        <v>246</v>
      </c>
      <c r="U1261" s="6" t="s">
        <v>152</v>
      </c>
      <c r="V1261" s="6" t="s">
        <v>246</v>
      </c>
      <c r="W1261" s="6" t="s">
        <v>158</v>
      </c>
      <c r="X1261" s="6" t="s">
        <v>257</v>
      </c>
      <c r="Y1261" s="6" t="s">
        <v>162</v>
      </c>
      <c r="Z1261" s="6" t="s">
        <v>165</v>
      </c>
      <c r="AA1261" s="6" t="s">
        <v>262</v>
      </c>
      <c r="AB1261" s="6" t="s">
        <v>521</v>
      </c>
      <c r="AC1261" s="6" t="s">
        <v>174</v>
      </c>
      <c r="AD1261" s="6" t="s">
        <v>635</v>
      </c>
      <c r="AE1261" s="6" t="s">
        <v>271</v>
      </c>
      <c r="AF1261" s="6" t="s">
        <v>181</v>
      </c>
      <c r="AG1261" s="6" t="s">
        <v>641</v>
      </c>
      <c r="AH1261" s="7"/>
      <c r="AI1261" s="7"/>
      <c r="AJ1261" s="7"/>
      <c r="AK1261" s="7"/>
      <c r="AL1261" s="7"/>
      <c r="AM1261" s="7"/>
      <c r="AN1261" s="7"/>
      <c r="AO1261" s="7"/>
      <c r="AP1261" s="7"/>
      <c r="AQ1261" s="7"/>
      <c r="AR1261" s="7"/>
      <c r="AS1261" s="7"/>
      <c r="AT1261" s="7"/>
      <c r="AU1261" s="7"/>
      <c r="AV1261" s="7"/>
      <c r="AW1261" s="7"/>
      <c r="AX1261" s="7"/>
      <c r="AY1261" s="7"/>
      <c r="AZ1261" s="7"/>
      <c r="BA1261" s="7"/>
      <c r="BB1261" s="7"/>
      <c r="BC1261" s="7"/>
      <c r="BD1261" s="7"/>
      <c r="BE1261" s="7"/>
      <c r="BF1261" s="7"/>
      <c r="BG1261" s="7"/>
      <c r="BH1261" s="7"/>
      <c r="BI1261" s="7"/>
      <c r="BJ1261" s="7"/>
      <c r="BK1261" s="7"/>
    </row>
    <row r="1262" ht="22.5" customHeight="1">
      <c r="A1262" s="4">
        <v>46229.70895028935</v>
      </c>
      <c r="B1262" s="5">
        <v>0.0</v>
      </c>
      <c r="C1262" s="6" t="s">
        <v>3296</v>
      </c>
      <c r="D1262" s="7"/>
      <c r="E1262" s="7"/>
      <c r="F1262" s="7"/>
      <c r="G1262" s="7"/>
      <c r="H1262" s="7"/>
      <c r="I1262" s="7"/>
      <c r="J1262" s="7"/>
      <c r="K1262" s="7"/>
      <c r="L1262" s="7"/>
      <c r="M1262" s="7"/>
      <c r="N1262" s="7"/>
      <c r="O1262" s="7"/>
      <c r="P1262" s="7"/>
      <c r="Q1262" s="7"/>
      <c r="R1262" s="7"/>
      <c r="S1262" s="7"/>
      <c r="T1262" s="7"/>
      <c r="U1262" s="7"/>
      <c r="V1262" s="7"/>
      <c r="W1262" s="7"/>
      <c r="X1262" s="7"/>
      <c r="Y1262" s="7"/>
      <c r="Z1262" s="7"/>
      <c r="AA1262" s="7"/>
      <c r="AB1262" s="7"/>
      <c r="AC1262" s="7"/>
      <c r="AD1262" s="7"/>
      <c r="AE1262" s="7"/>
      <c r="AF1262" s="7"/>
      <c r="AG1262" s="7"/>
      <c r="AH1262" s="6" t="s">
        <v>2981</v>
      </c>
      <c r="AI1262" s="6" t="s">
        <v>2982</v>
      </c>
      <c r="AJ1262" s="6">
        <v>6.9070503257E10</v>
      </c>
      <c r="AK1262" s="6" t="s">
        <v>9323</v>
      </c>
      <c r="AL1262" s="7"/>
      <c r="AM1262" s="6" t="s">
        <v>12029</v>
      </c>
      <c r="AN1262" s="6" t="s">
        <v>12030</v>
      </c>
      <c r="AO1262" s="6" t="s">
        <v>12031</v>
      </c>
      <c r="AP1262" s="6" t="s">
        <v>12032</v>
      </c>
      <c r="AQ1262" s="6" t="s">
        <v>12033</v>
      </c>
      <c r="AR1262" s="6" t="s">
        <v>12034</v>
      </c>
      <c r="AS1262" s="6" t="s">
        <v>12035</v>
      </c>
      <c r="AT1262" s="6" t="s">
        <v>12036</v>
      </c>
      <c r="AU1262" s="6" t="s">
        <v>12037</v>
      </c>
      <c r="AV1262" s="6" t="s">
        <v>3306</v>
      </c>
      <c r="AW1262" s="6" t="s">
        <v>3307</v>
      </c>
      <c r="AX1262" s="6" t="s">
        <v>3312</v>
      </c>
      <c r="AY1262" s="6" t="s">
        <v>4067</v>
      </c>
      <c r="AZ1262" s="6" t="s">
        <v>3306</v>
      </c>
      <c r="BA1262" s="6" t="s">
        <v>3311</v>
      </c>
      <c r="BB1262" s="6" t="s">
        <v>3312</v>
      </c>
      <c r="BC1262" s="6" t="s">
        <v>3313</v>
      </c>
      <c r="BD1262" s="6" t="s">
        <v>165</v>
      </c>
      <c r="BE1262" s="6" t="s">
        <v>5761</v>
      </c>
      <c r="BF1262" s="6" t="s">
        <v>3315</v>
      </c>
      <c r="BG1262" s="6" t="s">
        <v>4068</v>
      </c>
      <c r="BH1262" s="6" t="s">
        <v>7150</v>
      </c>
      <c r="BI1262" s="6" t="s">
        <v>271</v>
      </c>
      <c r="BJ1262" s="6" t="s">
        <v>3318</v>
      </c>
      <c r="BK1262" s="6" t="s">
        <v>3319</v>
      </c>
    </row>
    <row r="1263" ht="22.5" customHeight="1">
      <c r="A1263" s="4">
        <v>46229.70896004629</v>
      </c>
      <c r="B1263" s="5">
        <v>0.0</v>
      </c>
      <c r="C1263" s="6" t="s">
        <v>3296</v>
      </c>
      <c r="D1263" s="7"/>
      <c r="E1263" s="7"/>
      <c r="F1263" s="7"/>
      <c r="G1263" s="7"/>
      <c r="H1263" s="7"/>
      <c r="I1263" s="7"/>
      <c r="J1263" s="7"/>
      <c r="K1263" s="7"/>
      <c r="L1263" s="7"/>
      <c r="M1263" s="7"/>
      <c r="N1263" s="7"/>
      <c r="O1263" s="7"/>
      <c r="P1263" s="7"/>
      <c r="Q1263" s="7"/>
      <c r="R1263" s="7"/>
      <c r="S1263" s="7"/>
      <c r="T1263" s="7"/>
      <c r="U1263" s="7"/>
      <c r="V1263" s="7"/>
      <c r="W1263" s="7"/>
      <c r="X1263" s="7"/>
      <c r="Y1263" s="7"/>
      <c r="Z1263" s="7"/>
      <c r="AA1263" s="7"/>
      <c r="AB1263" s="7"/>
      <c r="AC1263" s="7"/>
      <c r="AD1263" s="7"/>
      <c r="AE1263" s="7"/>
      <c r="AF1263" s="7"/>
      <c r="AG1263" s="7"/>
      <c r="AH1263" s="6" t="s">
        <v>2983</v>
      </c>
      <c r="AI1263" s="6" t="s">
        <v>2984</v>
      </c>
      <c r="AJ1263" s="6">
        <v>6.9070503214E10</v>
      </c>
      <c r="AK1263" s="6" t="s">
        <v>9323</v>
      </c>
      <c r="AL1263" s="6" t="s">
        <v>12038</v>
      </c>
      <c r="AM1263" s="6" t="s">
        <v>12039</v>
      </c>
      <c r="AN1263" s="6" t="s">
        <v>12040</v>
      </c>
      <c r="AO1263" s="6" t="s">
        <v>12041</v>
      </c>
      <c r="AP1263" s="6" t="s">
        <v>12042</v>
      </c>
      <c r="AQ1263" s="6" t="s">
        <v>12043</v>
      </c>
      <c r="AR1263" s="7"/>
      <c r="AS1263" s="6" t="s">
        <v>12044</v>
      </c>
      <c r="AT1263" s="6" t="s">
        <v>12045</v>
      </c>
      <c r="AU1263" s="6" t="s">
        <v>12046</v>
      </c>
      <c r="AV1263" s="6" t="s">
        <v>3306</v>
      </c>
      <c r="AW1263" s="6" t="s">
        <v>3307</v>
      </c>
      <c r="AX1263" s="6" t="s">
        <v>3887</v>
      </c>
      <c r="AY1263" s="6" t="s">
        <v>3309</v>
      </c>
      <c r="AZ1263" s="6" t="s">
        <v>3310</v>
      </c>
      <c r="BA1263" s="6" t="s">
        <v>3311</v>
      </c>
      <c r="BB1263" s="6" t="s">
        <v>4693</v>
      </c>
      <c r="BC1263" s="6" t="s">
        <v>3313</v>
      </c>
      <c r="BD1263" s="6" t="s">
        <v>165</v>
      </c>
      <c r="BE1263" s="6" t="s">
        <v>3888</v>
      </c>
      <c r="BF1263" s="6" t="s">
        <v>3315</v>
      </c>
      <c r="BG1263" s="6" t="s">
        <v>3316</v>
      </c>
      <c r="BH1263" s="6" t="s">
        <v>5246</v>
      </c>
      <c r="BI1263" s="6" t="s">
        <v>524</v>
      </c>
      <c r="BJ1263" s="6" t="s">
        <v>3318</v>
      </c>
      <c r="BK1263" s="6" t="s">
        <v>3319</v>
      </c>
    </row>
    <row r="1264" ht="22.5" customHeight="1">
      <c r="A1264" s="4">
        <v>46229.70907391203</v>
      </c>
      <c r="B1264" s="5">
        <v>0.0</v>
      </c>
      <c r="C1264" s="6" t="s">
        <v>3296</v>
      </c>
      <c r="D1264" s="7"/>
      <c r="E1264" s="7"/>
      <c r="F1264" s="7"/>
      <c r="G1264" s="7"/>
      <c r="H1264" s="7"/>
      <c r="I1264" s="7"/>
      <c r="J1264" s="7"/>
      <c r="K1264" s="7"/>
      <c r="L1264" s="7"/>
      <c r="M1264" s="7"/>
      <c r="N1264" s="7"/>
      <c r="O1264" s="7"/>
      <c r="P1264" s="7"/>
      <c r="Q1264" s="7"/>
      <c r="R1264" s="7"/>
      <c r="S1264" s="7"/>
      <c r="T1264" s="7"/>
      <c r="U1264" s="7"/>
      <c r="V1264" s="7"/>
      <c r="W1264" s="7"/>
      <c r="X1264" s="7"/>
      <c r="Y1264" s="7"/>
      <c r="Z1264" s="7"/>
      <c r="AA1264" s="7"/>
      <c r="AB1264" s="7"/>
      <c r="AC1264" s="7"/>
      <c r="AD1264" s="7"/>
      <c r="AE1264" s="7"/>
      <c r="AF1264" s="7"/>
      <c r="AG1264" s="7"/>
      <c r="AH1264" s="6" t="s">
        <v>2985</v>
      </c>
      <c r="AI1264" s="6" t="s">
        <v>2986</v>
      </c>
      <c r="AJ1264" s="6">
        <v>6.9070503271E10</v>
      </c>
      <c r="AK1264" s="6" t="s">
        <v>9323</v>
      </c>
      <c r="AL1264" s="6" t="s">
        <v>2442</v>
      </c>
      <c r="AM1264" s="6" t="s">
        <v>12047</v>
      </c>
      <c r="AN1264" s="6" t="s">
        <v>12048</v>
      </c>
      <c r="AO1264" s="6" t="s">
        <v>12049</v>
      </c>
      <c r="AP1264" s="6" t="s">
        <v>12050</v>
      </c>
      <c r="AQ1264" s="6" t="s">
        <v>12051</v>
      </c>
      <c r="AR1264" s="7"/>
      <c r="AS1264" s="6" t="s">
        <v>12052</v>
      </c>
      <c r="AT1264" s="6" t="s">
        <v>12053</v>
      </c>
      <c r="AU1264" s="6" t="s">
        <v>12053</v>
      </c>
      <c r="AV1264" s="6" t="s">
        <v>3312</v>
      </c>
      <c r="AW1264" s="6" t="s">
        <v>3307</v>
      </c>
      <c r="AX1264" s="6" t="s">
        <v>3887</v>
      </c>
      <c r="AY1264" s="6" t="s">
        <v>4067</v>
      </c>
      <c r="AZ1264" s="6" t="s">
        <v>3306</v>
      </c>
      <c r="BA1264" s="6" t="s">
        <v>3311</v>
      </c>
      <c r="BB1264" s="6" t="s">
        <v>4693</v>
      </c>
      <c r="BC1264" s="6" t="s">
        <v>3313</v>
      </c>
      <c r="BD1264" s="6" t="s">
        <v>165</v>
      </c>
      <c r="BE1264" s="6" t="s">
        <v>3888</v>
      </c>
      <c r="BF1264" s="6" t="s">
        <v>3315</v>
      </c>
      <c r="BG1264" s="6" t="s">
        <v>4342</v>
      </c>
      <c r="BH1264" s="6" t="s">
        <v>3317</v>
      </c>
      <c r="BI1264" s="6" t="s">
        <v>1211</v>
      </c>
      <c r="BJ1264" s="6" t="s">
        <v>4342</v>
      </c>
      <c r="BK1264" s="6" t="s">
        <v>5248</v>
      </c>
    </row>
    <row r="1265" ht="22.5" customHeight="1">
      <c r="A1265" s="4">
        <v>46229.70935314815</v>
      </c>
      <c r="B1265" s="5">
        <v>0.0</v>
      </c>
      <c r="C1265" s="6" t="s">
        <v>3296</v>
      </c>
      <c r="D1265" s="7"/>
      <c r="E1265" s="7"/>
      <c r="F1265" s="7"/>
      <c r="G1265" s="7"/>
      <c r="H1265" s="7"/>
      <c r="I1265" s="7"/>
      <c r="J1265" s="7"/>
      <c r="K1265" s="7"/>
      <c r="L1265" s="7"/>
      <c r="M1265" s="7"/>
      <c r="N1265" s="7"/>
      <c r="O1265" s="7"/>
      <c r="P1265" s="7"/>
      <c r="Q1265" s="7"/>
      <c r="R1265" s="7"/>
      <c r="S1265" s="7"/>
      <c r="T1265" s="7"/>
      <c r="U1265" s="7"/>
      <c r="V1265" s="7"/>
      <c r="W1265" s="7"/>
      <c r="X1265" s="7"/>
      <c r="Y1265" s="7"/>
      <c r="Z1265" s="7"/>
      <c r="AA1265" s="7"/>
      <c r="AB1265" s="7"/>
      <c r="AC1265" s="7"/>
      <c r="AD1265" s="7"/>
      <c r="AE1265" s="7"/>
      <c r="AF1265" s="7"/>
      <c r="AG1265" s="7"/>
      <c r="AH1265" s="6" t="s">
        <v>2987</v>
      </c>
      <c r="AI1265" s="6" t="s">
        <v>2988</v>
      </c>
      <c r="AJ1265" s="6">
        <v>6.9070508617E10</v>
      </c>
      <c r="AK1265" s="6" t="s">
        <v>9716</v>
      </c>
      <c r="AL1265" s="7"/>
      <c r="AM1265" s="6" t="s">
        <v>12054</v>
      </c>
      <c r="AN1265" s="6" t="s">
        <v>12055</v>
      </c>
      <c r="AO1265" s="6" t="s">
        <v>12056</v>
      </c>
      <c r="AP1265" s="6" t="s">
        <v>12057</v>
      </c>
      <c r="AQ1265" s="6" t="s">
        <v>12058</v>
      </c>
      <c r="AR1265" s="7"/>
      <c r="AS1265" s="6" t="s">
        <v>12059</v>
      </c>
      <c r="AT1265" s="6" t="s">
        <v>12060</v>
      </c>
      <c r="AU1265" s="6" t="s">
        <v>12061</v>
      </c>
      <c r="AV1265" s="6" t="s">
        <v>8899</v>
      </c>
      <c r="AW1265" s="6" t="s">
        <v>3307</v>
      </c>
      <c r="AX1265" s="6" t="s">
        <v>3306</v>
      </c>
      <c r="AY1265" s="6" t="s">
        <v>3309</v>
      </c>
      <c r="AZ1265" s="6" t="s">
        <v>3310</v>
      </c>
      <c r="BA1265" s="6" t="s">
        <v>7430</v>
      </c>
      <c r="BB1265" s="6" t="s">
        <v>3312</v>
      </c>
      <c r="BC1265" s="6" t="s">
        <v>3313</v>
      </c>
      <c r="BD1265" s="6" t="s">
        <v>165</v>
      </c>
      <c r="BE1265" s="6" t="s">
        <v>3888</v>
      </c>
      <c r="BF1265" s="6" t="s">
        <v>3315</v>
      </c>
      <c r="BG1265" s="6" t="s">
        <v>4068</v>
      </c>
      <c r="BH1265" s="6" t="s">
        <v>3317</v>
      </c>
      <c r="BI1265" s="6" t="s">
        <v>271</v>
      </c>
      <c r="BJ1265" s="6" t="s">
        <v>3318</v>
      </c>
      <c r="BK1265" s="6" t="s">
        <v>4695</v>
      </c>
    </row>
    <row r="1266" ht="22.5" customHeight="1">
      <c r="A1266" s="4">
        <v>46229.709631018515</v>
      </c>
      <c r="B1266" s="5">
        <v>0.0</v>
      </c>
      <c r="C1266" s="6" t="s">
        <v>114</v>
      </c>
      <c r="D1266" s="6" t="s">
        <v>2490</v>
      </c>
      <c r="E1266" s="6" t="s">
        <v>2491</v>
      </c>
      <c r="F1266" s="6">
        <v>6.9070508833E10</v>
      </c>
      <c r="G1266" s="6" t="s">
        <v>5399</v>
      </c>
      <c r="H1266" s="7"/>
      <c r="I1266" s="6" t="s">
        <v>12062</v>
      </c>
      <c r="J1266" s="6" t="s">
        <v>12063</v>
      </c>
      <c r="K1266" s="6" t="s">
        <v>12064</v>
      </c>
      <c r="L1266" s="6" t="s">
        <v>10591</v>
      </c>
      <c r="M1266" s="6" t="s">
        <v>12065</v>
      </c>
      <c r="N1266" s="7"/>
      <c r="O1266" s="6" t="s">
        <v>12066</v>
      </c>
      <c r="P1266" s="6" t="s">
        <v>12067</v>
      </c>
      <c r="Q1266" s="6" t="s">
        <v>12068</v>
      </c>
      <c r="R1266" s="6" t="s">
        <v>246</v>
      </c>
      <c r="S1266" s="6" t="s">
        <v>147</v>
      </c>
      <c r="T1266" s="6" t="s">
        <v>250</v>
      </c>
      <c r="U1266" s="6" t="s">
        <v>252</v>
      </c>
      <c r="V1266" s="6" t="s">
        <v>246</v>
      </c>
      <c r="W1266" s="6" t="s">
        <v>158</v>
      </c>
      <c r="X1266" s="6" t="s">
        <v>246</v>
      </c>
      <c r="Y1266" s="6" t="s">
        <v>162</v>
      </c>
      <c r="Z1266" s="6" t="s">
        <v>165</v>
      </c>
      <c r="AA1266" s="6" t="s">
        <v>262</v>
      </c>
      <c r="AB1266" s="6" t="s">
        <v>171</v>
      </c>
      <c r="AC1266" s="6" t="s">
        <v>1669</v>
      </c>
      <c r="AD1266" s="6" t="s">
        <v>175</v>
      </c>
      <c r="AE1266" s="6" t="s">
        <v>271</v>
      </c>
      <c r="AF1266" s="6" t="s">
        <v>181</v>
      </c>
      <c r="AG1266" s="6" t="s">
        <v>182</v>
      </c>
      <c r="AH1266" s="7"/>
      <c r="AI1266" s="7"/>
      <c r="AJ1266" s="7"/>
      <c r="AK1266" s="7"/>
      <c r="AL1266" s="7"/>
      <c r="AM1266" s="7"/>
      <c r="AN1266" s="7"/>
      <c r="AO1266" s="7"/>
      <c r="AP1266" s="7"/>
      <c r="AQ1266" s="7"/>
      <c r="AR1266" s="7"/>
      <c r="AS1266" s="7"/>
      <c r="AT1266" s="7"/>
      <c r="AU1266" s="7"/>
      <c r="AV1266" s="7"/>
      <c r="AW1266" s="7"/>
      <c r="AX1266" s="7"/>
      <c r="AY1266" s="7"/>
      <c r="AZ1266" s="7"/>
      <c r="BA1266" s="7"/>
      <c r="BB1266" s="7"/>
      <c r="BC1266" s="7"/>
      <c r="BD1266" s="7"/>
      <c r="BE1266" s="7"/>
      <c r="BF1266" s="7"/>
      <c r="BG1266" s="7"/>
      <c r="BH1266" s="7"/>
      <c r="BI1266" s="7"/>
      <c r="BJ1266" s="7"/>
      <c r="BK1266" s="7"/>
    </row>
    <row r="1267" ht="22.5" customHeight="1">
      <c r="A1267" s="4">
        <v>46229.70988554398</v>
      </c>
      <c r="B1267" s="5">
        <v>0.0</v>
      </c>
      <c r="C1267" s="6" t="s">
        <v>114</v>
      </c>
      <c r="D1267" s="6" t="s">
        <v>2492</v>
      </c>
      <c r="E1267" s="6" t="s">
        <v>2493</v>
      </c>
      <c r="F1267" s="6">
        <v>6.9070500316E10</v>
      </c>
      <c r="G1267" s="6" t="s">
        <v>599</v>
      </c>
      <c r="H1267" s="7"/>
      <c r="I1267" s="6" t="s">
        <v>12069</v>
      </c>
      <c r="J1267" s="6" t="s">
        <v>12070</v>
      </c>
      <c r="K1267" s="6" t="s">
        <v>12071</v>
      </c>
      <c r="L1267" s="6" t="s">
        <v>12072</v>
      </c>
      <c r="M1267" s="6" t="s">
        <v>6894</v>
      </c>
      <c r="N1267" s="7"/>
      <c r="O1267" s="6" t="s">
        <v>12073</v>
      </c>
      <c r="P1267" s="6" t="s">
        <v>12074</v>
      </c>
      <c r="Q1267" s="6" t="s">
        <v>12075</v>
      </c>
      <c r="R1267" s="6" t="s">
        <v>257</v>
      </c>
      <c r="S1267" s="6" t="s">
        <v>147</v>
      </c>
      <c r="T1267" s="6" t="s">
        <v>250</v>
      </c>
      <c r="U1267" s="6" t="s">
        <v>252</v>
      </c>
      <c r="V1267" s="6" t="s">
        <v>246</v>
      </c>
      <c r="W1267" s="6" t="s">
        <v>158</v>
      </c>
      <c r="X1267" s="6" t="s">
        <v>257</v>
      </c>
      <c r="Y1267" s="6" t="s">
        <v>162</v>
      </c>
      <c r="Z1267" s="6" t="s">
        <v>165</v>
      </c>
      <c r="AA1267" s="6" t="s">
        <v>262</v>
      </c>
      <c r="AB1267" s="6" t="s">
        <v>521</v>
      </c>
      <c r="AC1267" s="6" t="s">
        <v>174</v>
      </c>
      <c r="AD1267" s="6" t="s">
        <v>175</v>
      </c>
      <c r="AE1267" s="6" t="s">
        <v>271</v>
      </c>
      <c r="AF1267" s="6" t="s">
        <v>181</v>
      </c>
      <c r="AG1267" s="6" t="s">
        <v>182</v>
      </c>
      <c r="AH1267" s="7"/>
      <c r="AI1267" s="7"/>
      <c r="AJ1267" s="7"/>
      <c r="AK1267" s="7"/>
      <c r="AL1267" s="7"/>
      <c r="AM1267" s="7"/>
      <c r="AN1267" s="7"/>
      <c r="AO1267" s="7"/>
      <c r="AP1267" s="7"/>
      <c r="AQ1267" s="7"/>
      <c r="AR1267" s="7"/>
      <c r="AS1267" s="7"/>
      <c r="AT1267" s="7"/>
      <c r="AU1267" s="7"/>
      <c r="AV1267" s="7"/>
      <c r="AW1267" s="7"/>
      <c r="AX1267" s="7"/>
      <c r="AY1267" s="7"/>
      <c r="AZ1267" s="7"/>
      <c r="BA1267" s="7"/>
      <c r="BB1267" s="7"/>
      <c r="BC1267" s="7"/>
      <c r="BD1267" s="7"/>
      <c r="BE1267" s="7"/>
      <c r="BF1267" s="7"/>
      <c r="BG1267" s="7"/>
      <c r="BH1267" s="7"/>
      <c r="BI1267" s="7"/>
      <c r="BJ1267" s="7"/>
      <c r="BK1267" s="7"/>
    </row>
    <row r="1268" ht="22.5" customHeight="1">
      <c r="A1268" s="4">
        <v>46229.71012561343</v>
      </c>
      <c r="B1268" s="5">
        <v>0.0</v>
      </c>
      <c r="C1268" s="6" t="s">
        <v>114</v>
      </c>
      <c r="D1268" s="6" t="s">
        <v>2494</v>
      </c>
      <c r="E1268" s="6" t="s">
        <v>2495</v>
      </c>
      <c r="F1268" s="6">
        <v>6.9070500673E10</v>
      </c>
      <c r="G1268" s="6" t="s">
        <v>6140</v>
      </c>
      <c r="H1268" s="6" t="s">
        <v>2633</v>
      </c>
      <c r="I1268" s="6" t="s">
        <v>12076</v>
      </c>
      <c r="J1268" s="6" t="s">
        <v>12077</v>
      </c>
      <c r="K1268" s="6" t="s">
        <v>12078</v>
      </c>
      <c r="L1268" s="6" t="s">
        <v>11206</v>
      </c>
      <c r="M1268" s="6" t="s">
        <v>12079</v>
      </c>
      <c r="N1268" s="6" t="s">
        <v>12080</v>
      </c>
      <c r="O1268" s="6" t="s">
        <v>12081</v>
      </c>
      <c r="P1268" s="6" t="s">
        <v>12082</v>
      </c>
      <c r="Q1268" s="6" t="s">
        <v>12083</v>
      </c>
      <c r="R1268" s="6" t="s">
        <v>246</v>
      </c>
      <c r="S1268" s="6" t="s">
        <v>147</v>
      </c>
      <c r="T1268" s="6" t="s">
        <v>250</v>
      </c>
      <c r="U1268" s="6" t="s">
        <v>686</v>
      </c>
      <c r="V1268" s="6" t="s">
        <v>246</v>
      </c>
      <c r="W1268" s="6" t="s">
        <v>158</v>
      </c>
      <c r="X1268" s="6" t="s">
        <v>257</v>
      </c>
      <c r="Y1268" s="6" t="s">
        <v>162</v>
      </c>
      <c r="Z1268" s="6" t="s">
        <v>165</v>
      </c>
      <c r="AA1268" s="6" t="s">
        <v>262</v>
      </c>
      <c r="AB1268" s="6" t="s">
        <v>171</v>
      </c>
      <c r="AC1268" s="6" t="s">
        <v>174</v>
      </c>
      <c r="AD1268" s="6" t="s">
        <v>175</v>
      </c>
      <c r="AE1268" s="6" t="s">
        <v>271</v>
      </c>
      <c r="AF1268" s="6" t="s">
        <v>181</v>
      </c>
      <c r="AG1268" s="6" t="s">
        <v>182</v>
      </c>
      <c r="AH1268" s="7"/>
      <c r="AI1268" s="7"/>
      <c r="AJ1268" s="7"/>
      <c r="AK1268" s="7"/>
      <c r="AL1268" s="7"/>
      <c r="AM1268" s="7"/>
      <c r="AN1268" s="7"/>
      <c r="AO1268" s="7"/>
      <c r="AP1268" s="7"/>
      <c r="AQ1268" s="7"/>
      <c r="AR1268" s="7"/>
      <c r="AS1268" s="7"/>
      <c r="AT1268" s="7"/>
      <c r="AU1268" s="7"/>
      <c r="AV1268" s="7"/>
      <c r="AW1268" s="7"/>
      <c r="AX1268" s="7"/>
      <c r="AY1268" s="7"/>
      <c r="AZ1268" s="7"/>
      <c r="BA1268" s="7"/>
      <c r="BB1268" s="7"/>
      <c r="BC1268" s="7"/>
      <c r="BD1268" s="7"/>
      <c r="BE1268" s="7"/>
      <c r="BF1268" s="7"/>
      <c r="BG1268" s="7"/>
      <c r="BH1268" s="7"/>
      <c r="BI1268" s="7"/>
      <c r="BJ1268" s="7"/>
      <c r="BK1268" s="7"/>
    </row>
    <row r="1269" ht="22.5" customHeight="1">
      <c r="A1269" s="4">
        <v>46229.710309664355</v>
      </c>
      <c r="B1269" s="5">
        <v>0.0</v>
      </c>
      <c r="C1269" s="6" t="s">
        <v>3296</v>
      </c>
      <c r="D1269" s="7"/>
      <c r="E1269" s="7"/>
      <c r="F1269" s="7"/>
      <c r="G1269" s="7"/>
      <c r="H1269" s="7"/>
      <c r="I1269" s="7"/>
      <c r="J1269" s="7"/>
      <c r="K1269" s="7"/>
      <c r="L1269" s="7"/>
      <c r="M1269" s="7"/>
      <c r="N1269" s="7"/>
      <c r="O1269" s="7"/>
      <c r="P1269" s="7"/>
      <c r="Q1269" s="7"/>
      <c r="R1269" s="7"/>
      <c r="S1269" s="7"/>
      <c r="T1269" s="7"/>
      <c r="U1269" s="7"/>
      <c r="V1269" s="7"/>
      <c r="W1269" s="7"/>
      <c r="X1269" s="7"/>
      <c r="Y1269" s="7"/>
      <c r="Z1269" s="7"/>
      <c r="AA1269" s="7"/>
      <c r="AB1269" s="7"/>
      <c r="AC1269" s="7"/>
      <c r="AD1269" s="7"/>
      <c r="AE1269" s="7"/>
      <c r="AF1269" s="7"/>
      <c r="AG1269" s="7"/>
      <c r="AH1269" s="6" t="s">
        <v>2989</v>
      </c>
      <c r="AI1269" s="6" t="s">
        <v>2990</v>
      </c>
      <c r="AJ1269" s="6">
        <v>6.9070508622E10</v>
      </c>
      <c r="AK1269" s="6" t="s">
        <v>9716</v>
      </c>
      <c r="AL1269" s="7"/>
      <c r="AM1269" s="6" t="s">
        <v>12084</v>
      </c>
      <c r="AN1269" s="6" t="s">
        <v>10698</v>
      </c>
      <c r="AO1269" s="6" t="s">
        <v>12085</v>
      </c>
      <c r="AP1269" s="6" t="s">
        <v>12086</v>
      </c>
      <c r="AQ1269" s="6" t="s">
        <v>12087</v>
      </c>
      <c r="AR1269" s="7"/>
      <c r="AS1269" s="6" t="s">
        <v>12088</v>
      </c>
      <c r="AT1269" s="6" t="s">
        <v>12089</v>
      </c>
      <c r="AU1269" s="6" t="s">
        <v>12090</v>
      </c>
      <c r="AV1269" s="6" t="s">
        <v>3306</v>
      </c>
      <c r="AW1269" s="6" t="s">
        <v>3307</v>
      </c>
      <c r="AX1269" s="6" t="s">
        <v>3308</v>
      </c>
      <c r="AY1269" s="6" t="s">
        <v>5759</v>
      </c>
      <c r="AZ1269" s="6" t="s">
        <v>3306</v>
      </c>
      <c r="BA1269" s="6" t="s">
        <v>3311</v>
      </c>
      <c r="BB1269" s="6" t="s">
        <v>4693</v>
      </c>
      <c r="BC1269" s="6" t="s">
        <v>3313</v>
      </c>
      <c r="BD1269" s="6" t="s">
        <v>165</v>
      </c>
      <c r="BE1269" s="6" t="s">
        <v>3888</v>
      </c>
      <c r="BF1269" s="6" t="s">
        <v>7476</v>
      </c>
      <c r="BG1269" s="6" t="s">
        <v>4068</v>
      </c>
      <c r="BH1269" s="6" t="s">
        <v>3317</v>
      </c>
      <c r="BI1269" s="6" t="s">
        <v>524</v>
      </c>
      <c r="BJ1269" s="6" t="s">
        <v>3318</v>
      </c>
      <c r="BK1269" s="6" t="s">
        <v>3319</v>
      </c>
    </row>
    <row r="1270" ht="22.5" customHeight="1">
      <c r="A1270" s="4">
        <v>46229.71085891203</v>
      </c>
      <c r="B1270" s="5">
        <v>0.0</v>
      </c>
      <c r="C1270" s="6" t="s">
        <v>114</v>
      </c>
      <c r="D1270" s="6" t="s">
        <v>831</v>
      </c>
      <c r="E1270" s="6" t="s">
        <v>2496</v>
      </c>
      <c r="F1270" s="6">
        <v>6.9070500666E10</v>
      </c>
      <c r="G1270" s="6" t="s">
        <v>6140</v>
      </c>
      <c r="H1270" s="7"/>
      <c r="I1270" s="6" t="s">
        <v>12091</v>
      </c>
      <c r="J1270" s="6" t="s">
        <v>12092</v>
      </c>
      <c r="K1270" s="6" t="s">
        <v>12093</v>
      </c>
      <c r="L1270" s="6" t="s">
        <v>12094</v>
      </c>
      <c r="M1270" s="6" t="s">
        <v>12095</v>
      </c>
      <c r="N1270" s="7"/>
      <c r="O1270" s="6" t="s">
        <v>12096</v>
      </c>
      <c r="P1270" s="6" t="s">
        <v>12097</v>
      </c>
      <c r="Q1270" s="6" t="s">
        <v>12098</v>
      </c>
      <c r="R1270" s="6" t="s">
        <v>246</v>
      </c>
      <c r="S1270" s="6" t="s">
        <v>147</v>
      </c>
      <c r="T1270" s="6" t="s">
        <v>250</v>
      </c>
      <c r="U1270" s="6" t="s">
        <v>252</v>
      </c>
      <c r="V1270" s="6" t="s">
        <v>155</v>
      </c>
      <c r="W1270" s="6" t="s">
        <v>158</v>
      </c>
      <c r="X1270" s="6" t="s">
        <v>257</v>
      </c>
      <c r="Y1270" s="6" t="s">
        <v>162</v>
      </c>
      <c r="Z1270" s="6" t="s">
        <v>165</v>
      </c>
      <c r="AA1270" s="6" t="s">
        <v>262</v>
      </c>
      <c r="AB1270" s="6" t="s">
        <v>171</v>
      </c>
      <c r="AC1270" s="6" t="s">
        <v>174</v>
      </c>
      <c r="AD1270" s="6" t="s">
        <v>175</v>
      </c>
      <c r="AE1270" s="6" t="s">
        <v>178</v>
      </c>
      <c r="AF1270" s="6" t="s">
        <v>181</v>
      </c>
      <c r="AG1270" s="6" t="s">
        <v>182</v>
      </c>
      <c r="AH1270" s="7"/>
      <c r="AI1270" s="7"/>
      <c r="AJ1270" s="7"/>
      <c r="AK1270" s="7"/>
      <c r="AL1270" s="7"/>
      <c r="AM1270" s="7"/>
      <c r="AN1270" s="7"/>
      <c r="AO1270" s="7"/>
      <c r="AP1270" s="7"/>
      <c r="AQ1270" s="7"/>
      <c r="AR1270" s="7"/>
      <c r="AS1270" s="7"/>
      <c r="AT1270" s="7"/>
      <c r="AU1270" s="7"/>
      <c r="AV1270" s="7"/>
      <c r="AW1270" s="7"/>
      <c r="AX1270" s="7"/>
      <c r="AY1270" s="7"/>
      <c r="AZ1270" s="7"/>
      <c r="BA1270" s="7"/>
      <c r="BB1270" s="7"/>
      <c r="BC1270" s="7"/>
      <c r="BD1270" s="7"/>
      <c r="BE1270" s="7"/>
      <c r="BF1270" s="7"/>
      <c r="BG1270" s="7"/>
      <c r="BH1270" s="7"/>
      <c r="BI1270" s="7"/>
      <c r="BJ1270" s="7"/>
      <c r="BK1270" s="7"/>
    </row>
    <row r="1271" ht="22.5" customHeight="1">
      <c r="A1271" s="4">
        <v>46229.71095127315</v>
      </c>
      <c r="B1271" s="5">
        <v>0.0</v>
      </c>
      <c r="C1271" s="6" t="s">
        <v>114</v>
      </c>
      <c r="D1271" s="6" t="s">
        <v>2497</v>
      </c>
      <c r="E1271" s="6" t="s">
        <v>2498</v>
      </c>
      <c r="F1271" s="6">
        <v>6.9070501236E10</v>
      </c>
      <c r="G1271" s="6" t="s">
        <v>228</v>
      </c>
      <c r="H1271" s="6" t="s">
        <v>12099</v>
      </c>
      <c r="I1271" s="6" t="s">
        <v>4756</v>
      </c>
      <c r="J1271" s="6" t="s">
        <v>12100</v>
      </c>
      <c r="K1271" s="6" t="s">
        <v>12101</v>
      </c>
      <c r="L1271" s="6" t="s">
        <v>12102</v>
      </c>
      <c r="M1271" s="6" t="s">
        <v>12103</v>
      </c>
      <c r="N1271" s="6" t="s">
        <v>12104</v>
      </c>
      <c r="O1271" s="6" t="s">
        <v>12105</v>
      </c>
      <c r="P1271" s="6" t="s">
        <v>12106</v>
      </c>
      <c r="Q1271" s="6" t="s">
        <v>12107</v>
      </c>
      <c r="R1271" s="6" t="s">
        <v>145</v>
      </c>
      <c r="S1271" s="6" t="s">
        <v>147</v>
      </c>
      <c r="T1271" s="6" t="s">
        <v>250</v>
      </c>
      <c r="U1271" s="6" t="s">
        <v>252</v>
      </c>
      <c r="V1271" s="6" t="s">
        <v>2302</v>
      </c>
      <c r="W1271" s="6" t="s">
        <v>158</v>
      </c>
      <c r="X1271" s="6" t="s">
        <v>257</v>
      </c>
      <c r="Y1271" s="6" t="s">
        <v>162</v>
      </c>
      <c r="Z1271" s="6" t="s">
        <v>165</v>
      </c>
      <c r="AA1271" s="6" t="s">
        <v>262</v>
      </c>
      <c r="AB1271" s="6" t="s">
        <v>521</v>
      </c>
      <c r="AC1271" s="6" t="s">
        <v>174</v>
      </c>
      <c r="AD1271" s="6" t="s">
        <v>175</v>
      </c>
      <c r="AE1271" s="6" t="s">
        <v>271</v>
      </c>
      <c r="AF1271" s="6" t="s">
        <v>181</v>
      </c>
      <c r="AG1271" s="6" t="s">
        <v>182</v>
      </c>
      <c r="AH1271" s="7"/>
      <c r="AI1271" s="7"/>
      <c r="AJ1271" s="7"/>
      <c r="AK1271" s="7"/>
      <c r="AL1271" s="7"/>
      <c r="AM1271" s="7"/>
      <c r="AN1271" s="7"/>
      <c r="AO1271" s="7"/>
      <c r="AP1271" s="7"/>
      <c r="AQ1271" s="7"/>
      <c r="AR1271" s="7"/>
      <c r="AS1271" s="7"/>
      <c r="AT1271" s="7"/>
      <c r="AU1271" s="7"/>
      <c r="AV1271" s="7"/>
      <c r="AW1271" s="7"/>
      <c r="AX1271" s="7"/>
      <c r="AY1271" s="7"/>
      <c r="AZ1271" s="7"/>
      <c r="BA1271" s="7"/>
      <c r="BB1271" s="7"/>
      <c r="BC1271" s="7"/>
      <c r="BD1271" s="7"/>
      <c r="BE1271" s="7"/>
      <c r="BF1271" s="7"/>
      <c r="BG1271" s="7"/>
      <c r="BH1271" s="7"/>
      <c r="BI1271" s="7"/>
      <c r="BJ1271" s="7"/>
      <c r="BK1271" s="7"/>
    </row>
    <row r="1272" ht="22.5" customHeight="1">
      <c r="A1272" s="4">
        <v>46229.71126930555</v>
      </c>
      <c r="B1272" s="5">
        <v>0.0</v>
      </c>
      <c r="C1272" s="6" t="s">
        <v>3296</v>
      </c>
      <c r="D1272" s="7"/>
      <c r="E1272" s="7"/>
      <c r="F1272" s="7"/>
      <c r="G1272" s="7"/>
      <c r="H1272" s="7"/>
      <c r="I1272" s="7"/>
      <c r="J1272" s="7"/>
      <c r="K1272" s="7"/>
      <c r="L1272" s="7"/>
      <c r="M1272" s="7"/>
      <c r="N1272" s="7"/>
      <c r="O1272" s="7"/>
      <c r="P1272" s="7"/>
      <c r="Q1272" s="7"/>
      <c r="R1272" s="7"/>
      <c r="S1272" s="7"/>
      <c r="T1272" s="7"/>
      <c r="U1272" s="7"/>
      <c r="V1272" s="7"/>
      <c r="W1272" s="7"/>
      <c r="X1272" s="7"/>
      <c r="Y1272" s="7"/>
      <c r="Z1272" s="7"/>
      <c r="AA1272" s="7"/>
      <c r="AB1272" s="7"/>
      <c r="AC1272" s="7"/>
      <c r="AD1272" s="7"/>
      <c r="AE1272" s="7"/>
      <c r="AF1272" s="7"/>
      <c r="AG1272" s="7"/>
      <c r="AH1272" s="6" t="s">
        <v>2991</v>
      </c>
      <c r="AI1272" s="6" t="s">
        <v>2992</v>
      </c>
      <c r="AJ1272" s="6">
        <v>6.9070503245E10</v>
      </c>
      <c r="AK1272" s="6" t="s">
        <v>3297</v>
      </c>
      <c r="AL1272" s="7"/>
      <c r="AM1272" s="6" t="s">
        <v>11697</v>
      </c>
      <c r="AN1272" s="6" t="s">
        <v>12108</v>
      </c>
      <c r="AO1272" s="6" t="s">
        <v>12109</v>
      </c>
      <c r="AP1272" s="6" t="s">
        <v>9369</v>
      </c>
      <c r="AQ1272" s="6" t="s">
        <v>12110</v>
      </c>
      <c r="AR1272" s="7"/>
      <c r="AS1272" s="6" t="s">
        <v>12111</v>
      </c>
      <c r="AT1272" s="6" t="s">
        <v>12112</v>
      </c>
      <c r="AU1272" s="6" t="s">
        <v>12113</v>
      </c>
      <c r="AV1272" s="6" t="s">
        <v>3306</v>
      </c>
      <c r="AW1272" s="6" t="s">
        <v>3307</v>
      </c>
      <c r="AX1272" s="6" t="s">
        <v>3887</v>
      </c>
      <c r="AY1272" s="6" t="s">
        <v>4067</v>
      </c>
      <c r="AZ1272" s="6" t="s">
        <v>3306</v>
      </c>
      <c r="BA1272" s="6" t="s">
        <v>3311</v>
      </c>
      <c r="BB1272" s="6" t="s">
        <v>4693</v>
      </c>
      <c r="BC1272" s="6" t="s">
        <v>3313</v>
      </c>
      <c r="BD1272" s="6" t="s">
        <v>165</v>
      </c>
      <c r="BE1272" s="6" t="s">
        <v>3888</v>
      </c>
      <c r="BF1272" s="6" t="s">
        <v>3315</v>
      </c>
      <c r="BG1272" s="6" t="s">
        <v>4068</v>
      </c>
      <c r="BH1272" s="6" t="s">
        <v>3317</v>
      </c>
      <c r="BI1272" s="6" t="s">
        <v>271</v>
      </c>
      <c r="BJ1272" s="6" t="s">
        <v>3318</v>
      </c>
      <c r="BK1272" s="6" t="s">
        <v>3319</v>
      </c>
    </row>
    <row r="1273" ht="22.5" customHeight="1">
      <c r="A1273" s="4">
        <v>46229.71135344908</v>
      </c>
      <c r="B1273" s="5">
        <v>0.0</v>
      </c>
      <c r="C1273" s="6" t="s">
        <v>3296</v>
      </c>
      <c r="D1273" s="7"/>
      <c r="E1273" s="7"/>
      <c r="F1273" s="7"/>
      <c r="G1273" s="7"/>
      <c r="H1273" s="7"/>
      <c r="I1273" s="7"/>
      <c r="J1273" s="7"/>
      <c r="K1273" s="7"/>
      <c r="L1273" s="7"/>
      <c r="M1273" s="7"/>
      <c r="N1273" s="7"/>
      <c r="O1273" s="7"/>
      <c r="P1273" s="7"/>
      <c r="Q1273" s="7"/>
      <c r="R1273" s="7"/>
      <c r="S1273" s="7"/>
      <c r="T1273" s="7"/>
      <c r="U1273" s="7"/>
      <c r="V1273" s="7"/>
      <c r="W1273" s="7"/>
      <c r="X1273" s="7"/>
      <c r="Y1273" s="7"/>
      <c r="Z1273" s="7"/>
      <c r="AA1273" s="7"/>
      <c r="AB1273" s="7"/>
      <c r="AC1273" s="7"/>
      <c r="AD1273" s="7"/>
      <c r="AE1273" s="7"/>
      <c r="AF1273" s="7"/>
      <c r="AG1273" s="7"/>
      <c r="AH1273" s="6" t="s">
        <v>2993</v>
      </c>
      <c r="AI1273" s="6" t="s">
        <v>2994</v>
      </c>
      <c r="AJ1273" s="6">
        <v>6.9070508623E10</v>
      </c>
      <c r="AK1273" s="6" t="s">
        <v>9716</v>
      </c>
      <c r="AL1273" s="6" t="s">
        <v>12114</v>
      </c>
      <c r="AM1273" s="6" t="s">
        <v>12115</v>
      </c>
      <c r="AN1273" s="6" t="s">
        <v>12116</v>
      </c>
      <c r="AO1273" s="6" t="s">
        <v>12117</v>
      </c>
      <c r="AP1273" s="6" t="s">
        <v>12118</v>
      </c>
      <c r="AQ1273" s="6" t="s">
        <v>12119</v>
      </c>
      <c r="AR1273" s="6" t="s">
        <v>12120</v>
      </c>
      <c r="AS1273" s="6" t="s">
        <v>12121</v>
      </c>
      <c r="AT1273" s="6" t="s">
        <v>12122</v>
      </c>
      <c r="AU1273" s="6" t="s">
        <v>12123</v>
      </c>
      <c r="AV1273" s="6" t="s">
        <v>10755</v>
      </c>
      <c r="AW1273" s="6" t="s">
        <v>3307</v>
      </c>
      <c r="AX1273" s="6" t="s">
        <v>3312</v>
      </c>
      <c r="AY1273" s="6" t="s">
        <v>4067</v>
      </c>
      <c r="AZ1273" s="6" t="s">
        <v>3306</v>
      </c>
      <c r="BA1273" s="6" t="s">
        <v>3311</v>
      </c>
      <c r="BB1273" s="6" t="s">
        <v>4693</v>
      </c>
      <c r="BC1273" s="6" t="s">
        <v>3313</v>
      </c>
      <c r="BD1273" s="6" t="s">
        <v>165</v>
      </c>
      <c r="BE1273" s="6" t="s">
        <v>3888</v>
      </c>
      <c r="BF1273" s="6" t="s">
        <v>3315</v>
      </c>
      <c r="BG1273" s="6" t="s">
        <v>3316</v>
      </c>
      <c r="BH1273" s="6" t="s">
        <v>3317</v>
      </c>
      <c r="BI1273" s="6" t="s">
        <v>271</v>
      </c>
      <c r="BJ1273" s="6" t="s">
        <v>3318</v>
      </c>
      <c r="BK1273" s="6" t="s">
        <v>4695</v>
      </c>
    </row>
    <row r="1274" ht="22.5" customHeight="1">
      <c r="A1274" s="4">
        <v>46229.71145949074</v>
      </c>
      <c r="B1274" s="5">
        <v>0.0</v>
      </c>
      <c r="C1274" s="6" t="s">
        <v>114</v>
      </c>
      <c r="D1274" s="6" t="s">
        <v>2499</v>
      </c>
      <c r="E1274" s="6" t="s">
        <v>2501</v>
      </c>
      <c r="F1274" s="6">
        <v>6.9070500658E10</v>
      </c>
      <c r="G1274" s="6" t="s">
        <v>6140</v>
      </c>
      <c r="H1274" s="7"/>
      <c r="I1274" s="6" t="s">
        <v>10423</v>
      </c>
      <c r="J1274" s="6" t="s">
        <v>12124</v>
      </c>
      <c r="K1274" s="6" t="s">
        <v>11429</v>
      </c>
      <c r="L1274" s="6" t="s">
        <v>12125</v>
      </c>
      <c r="M1274" s="6" t="s">
        <v>2122</v>
      </c>
      <c r="N1274" s="7"/>
      <c r="O1274" s="6" t="s">
        <v>12126</v>
      </c>
      <c r="P1274" s="6" t="s">
        <v>12127</v>
      </c>
      <c r="Q1274" s="6" t="s">
        <v>12128</v>
      </c>
      <c r="R1274" s="6" t="s">
        <v>246</v>
      </c>
      <c r="S1274" s="6" t="s">
        <v>147</v>
      </c>
      <c r="T1274" s="6" t="s">
        <v>250</v>
      </c>
      <c r="U1274" s="6" t="s">
        <v>2254</v>
      </c>
      <c r="V1274" s="6" t="s">
        <v>246</v>
      </c>
      <c r="W1274" s="6" t="s">
        <v>158</v>
      </c>
      <c r="X1274" s="6" t="s">
        <v>257</v>
      </c>
      <c r="Y1274" s="6" t="s">
        <v>162</v>
      </c>
      <c r="Z1274" s="6" t="s">
        <v>165</v>
      </c>
      <c r="AA1274" s="6" t="s">
        <v>262</v>
      </c>
      <c r="AB1274" s="6" t="s">
        <v>171</v>
      </c>
      <c r="AC1274" s="6" t="s">
        <v>174</v>
      </c>
      <c r="AD1274" s="6" t="s">
        <v>175</v>
      </c>
      <c r="AE1274" s="6" t="s">
        <v>271</v>
      </c>
      <c r="AF1274" s="6" t="s">
        <v>181</v>
      </c>
      <c r="AG1274" s="6" t="s">
        <v>182</v>
      </c>
      <c r="AH1274" s="7"/>
      <c r="AI1274" s="7"/>
      <c r="AJ1274" s="7"/>
      <c r="AK1274" s="7"/>
      <c r="AL1274" s="7"/>
      <c r="AM1274" s="7"/>
      <c r="AN1274" s="7"/>
      <c r="AO1274" s="7"/>
      <c r="AP1274" s="7"/>
      <c r="AQ1274" s="7"/>
      <c r="AR1274" s="7"/>
      <c r="AS1274" s="7"/>
      <c r="AT1274" s="7"/>
      <c r="AU1274" s="7"/>
      <c r="AV1274" s="7"/>
      <c r="AW1274" s="7"/>
      <c r="AX1274" s="7"/>
      <c r="AY1274" s="7"/>
      <c r="AZ1274" s="7"/>
      <c r="BA1274" s="7"/>
      <c r="BB1274" s="7"/>
      <c r="BC1274" s="7"/>
      <c r="BD1274" s="7"/>
      <c r="BE1274" s="7"/>
      <c r="BF1274" s="7"/>
      <c r="BG1274" s="7"/>
      <c r="BH1274" s="7"/>
      <c r="BI1274" s="7"/>
      <c r="BJ1274" s="7"/>
      <c r="BK1274" s="7"/>
    </row>
    <row r="1275" ht="22.5" customHeight="1">
      <c r="A1275" s="4">
        <v>46229.71183512732</v>
      </c>
      <c r="B1275" s="5">
        <v>0.0</v>
      </c>
      <c r="C1275" s="6" t="s">
        <v>114</v>
      </c>
      <c r="D1275" s="6" t="s">
        <v>2504</v>
      </c>
      <c r="E1275" s="6" t="s">
        <v>2505</v>
      </c>
      <c r="F1275" s="6">
        <v>6.907050068E10</v>
      </c>
      <c r="G1275" s="6" t="s">
        <v>6140</v>
      </c>
      <c r="H1275" s="7"/>
      <c r="I1275" s="6" t="s">
        <v>12129</v>
      </c>
      <c r="J1275" s="6" t="s">
        <v>12130</v>
      </c>
      <c r="K1275" s="6" t="s">
        <v>12131</v>
      </c>
      <c r="L1275" s="6" t="s">
        <v>12132</v>
      </c>
      <c r="M1275" s="6" t="s">
        <v>12133</v>
      </c>
      <c r="N1275" s="7"/>
      <c r="O1275" s="6" t="s">
        <v>12134</v>
      </c>
      <c r="P1275" s="6" t="s">
        <v>12135</v>
      </c>
      <c r="Q1275" s="6" t="s">
        <v>12136</v>
      </c>
      <c r="R1275" s="6" t="s">
        <v>246</v>
      </c>
      <c r="S1275" s="6" t="s">
        <v>147</v>
      </c>
      <c r="T1275" s="6" t="s">
        <v>250</v>
      </c>
      <c r="U1275" s="6" t="s">
        <v>2254</v>
      </c>
      <c r="V1275" s="6" t="s">
        <v>246</v>
      </c>
      <c r="W1275" s="6" t="s">
        <v>6621</v>
      </c>
      <c r="X1275" s="6" t="s">
        <v>458</v>
      </c>
      <c r="Y1275" s="6" t="s">
        <v>162</v>
      </c>
      <c r="Z1275" s="6" t="s">
        <v>165</v>
      </c>
      <c r="AA1275" s="6" t="s">
        <v>262</v>
      </c>
      <c r="AB1275" s="6" t="s">
        <v>521</v>
      </c>
      <c r="AC1275" s="6" t="s">
        <v>174</v>
      </c>
      <c r="AD1275" s="6" t="s">
        <v>175</v>
      </c>
      <c r="AE1275" s="6" t="s">
        <v>271</v>
      </c>
      <c r="AF1275" s="6" t="s">
        <v>181</v>
      </c>
      <c r="AG1275" s="6" t="s">
        <v>182</v>
      </c>
      <c r="AH1275" s="7"/>
      <c r="AI1275" s="7"/>
      <c r="AJ1275" s="7"/>
      <c r="AK1275" s="7"/>
      <c r="AL1275" s="7"/>
      <c r="AM1275" s="7"/>
      <c r="AN1275" s="7"/>
      <c r="AO1275" s="7"/>
      <c r="AP1275" s="7"/>
      <c r="AQ1275" s="7"/>
      <c r="AR1275" s="7"/>
      <c r="AS1275" s="7"/>
      <c r="AT1275" s="7"/>
      <c r="AU1275" s="7"/>
      <c r="AV1275" s="7"/>
      <c r="AW1275" s="7"/>
      <c r="AX1275" s="7"/>
      <c r="AY1275" s="7"/>
      <c r="AZ1275" s="7"/>
      <c r="BA1275" s="7"/>
      <c r="BB1275" s="7"/>
      <c r="BC1275" s="7"/>
      <c r="BD1275" s="7"/>
      <c r="BE1275" s="7"/>
      <c r="BF1275" s="7"/>
      <c r="BG1275" s="7"/>
      <c r="BH1275" s="7"/>
      <c r="BI1275" s="7"/>
      <c r="BJ1275" s="7"/>
      <c r="BK1275" s="7"/>
    </row>
    <row r="1276" ht="22.5" customHeight="1">
      <c r="A1276" s="4">
        <v>46229.71184166666</v>
      </c>
      <c r="B1276" s="5">
        <v>0.0</v>
      </c>
      <c r="C1276" s="6" t="s">
        <v>114</v>
      </c>
      <c r="D1276" s="6" t="s">
        <v>2508</v>
      </c>
      <c r="E1276" s="6" t="s">
        <v>2509</v>
      </c>
      <c r="F1276" s="6">
        <v>6.9070500689E10</v>
      </c>
      <c r="G1276" s="6" t="s">
        <v>6140</v>
      </c>
      <c r="H1276" s="7"/>
      <c r="I1276" s="6" t="s">
        <v>12137</v>
      </c>
      <c r="J1276" s="6" t="s">
        <v>11383</v>
      </c>
      <c r="K1276" s="6" t="s">
        <v>5724</v>
      </c>
      <c r="L1276" s="6" t="s">
        <v>12138</v>
      </c>
      <c r="M1276" s="6" t="s">
        <v>12139</v>
      </c>
      <c r="N1276" s="7"/>
      <c r="O1276" s="6" t="s">
        <v>12140</v>
      </c>
      <c r="P1276" s="6" t="s">
        <v>12141</v>
      </c>
      <c r="Q1276" s="6" t="s">
        <v>12142</v>
      </c>
      <c r="R1276" s="6" t="s">
        <v>246</v>
      </c>
      <c r="S1276" s="6" t="s">
        <v>147</v>
      </c>
      <c r="T1276" s="6" t="s">
        <v>250</v>
      </c>
      <c r="U1276" s="6" t="s">
        <v>2254</v>
      </c>
      <c r="V1276" s="6" t="s">
        <v>246</v>
      </c>
      <c r="W1276" s="6" t="s">
        <v>158</v>
      </c>
      <c r="X1276" s="6" t="s">
        <v>161</v>
      </c>
      <c r="Y1276" s="6" t="s">
        <v>162</v>
      </c>
      <c r="Z1276" s="6" t="s">
        <v>165</v>
      </c>
      <c r="AA1276" s="6" t="s">
        <v>262</v>
      </c>
      <c r="AB1276" s="6" t="s">
        <v>171</v>
      </c>
      <c r="AC1276" s="6" t="s">
        <v>174</v>
      </c>
      <c r="AD1276" s="6" t="s">
        <v>175</v>
      </c>
      <c r="AE1276" s="6" t="s">
        <v>271</v>
      </c>
      <c r="AF1276" s="6" t="s">
        <v>181</v>
      </c>
      <c r="AG1276" s="6" t="s">
        <v>182</v>
      </c>
      <c r="AH1276" s="7"/>
      <c r="AI1276" s="7"/>
      <c r="AJ1276" s="7"/>
      <c r="AK1276" s="7"/>
      <c r="AL1276" s="7"/>
      <c r="AM1276" s="7"/>
      <c r="AN1276" s="7"/>
      <c r="AO1276" s="7"/>
      <c r="AP1276" s="7"/>
      <c r="AQ1276" s="7"/>
      <c r="AR1276" s="7"/>
      <c r="AS1276" s="7"/>
      <c r="AT1276" s="7"/>
      <c r="AU1276" s="7"/>
      <c r="AV1276" s="7"/>
      <c r="AW1276" s="7"/>
      <c r="AX1276" s="7"/>
      <c r="AY1276" s="7"/>
      <c r="AZ1276" s="7"/>
      <c r="BA1276" s="7"/>
      <c r="BB1276" s="7"/>
      <c r="BC1276" s="7"/>
      <c r="BD1276" s="7"/>
      <c r="BE1276" s="7"/>
      <c r="BF1276" s="7"/>
      <c r="BG1276" s="7"/>
      <c r="BH1276" s="7"/>
      <c r="BI1276" s="7"/>
      <c r="BJ1276" s="7"/>
      <c r="BK1276" s="7"/>
    </row>
    <row r="1277" ht="22.5" customHeight="1">
      <c r="A1277" s="4">
        <v>46229.71302275463</v>
      </c>
      <c r="B1277" s="5">
        <v>0.0</v>
      </c>
      <c r="C1277" s="6" t="s">
        <v>114</v>
      </c>
      <c r="D1277" s="6" t="s">
        <v>2513</v>
      </c>
      <c r="E1277" s="6" t="s">
        <v>2514</v>
      </c>
      <c r="F1277" s="6">
        <v>6.9070509443E10</v>
      </c>
      <c r="G1277" s="6" t="s">
        <v>122</v>
      </c>
      <c r="H1277" s="7"/>
      <c r="I1277" s="6" t="s">
        <v>12143</v>
      </c>
      <c r="J1277" s="6" t="s">
        <v>12144</v>
      </c>
      <c r="K1277" s="6" t="s">
        <v>12145</v>
      </c>
      <c r="L1277" s="6" t="s">
        <v>12146</v>
      </c>
      <c r="M1277" s="6" t="s">
        <v>12147</v>
      </c>
      <c r="N1277" s="7"/>
      <c r="O1277" s="6" t="s">
        <v>12148</v>
      </c>
      <c r="P1277" s="6" t="s">
        <v>12149</v>
      </c>
      <c r="Q1277" s="6" t="s">
        <v>12150</v>
      </c>
      <c r="R1277" s="6" t="s">
        <v>246</v>
      </c>
      <c r="S1277" s="6" t="s">
        <v>147</v>
      </c>
      <c r="T1277" s="6" t="s">
        <v>516</v>
      </c>
      <c r="U1277" s="6" t="s">
        <v>252</v>
      </c>
      <c r="V1277" s="6" t="s">
        <v>246</v>
      </c>
      <c r="W1277" s="6" t="s">
        <v>158</v>
      </c>
      <c r="X1277" s="6" t="s">
        <v>257</v>
      </c>
      <c r="Y1277" s="6" t="s">
        <v>162</v>
      </c>
      <c r="Z1277" s="6" t="s">
        <v>165</v>
      </c>
      <c r="AA1277" s="6" t="s">
        <v>262</v>
      </c>
      <c r="AB1277" s="6" t="s">
        <v>171</v>
      </c>
      <c r="AC1277" s="6" t="s">
        <v>174</v>
      </c>
      <c r="AD1277" s="6" t="s">
        <v>175</v>
      </c>
      <c r="AE1277" s="6" t="s">
        <v>271</v>
      </c>
      <c r="AF1277" s="6" t="s">
        <v>181</v>
      </c>
      <c r="AG1277" s="6" t="s">
        <v>182</v>
      </c>
      <c r="AH1277" s="7"/>
      <c r="AI1277" s="7"/>
      <c r="AJ1277" s="7"/>
      <c r="AK1277" s="7"/>
      <c r="AL1277" s="7"/>
      <c r="AM1277" s="7"/>
      <c r="AN1277" s="7"/>
      <c r="AO1277" s="7"/>
      <c r="AP1277" s="7"/>
      <c r="AQ1277" s="7"/>
      <c r="AR1277" s="7"/>
      <c r="AS1277" s="7"/>
      <c r="AT1277" s="7"/>
      <c r="AU1277" s="7"/>
      <c r="AV1277" s="7"/>
      <c r="AW1277" s="7"/>
      <c r="AX1277" s="7"/>
      <c r="AY1277" s="7"/>
      <c r="AZ1277" s="7"/>
      <c r="BA1277" s="7"/>
      <c r="BB1277" s="7"/>
      <c r="BC1277" s="7"/>
      <c r="BD1277" s="7"/>
      <c r="BE1277" s="7"/>
      <c r="BF1277" s="7"/>
      <c r="BG1277" s="7"/>
      <c r="BH1277" s="7"/>
      <c r="BI1277" s="7"/>
      <c r="BJ1277" s="7"/>
      <c r="BK1277" s="7"/>
    </row>
    <row r="1278" ht="22.5" customHeight="1">
      <c r="A1278" s="4">
        <v>46229.71341023148</v>
      </c>
      <c r="B1278" s="5">
        <v>0.0</v>
      </c>
      <c r="C1278" s="6" t="s">
        <v>114</v>
      </c>
      <c r="D1278" s="6" t="s">
        <v>2515</v>
      </c>
      <c r="E1278" s="6" t="s">
        <v>2516</v>
      </c>
      <c r="F1278" s="6">
        <v>6.9070501025E10</v>
      </c>
      <c r="G1278" s="6" t="s">
        <v>1470</v>
      </c>
      <c r="H1278" s="7"/>
      <c r="I1278" s="6" t="s">
        <v>12151</v>
      </c>
      <c r="J1278" s="6" t="s">
        <v>12152</v>
      </c>
      <c r="K1278" s="6" t="s">
        <v>12153</v>
      </c>
      <c r="L1278" s="6" t="s">
        <v>12154</v>
      </c>
      <c r="M1278" s="6" t="s">
        <v>3033</v>
      </c>
      <c r="N1278" s="7"/>
      <c r="O1278" s="6" t="s">
        <v>12155</v>
      </c>
      <c r="P1278" s="6" t="s">
        <v>12156</v>
      </c>
      <c r="Q1278" s="6" t="s">
        <v>12157</v>
      </c>
      <c r="R1278" s="6" t="s">
        <v>246</v>
      </c>
      <c r="S1278" s="6" t="s">
        <v>147</v>
      </c>
      <c r="T1278" s="6" t="s">
        <v>250</v>
      </c>
      <c r="U1278" s="6" t="s">
        <v>252</v>
      </c>
      <c r="V1278" s="6" t="s">
        <v>246</v>
      </c>
      <c r="W1278" s="6" t="s">
        <v>158</v>
      </c>
      <c r="X1278" s="6" t="s">
        <v>257</v>
      </c>
      <c r="Y1278" s="6" t="s">
        <v>162</v>
      </c>
      <c r="Z1278" s="6" t="s">
        <v>165</v>
      </c>
      <c r="AA1278" s="6" t="s">
        <v>262</v>
      </c>
      <c r="AB1278" s="6" t="s">
        <v>171</v>
      </c>
      <c r="AC1278" s="6" t="s">
        <v>174</v>
      </c>
      <c r="AD1278" s="6" t="s">
        <v>175</v>
      </c>
      <c r="AE1278" s="6" t="s">
        <v>271</v>
      </c>
      <c r="AF1278" s="6" t="s">
        <v>181</v>
      </c>
      <c r="AG1278" s="6" t="s">
        <v>182</v>
      </c>
      <c r="AH1278" s="7"/>
      <c r="AI1278" s="7"/>
      <c r="AJ1278" s="7"/>
      <c r="AK1278" s="7"/>
      <c r="AL1278" s="7"/>
      <c r="AM1278" s="7"/>
      <c r="AN1278" s="7"/>
      <c r="AO1278" s="7"/>
      <c r="AP1278" s="7"/>
      <c r="AQ1278" s="7"/>
      <c r="AR1278" s="7"/>
      <c r="AS1278" s="7"/>
      <c r="AT1278" s="7"/>
      <c r="AU1278" s="7"/>
      <c r="AV1278" s="7"/>
      <c r="AW1278" s="7"/>
      <c r="AX1278" s="7"/>
      <c r="AY1278" s="7"/>
      <c r="AZ1278" s="7"/>
      <c r="BA1278" s="7"/>
      <c r="BB1278" s="7"/>
      <c r="BC1278" s="7"/>
      <c r="BD1278" s="7"/>
      <c r="BE1278" s="7"/>
      <c r="BF1278" s="7"/>
      <c r="BG1278" s="7"/>
      <c r="BH1278" s="7"/>
      <c r="BI1278" s="7"/>
      <c r="BJ1278" s="7"/>
      <c r="BK1278" s="7"/>
    </row>
    <row r="1279" ht="22.5" customHeight="1">
      <c r="A1279" s="4">
        <v>46229.714167060185</v>
      </c>
      <c r="B1279" s="5">
        <v>0.0</v>
      </c>
      <c r="C1279" s="6" t="s">
        <v>114</v>
      </c>
      <c r="D1279" s="6" t="s">
        <v>689</v>
      </c>
      <c r="E1279" s="6" t="s">
        <v>2517</v>
      </c>
      <c r="F1279" s="6">
        <v>6.9070500045E10</v>
      </c>
      <c r="G1279" s="6" t="s">
        <v>4580</v>
      </c>
      <c r="H1279" s="6" t="s">
        <v>12158</v>
      </c>
      <c r="I1279" s="6" t="s">
        <v>8788</v>
      </c>
      <c r="J1279" s="6" t="s">
        <v>12159</v>
      </c>
      <c r="K1279" s="6" t="s">
        <v>12160</v>
      </c>
      <c r="L1279" s="6" t="s">
        <v>12161</v>
      </c>
      <c r="M1279" s="6" t="s">
        <v>12162</v>
      </c>
      <c r="N1279" s="7"/>
      <c r="O1279" s="6" t="s">
        <v>12163</v>
      </c>
      <c r="P1279" s="6" t="s">
        <v>12164</v>
      </c>
      <c r="Q1279" s="6" t="s">
        <v>12165</v>
      </c>
      <c r="R1279" s="6" t="s">
        <v>861</v>
      </c>
      <c r="S1279" s="6" t="s">
        <v>147</v>
      </c>
      <c r="T1279" s="6" t="s">
        <v>246</v>
      </c>
      <c r="U1279" s="6" t="s">
        <v>560</v>
      </c>
      <c r="V1279" s="6" t="s">
        <v>246</v>
      </c>
      <c r="W1279" s="6" t="s">
        <v>158</v>
      </c>
      <c r="X1279" s="6" t="s">
        <v>458</v>
      </c>
      <c r="Y1279" s="6" t="s">
        <v>162</v>
      </c>
      <c r="Z1279" s="6" t="s">
        <v>165</v>
      </c>
      <c r="AA1279" s="6" t="s">
        <v>262</v>
      </c>
      <c r="AB1279" s="6" t="s">
        <v>521</v>
      </c>
      <c r="AC1279" s="6" t="s">
        <v>174</v>
      </c>
      <c r="AD1279" s="6" t="s">
        <v>175</v>
      </c>
      <c r="AE1279" s="6" t="s">
        <v>524</v>
      </c>
      <c r="AF1279" s="6" t="s">
        <v>181</v>
      </c>
      <c r="AG1279" s="6" t="s">
        <v>182</v>
      </c>
      <c r="AH1279" s="7"/>
      <c r="AI1279" s="7"/>
      <c r="AJ1279" s="7"/>
      <c r="AK1279" s="7"/>
      <c r="AL1279" s="7"/>
      <c r="AM1279" s="7"/>
      <c r="AN1279" s="7"/>
      <c r="AO1279" s="7"/>
      <c r="AP1279" s="7"/>
      <c r="AQ1279" s="7"/>
      <c r="AR1279" s="7"/>
      <c r="AS1279" s="7"/>
      <c r="AT1279" s="7"/>
      <c r="AU1279" s="7"/>
      <c r="AV1279" s="7"/>
      <c r="AW1279" s="7"/>
      <c r="AX1279" s="7"/>
      <c r="AY1279" s="7"/>
      <c r="AZ1279" s="7"/>
      <c r="BA1279" s="7"/>
      <c r="BB1279" s="7"/>
      <c r="BC1279" s="7"/>
      <c r="BD1279" s="7"/>
      <c r="BE1279" s="7"/>
      <c r="BF1279" s="7"/>
      <c r="BG1279" s="7"/>
      <c r="BH1279" s="7"/>
      <c r="BI1279" s="7"/>
      <c r="BJ1279" s="7"/>
      <c r="BK1279" s="7"/>
    </row>
    <row r="1280" ht="22.5" customHeight="1">
      <c r="A1280" s="4">
        <v>46229.71423049769</v>
      </c>
      <c r="B1280" s="5">
        <v>0.0</v>
      </c>
      <c r="C1280" s="6" t="s">
        <v>114</v>
      </c>
      <c r="D1280" s="6" t="s">
        <v>2518</v>
      </c>
      <c r="E1280" s="6" t="s">
        <v>2519</v>
      </c>
      <c r="F1280" s="6">
        <v>6.9070502846E10</v>
      </c>
      <c r="G1280" s="6" t="s">
        <v>310</v>
      </c>
      <c r="H1280" s="7"/>
      <c r="I1280" s="6" t="s">
        <v>5222</v>
      </c>
      <c r="J1280" s="6" t="s">
        <v>12166</v>
      </c>
      <c r="K1280" s="6" t="s">
        <v>12167</v>
      </c>
      <c r="L1280" s="6" t="s">
        <v>12168</v>
      </c>
      <c r="M1280" s="6" t="s">
        <v>12169</v>
      </c>
      <c r="N1280" s="7"/>
      <c r="O1280" s="6" t="s">
        <v>12170</v>
      </c>
      <c r="P1280" s="6" t="s">
        <v>5325</v>
      </c>
      <c r="Q1280" s="6" t="s">
        <v>5325</v>
      </c>
      <c r="R1280" s="6" t="s">
        <v>246</v>
      </c>
      <c r="S1280" s="6" t="s">
        <v>147</v>
      </c>
      <c r="T1280" s="6" t="s">
        <v>250</v>
      </c>
      <c r="U1280" s="6" t="s">
        <v>560</v>
      </c>
      <c r="V1280" s="6" t="s">
        <v>155</v>
      </c>
      <c r="W1280" s="6" t="s">
        <v>158</v>
      </c>
      <c r="X1280" s="6" t="s">
        <v>257</v>
      </c>
      <c r="Y1280" s="6" t="s">
        <v>162</v>
      </c>
      <c r="Z1280" s="6" t="s">
        <v>165</v>
      </c>
      <c r="AA1280" s="6" t="s">
        <v>262</v>
      </c>
      <c r="AB1280" s="6" t="s">
        <v>3847</v>
      </c>
      <c r="AC1280" s="6" t="s">
        <v>174</v>
      </c>
      <c r="AD1280" s="6" t="s">
        <v>175</v>
      </c>
      <c r="AE1280" s="6" t="s">
        <v>271</v>
      </c>
      <c r="AF1280" s="6" t="s">
        <v>181</v>
      </c>
      <c r="AG1280" s="6" t="s">
        <v>182</v>
      </c>
      <c r="AH1280" s="7"/>
      <c r="AI1280" s="7"/>
      <c r="AJ1280" s="7"/>
      <c r="AK1280" s="7"/>
      <c r="AL1280" s="7"/>
      <c r="AM1280" s="7"/>
      <c r="AN1280" s="7"/>
      <c r="AO1280" s="7"/>
      <c r="AP1280" s="7"/>
      <c r="AQ1280" s="7"/>
      <c r="AR1280" s="7"/>
      <c r="AS1280" s="7"/>
      <c r="AT1280" s="7"/>
      <c r="AU1280" s="7"/>
      <c r="AV1280" s="7"/>
      <c r="AW1280" s="7"/>
      <c r="AX1280" s="7"/>
      <c r="AY1280" s="7"/>
      <c r="AZ1280" s="7"/>
      <c r="BA1280" s="7"/>
      <c r="BB1280" s="7"/>
      <c r="BC1280" s="7"/>
      <c r="BD1280" s="7"/>
      <c r="BE1280" s="7"/>
      <c r="BF1280" s="7"/>
      <c r="BG1280" s="7"/>
      <c r="BH1280" s="7"/>
      <c r="BI1280" s="7"/>
      <c r="BJ1280" s="7"/>
      <c r="BK1280" s="7"/>
    </row>
    <row r="1281" ht="22.5" customHeight="1">
      <c r="A1281" s="4">
        <v>46229.71430578704</v>
      </c>
      <c r="B1281" s="5">
        <v>0.0</v>
      </c>
      <c r="C1281" s="6" t="s">
        <v>3296</v>
      </c>
      <c r="D1281" s="7"/>
      <c r="E1281" s="7"/>
      <c r="F1281" s="7"/>
      <c r="G1281" s="7"/>
      <c r="H1281" s="7"/>
      <c r="I1281" s="7"/>
      <c r="J1281" s="7"/>
      <c r="K1281" s="7"/>
      <c r="L1281" s="7"/>
      <c r="M1281" s="7"/>
      <c r="N1281" s="7"/>
      <c r="O1281" s="7"/>
      <c r="P1281" s="7"/>
      <c r="Q1281" s="7"/>
      <c r="R1281" s="7"/>
      <c r="S1281" s="7"/>
      <c r="T1281" s="7"/>
      <c r="U1281" s="7"/>
      <c r="V1281" s="7"/>
      <c r="W1281" s="7"/>
      <c r="X1281" s="7"/>
      <c r="Y1281" s="7"/>
      <c r="Z1281" s="7"/>
      <c r="AA1281" s="7"/>
      <c r="AB1281" s="7"/>
      <c r="AC1281" s="7"/>
      <c r="AD1281" s="7"/>
      <c r="AE1281" s="7"/>
      <c r="AF1281" s="7"/>
      <c r="AG1281" s="7"/>
      <c r="AH1281" s="6" t="s">
        <v>2995</v>
      </c>
      <c r="AI1281" s="6" t="s">
        <v>2996</v>
      </c>
      <c r="AJ1281" s="6">
        <v>6.9070503242E10</v>
      </c>
      <c r="AK1281" s="6" t="s">
        <v>9323</v>
      </c>
      <c r="AL1281" s="7"/>
      <c r="AM1281" s="6" t="s">
        <v>12171</v>
      </c>
      <c r="AN1281" s="6" t="s">
        <v>12172</v>
      </c>
      <c r="AO1281" s="6" t="s">
        <v>12173</v>
      </c>
      <c r="AP1281" s="6" t="s">
        <v>12174</v>
      </c>
      <c r="AQ1281" s="6" t="s">
        <v>12175</v>
      </c>
      <c r="AR1281" s="7"/>
      <c r="AS1281" s="6" t="s">
        <v>12176</v>
      </c>
      <c r="AT1281" s="6" t="s">
        <v>12177</v>
      </c>
      <c r="AU1281" s="6" t="s">
        <v>12177</v>
      </c>
      <c r="AV1281" s="6" t="s">
        <v>3306</v>
      </c>
      <c r="AW1281" s="6" t="s">
        <v>8122</v>
      </c>
      <c r="AX1281" s="6" t="s">
        <v>3312</v>
      </c>
      <c r="AY1281" s="6" t="s">
        <v>5759</v>
      </c>
      <c r="AZ1281" s="6" t="s">
        <v>3306</v>
      </c>
      <c r="BA1281" s="6" t="s">
        <v>7204</v>
      </c>
      <c r="BB1281" s="6" t="s">
        <v>3887</v>
      </c>
      <c r="BC1281" s="6" t="s">
        <v>10500</v>
      </c>
      <c r="BD1281" s="6" t="s">
        <v>629</v>
      </c>
      <c r="BE1281" s="6" t="s">
        <v>4341</v>
      </c>
      <c r="BF1281" s="6" t="s">
        <v>4862</v>
      </c>
      <c r="BG1281" s="6" t="s">
        <v>4068</v>
      </c>
      <c r="BH1281" s="6" t="s">
        <v>5761</v>
      </c>
      <c r="BI1281" s="6" t="s">
        <v>524</v>
      </c>
      <c r="BJ1281" s="6" t="s">
        <v>5247</v>
      </c>
      <c r="BK1281" s="6" t="s">
        <v>3319</v>
      </c>
    </row>
    <row r="1282" ht="22.5" customHeight="1">
      <c r="A1282" s="4">
        <v>46229.71479615741</v>
      </c>
      <c r="B1282" s="5">
        <v>0.0</v>
      </c>
      <c r="C1282" s="6" t="s">
        <v>3296</v>
      </c>
      <c r="D1282" s="7"/>
      <c r="E1282" s="7"/>
      <c r="F1282" s="7"/>
      <c r="G1282" s="7"/>
      <c r="H1282" s="7"/>
      <c r="I1282" s="7"/>
      <c r="J1282" s="7"/>
      <c r="K1282" s="7"/>
      <c r="L1282" s="7"/>
      <c r="M1282" s="7"/>
      <c r="N1282" s="7"/>
      <c r="O1282" s="7"/>
      <c r="P1282" s="7"/>
      <c r="Q1282" s="7"/>
      <c r="R1282" s="7"/>
      <c r="S1282" s="7"/>
      <c r="T1282" s="7"/>
      <c r="U1282" s="7"/>
      <c r="V1282" s="7"/>
      <c r="W1282" s="7"/>
      <c r="X1282" s="7"/>
      <c r="Y1282" s="7"/>
      <c r="Z1282" s="7"/>
      <c r="AA1282" s="7"/>
      <c r="AB1282" s="7"/>
      <c r="AC1282" s="7"/>
      <c r="AD1282" s="7"/>
      <c r="AE1282" s="7"/>
      <c r="AF1282" s="7"/>
      <c r="AG1282" s="7"/>
      <c r="AH1282" s="6" t="s">
        <v>2997</v>
      </c>
      <c r="AI1282" s="6" t="s">
        <v>2998</v>
      </c>
      <c r="AJ1282" s="6">
        <v>6.907050863E10</v>
      </c>
      <c r="AK1282" s="6" t="s">
        <v>9716</v>
      </c>
      <c r="AL1282" s="7"/>
      <c r="AM1282" s="6" t="s">
        <v>12178</v>
      </c>
      <c r="AN1282" s="6" t="s">
        <v>11662</v>
      </c>
      <c r="AO1282" s="6" t="s">
        <v>12179</v>
      </c>
      <c r="AP1282" s="6" t="s">
        <v>12180</v>
      </c>
      <c r="AQ1282" s="6" t="s">
        <v>12181</v>
      </c>
      <c r="AR1282" s="7"/>
      <c r="AS1282" s="6" t="s">
        <v>12182</v>
      </c>
      <c r="AT1282" s="6" t="s">
        <v>12183</v>
      </c>
      <c r="AU1282" s="6" t="s">
        <v>12184</v>
      </c>
      <c r="AV1282" s="6" t="s">
        <v>3306</v>
      </c>
      <c r="AW1282" s="6" t="s">
        <v>3307</v>
      </c>
      <c r="AX1282" s="6" t="s">
        <v>3306</v>
      </c>
      <c r="AY1282" s="6" t="s">
        <v>3309</v>
      </c>
      <c r="AZ1282" s="6" t="s">
        <v>3306</v>
      </c>
      <c r="BA1282" s="6" t="s">
        <v>3311</v>
      </c>
      <c r="BB1282" s="6" t="s">
        <v>3306</v>
      </c>
      <c r="BC1282" s="6" t="s">
        <v>7431</v>
      </c>
      <c r="BD1282" s="6" t="s">
        <v>165</v>
      </c>
      <c r="BE1282" s="6" t="s">
        <v>4341</v>
      </c>
      <c r="BF1282" s="6" t="s">
        <v>3315</v>
      </c>
      <c r="BG1282" s="6" t="s">
        <v>4068</v>
      </c>
      <c r="BH1282" s="6" t="s">
        <v>3317</v>
      </c>
      <c r="BI1282" s="6" t="s">
        <v>524</v>
      </c>
      <c r="BJ1282" s="6" t="s">
        <v>3318</v>
      </c>
      <c r="BK1282" s="6" t="s">
        <v>3319</v>
      </c>
    </row>
    <row r="1283" ht="22.5" customHeight="1">
      <c r="A1283" s="4">
        <v>46229.71488783565</v>
      </c>
      <c r="B1283" s="5">
        <v>0.0</v>
      </c>
      <c r="C1283" s="6" t="s">
        <v>114</v>
      </c>
      <c r="D1283" s="6" t="s">
        <v>2520</v>
      </c>
      <c r="E1283" s="6" t="s">
        <v>2174</v>
      </c>
      <c r="F1283" s="6">
        <v>6.9070500028E10</v>
      </c>
      <c r="G1283" s="6" t="s">
        <v>4580</v>
      </c>
      <c r="H1283" s="7"/>
      <c r="I1283" s="6" t="s">
        <v>9398</v>
      </c>
      <c r="J1283" s="6" t="s">
        <v>12185</v>
      </c>
      <c r="K1283" s="6" t="s">
        <v>12186</v>
      </c>
      <c r="L1283" s="6" t="s">
        <v>12187</v>
      </c>
      <c r="M1283" s="6" t="s">
        <v>4290</v>
      </c>
      <c r="N1283" s="7"/>
      <c r="O1283" s="6" t="s">
        <v>12188</v>
      </c>
      <c r="P1283" s="6" t="s">
        <v>12189</v>
      </c>
      <c r="Q1283" s="6" t="s">
        <v>12190</v>
      </c>
      <c r="R1283" s="6" t="s">
        <v>246</v>
      </c>
      <c r="S1283" s="6" t="s">
        <v>147</v>
      </c>
      <c r="T1283" s="6" t="s">
        <v>250</v>
      </c>
      <c r="U1283" s="6" t="s">
        <v>686</v>
      </c>
      <c r="V1283" s="6" t="s">
        <v>2302</v>
      </c>
      <c r="W1283" s="6" t="s">
        <v>932</v>
      </c>
      <c r="X1283" s="6" t="s">
        <v>250</v>
      </c>
      <c r="Y1283" s="6" t="s">
        <v>9427</v>
      </c>
      <c r="Z1283" s="6" t="s">
        <v>629</v>
      </c>
      <c r="AA1283" s="6" t="s">
        <v>641</v>
      </c>
      <c r="AB1283" s="6" t="s">
        <v>1266</v>
      </c>
      <c r="AC1283" s="6" t="s">
        <v>633</v>
      </c>
      <c r="AD1283" s="6" t="s">
        <v>641</v>
      </c>
      <c r="AE1283" s="6" t="s">
        <v>3105</v>
      </c>
      <c r="AF1283" s="6" t="s">
        <v>638</v>
      </c>
      <c r="AG1283" s="6" t="s">
        <v>812</v>
      </c>
      <c r="AH1283" s="7"/>
      <c r="AI1283" s="7"/>
      <c r="AJ1283" s="7"/>
      <c r="AK1283" s="7"/>
      <c r="AL1283" s="7"/>
      <c r="AM1283" s="7"/>
      <c r="AN1283" s="7"/>
      <c r="AO1283" s="7"/>
      <c r="AP1283" s="7"/>
      <c r="AQ1283" s="7"/>
      <c r="AR1283" s="7"/>
      <c r="AS1283" s="7"/>
      <c r="AT1283" s="7"/>
      <c r="AU1283" s="7"/>
      <c r="AV1283" s="7"/>
      <c r="AW1283" s="7"/>
      <c r="AX1283" s="7"/>
      <c r="AY1283" s="7"/>
      <c r="AZ1283" s="7"/>
      <c r="BA1283" s="7"/>
      <c r="BB1283" s="7"/>
      <c r="BC1283" s="7"/>
      <c r="BD1283" s="7"/>
      <c r="BE1283" s="7"/>
      <c r="BF1283" s="7"/>
      <c r="BG1283" s="7"/>
      <c r="BH1283" s="7"/>
      <c r="BI1283" s="7"/>
      <c r="BJ1283" s="7"/>
      <c r="BK1283" s="7"/>
    </row>
    <row r="1284" ht="22.5" customHeight="1">
      <c r="A1284" s="4">
        <v>46229.715082650466</v>
      </c>
      <c r="B1284" s="5">
        <v>0.0</v>
      </c>
      <c r="C1284" s="6" t="s">
        <v>3296</v>
      </c>
      <c r="D1284" s="7"/>
      <c r="E1284" s="7"/>
      <c r="F1284" s="7"/>
      <c r="G1284" s="7"/>
      <c r="H1284" s="7"/>
      <c r="I1284" s="7"/>
      <c r="J1284" s="7"/>
      <c r="K1284" s="7"/>
      <c r="L1284" s="7"/>
      <c r="M1284" s="7"/>
      <c r="N1284" s="7"/>
      <c r="O1284" s="7"/>
      <c r="P1284" s="7"/>
      <c r="Q1284" s="7"/>
      <c r="R1284" s="7"/>
      <c r="S1284" s="7"/>
      <c r="T1284" s="7"/>
      <c r="U1284" s="7"/>
      <c r="V1284" s="7"/>
      <c r="W1284" s="7"/>
      <c r="X1284" s="7"/>
      <c r="Y1284" s="7"/>
      <c r="Z1284" s="7"/>
      <c r="AA1284" s="7"/>
      <c r="AB1284" s="7"/>
      <c r="AC1284" s="7"/>
      <c r="AD1284" s="7"/>
      <c r="AE1284" s="7"/>
      <c r="AF1284" s="7"/>
      <c r="AG1284" s="7"/>
      <c r="AH1284" s="6" t="s">
        <v>2999</v>
      </c>
      <c r="AI1284" s="6" t="s">
        <v>3000</v>
      </c>
      <c r="AJ1284" s="6">
        <v>6.9070503246E10</v>
      </c>
      <c r="AK1284" s="6" t="s">
        <v>9323</v>
      </c>
      <c r="AL1284" s="7"/>
      <c r="AM1284" s="6" t="s">
        <v>12191</v>
      </c>
      <c r="AN1284" s="6" t="s">
        <v>12192</v>
      </c>
      <c r="AO1284" s="6" t="s">
        <v>12193</v>
      </c>
      <c r="AP1284" s="6" t="s">
        <v>12194</v>
      </c>
      <c r="AQ1284" s="6" t="s">
        <v>12195</v>
      </c>
      <c r="AR1284" s="7"/>
      <c r="AS1284" s="6" t="s">
        <v>12196</v>
      </c>
      <c r="AT1284" s="6" t="s">
        <v>12197</v>
      </c>
      <c r="AU1284" s="6" t="s">
        <v>12198</v>
      </c>
      <c r="AV1284" s="6" t="s">
        <v>3306</v>
      </c>
      <c r="AW1284" s="6" t="s">
        <v>3307</v>
      </c>
      <c r="AX1284" s="6" t="s">
        <v>3312</v>
      </c>
      <c r="AY1284" s="6" t="s">
        <v>4067</v>
      </c>
      <c r="AZ1284" s="6" t="s">
        <v>3306</v>
      </c>
      <c r="BA1284" s="6" t="s">
        <v>4692</v>
      </c>
      <c r="BB1284" s="6" t="s">
        <v>3312</v>
      </c>
      <c r="BC1284" s="6" t="s">
        <v>3313</v>
      </c>
      <c r="BD1284" s="6" t="s">
        <v>804</v>
      </c>
      <c r="BE1284" s="6" t="s">
        <v>4341</v>
      </c>
      <c r="BF1284" s="6" t="s">
        <v>7476</v>
      </c>
      <c r="BG1284" s="6" t="s">
        <v>4694</v>
      </c>
      <c r="BH1284" s="6" t="s">
        <v>5761</v>
      </c>
      <c r="BI1284" s="6" t="s">
        <v>178</v>
      </c>
      <c r="BJ1284" s="6" t="s">
        <v>3318</v>
      </c>
      <c r="BK1284" s="6" t="s">
        <v>7178</v>
      </c>
    </row>
    <row r="1285" ht="22.5" customHeight="1">
      <c r="A1285" s="4">
        <v>46229.71577314815</v>
      </c>
      <c r="B1285" s="5">
        <v>0.0</v>
      </c>
      <c r="C1285" s="6" t="s">
        <v>114</v>
      </c>
      <c r="D1285" s="6" t="s">
        <v>2521</v>
      </c>
      <c r="E1285" s="6" t="s">
        <v>2522</v>
      </c>
      <c r="F1285" s="6">
        <v>6.9070508238E10</v>
      </c>
      <c r="G1285" s="6" t="s">
        <v>730</v>
      </c>
      <c r="H1285" s="7"/>
      <c r="I1285" s="6" t="s">
        <v>12199</v>
      </c>
      <c r="J1285" s="6" t="s">
        <v>12200</v>
      </c>
      <c r="K1285" s="6" t="s">
        <v>12201</v>
      </c>
      <c r="L1285" s="6" t="s">
        <v>12202</v>
      </c>
      <c r="M1285" s="6" t="s">
        <v>12203</v>
      </c>
      <c r="N1285" s="7"/>
      <c r="O1285" s="6" t="s">
        <v>12204</v>
      </c>
      <c r="P1285" s="6" t="s">
        <v>12205</v>
      </c>
      <c r="Q1285" s="6" t="s">
        <v>12206</v>
      </c>
      <c r="R1285" s="6" t="s">
        <v>257</v>
      </c>
      <c r="S1285" s="6" t="s">
        <v>147</v>
      </c>
      <c r="T1285" s="6" t="s">
        <v>516</v>
      </c>
      <c r="U1285" s="6" t="s">
        <v>560</v>
      </c>
      <c r="V1285" s="6" t="s">
        <v>458</v>
      </c>
      <c r="W1285" s="6" t="s">
        <v>625</v>
      </c>
      <c r="X1285" s="6" t="s">
        <v>257</v>
      </c>
      <c r="Y1285" s="6" t="s">
        <v>9427</v>
      </c>
      <c r="Z1285" s="6" t="s">
        <v>152</v>
      </c>
      <c r="AA1285" s="6" t="s">
        <v>1322</v>
      </c>
      <c r="AB1285" s="6" t="s">
        <v>3847</v>
      </c>
      <c r="AC1285" s="6" t="s">
        <v>174</v>
      </c>
      <c r="AD1285" s="6" t="s">
        <v>641</v>
      </c>
      <c r="AE1285" s="6" t="s">
        <v>524</v>
      </c>
      <c r="AF1285" s="6" t="s">
        <v>633</v>
      </c>
      <c r="AG1285" s="6" t="s">
        <v>1213</v>
      </c>
      <c r="AH1285" s="7"/>
      <c r="AI1285" s="7"/>
      <c r="AJ1285" s="7"/>
      <c r="AK1285" s="7"/>
      <c r="AL1285" s="7"/>
      <c r="AM1285" s="7"/>
      <c r="AN1285" s="7"/>
      <c r="AO1285" s="7"/>
      <c r="AP1285" s="7"/>
      <c r="AQ1285" s="7"/>
      <c r="AR1285" s="7"/>
      <c r="AS1285" s="7"/>
      <c r="AT1285" s="7"/>
      <c r="AU1285" s="7"/>
      <c r="AV1285" s="7"/>
      <c r="AW1285" s="7"/>
      <c r="AX1285" s="7"/>
      <c r="AY1285" s="7"/>
      <c r="AZ1285" s="7"/>
      <c r="BA1285" s="7"/>
      <c r="BB1285" s="7"/>
      <c r="BC1285" s="7"/>
      <c r="BD1285" s="7"/>
      <c r="BE1285" s="7"/>
      <c r="BF1285" s="7"/>
      <c r="BG1285" s="7"/>
      <c r="BH1285" s="7"/>
      <c r="BI1285" s="7"/>
      <c r="BJ1285" s="7"/>
      <c r="BK1285" s="7"/>
    </row>
    <row r="1286" ht="22.5" customHeight="1">
      <c r="A1286" s="4">
        <v>46229.71599480324</v>
      </c>
      <c r="B1286" s="5">
        <v>0.0</v>
      </c>
      <c r="C1286" s="6" t="s">
        <v>3296</v>
      </c>
      <c r="D1286" s="7"/>
      <c r="E1286" s="7"/>
      <c r="F1286" s="7"/>
      <c r="G1286" s="7"/>
      <c r="H1286" s="7"/>
      <c r="I1286" s="7"/>
      <c r="J1286" s="7"/>
      <c r="K1286" s="7"/>
      <c r="L1286" s="7"/>
      <c r="M1286" s="7"/>
      <c r="N1286" s="7"/>
      <c r="O1286" s="7"/>
      <c r="P1286" s="7"/>
      <c r="Q1286" s="7"/>
      <c r="R1286" s="7"/>
      <c r="S1286" s="7"/>
      <c r="T1286" s="7"/>
      <c r="U1286" s="7"/>
      <c r="V1286" s="7"/>
      <c r="W1286" s="7"/>
      <c r="X1286" s="7"/>
      <c r="Y1286" s="7"/>
      <c r="Z1286" s="7"/>
      <c r="AA1286" s="7"/>
      <c r="AB1286" s="7"/>
      <c r="AC1286" s="7"/>
      <c r="AD1286" s="7"/>
      <c r="AE1286" s="7"/>
      <c r="AF1286" s="7"/>
      <c r="AG1286" s="7"/>
      <c r="AH1286" s="6" t="s">
        <v>3001</v>
      </c>
      <c r="AI1286" s="6" t="s">
        <v>3002</v>
      </c>
      <c r="AJ1286" s="6">
        <v>6.9070503275E10</v>
      </c>
      <c r="AK1286" s="6" t="s">
        <v>9323</v>
      </c>
      <c r="AL1286" s="6" t="s">
        <v>12207</v>
      </c>
      <c r="AM1286" s="6" t="s">
        <v>12208</v>
      </c>
      <c r="AN1286" s="6" t="s">
        <v>12209</v>
      </c>
      <c r="AO1286" s="6" t="s">
        <v>12210</v>
      </c>
      <c r="AP1286" s="6" t="s">
        <v>12211</v>
      </c>
      <c r="AQ1286" s="6" t="s">
        <v>12212</v>
      </c>
      <c r="AR1286" s="7"/>
      <c r="AS1286" s="6" t="s">
        <v>12213</v>
      </c>
      <c r="AT1286" s="6" t="s">
        <v>12214</v>
      </c>
      <c r="AU1286" s="6" t="s">
        <v>12215</v>
      </c>
      <c r="AV1286" s="6" t="s">
        <v>3306</v>
      </c>
      <c r="AW1286" s="6" t="s">
        <v>3307</v>
      </c>
      <c r="AX1286" s="6" t="s">
        <v>3306</v>
      </c>
      <c r="AY1286" s="6" t="s">
        <v>4067</v>
      </c>
      <c r="AZ1286" s="6" t="s">
        <v>3310</v>
      </c>
      <c r="BA1286" s="6" t="s">
        <v>3311</v>
      </c>
      <c r="BB1286" s="6" t="s">
        <v>3306</v>
      </c>
      <c r="BC1286" s="6" t="s">
        <v>3313</v>
      </c>
      <c r="BD1286" s="6" t="s">
        <v>4804</v>
      </c>
      <c r="BE1286" s="6" t="s">
        <v>3888</v>
      </c>
      <c r="BF1286" s="6" t="s">
        <v>3315</v>
      </c>
      <c r="BG1286" s="6" t="s">
        <v>5760</v>
      </c>
      <c r="BH1286" s="6" t="s">
        <v>3317</v>
      </c>
      <c r="BI1286" s="6" t="s">
        <v>271</v>
      </c>
      <c r="BJ1286" s="6" t="s">
        <v>3318</v>
      </c>
      <c r="BK1286" s="6" t="s">
        <v>3319</v>
      </c>
    </row>
    <row r="1287" ht="22.5" customHeight="1">
      <c r="A1287" s="4">
        <v>46229.71646555555</v>
      </c>
      <c r="B1287" s="5">
        <v>0.0</v>
      </c>
      <c r="C1287" s="6" t="s">
        <v>114</v>
      </c>
      <c r="D1287" s="6" t="s">
        <v>2523</v>
      </c>
      <c r="E1287" s="6" t="s">
        <v>2524</v>
      </c>
      <c r="F1287" s="6">
        <v>6.9070509622E10</v>
      </c>
      <c r="G1287" s="6" t="s">
        <v>730</v>
      </c>
      <c r="H1287" s="7"/>
      <c r="I1287" s="6" t="s">
        <v>9896</v>
      </c>
      <c r="J1287" s="6" t="s">
        <v>9897</v>
      </c>
      <c r="K1287" s="6" t="s">
        <v>6556</v>
      </c>
      <c r="L1287" s="6" t="s">
        <v>6556</v>
      </c>
      <c r="M1287" s="6" t="s">
        <v>10257</v>
      </c>
      <c r="N1287" s="7"/>
      <c r="O1287" s="6" t="s">
        <v>12216</v>
      </c>
      <c r="P1287" s="6" t="s">
        <v>12217</v>
      </c>
      <c r="Q1287" s="6" t="s">
        <v>12218</v>
      </c>
      <c r="R1287" s="6" t="s">
        <v>246</v>
      </c>
      <c r="S1287" s="6" t="s">
        <v>147</v>
      </c>
      <c r="T1287" s="6" t="s">
        <v>250</v>
      </c>
      <c r="U1287" s="6" t="s">
        <v>560</v>
      </c>
      <c r="V1287" s="6" t="s">
        <v>155</v>
      </c>
      <c r="W1287" s="6" t="s">
        <v>158</v>
      </c>
      <c r="X1287" s="6" t="s">
        <v>257</v>
      </c>
      <c r="Y1287" s="6" t="s">
        <v>162</v>
      </c>
      <c r="Z1287" s="6" t="s">
        <v>165</v>
      </c>
      <c r="AA1287" s="6" t="s">
        <v>262</v>
      </c>
      <c r="AB1287" s="6" t="s">
        <v>171</v>
      </c>
      <c r="AC1287" s="6" t="s">
        <v>174</v>
      </c>
      <c r="AD1287" s="6" t="s">
        <v>175</v>
      </c>
      <c r="AE1287" s="6" t="s">
        <v>271</v>
      </c>
      <c r="AF1287" s="6" t="s">
        <v>181</v>
      </c>
      <c r="AG1287" s="6" t="s">
        <v>182</v>
      </c>
      <c r="AH1287" s="7"/>
      <c r="AI1287" s="7"/>
      <c r="AJ1287" s="7"/>
      <c r="AK1287" s="7"/>
      <c r="AL1287" s="7"/>
      <c r="AM1287" s="7"/>
      <c r="AN1287" s="7"/>
      <c r="AO1287" s="7"/>
      <c r="AP1287" s="7"/>
      <c r="AQ1287" s="7"/>
      <c r="AR1287" s="7"/>
      <c r="AS1287" s="7"/>
      <c r="AT1287" s="7"/>
      <c r="AU1287" s="7"/>
      <c r="AV1287" s="7"/>
      <c r="AW1287" s="7"/>
      <c r="AX1287" s="7"/>
      <c r="AY1287" s="7"/>
      <c r="AZ1287" s="7"/>
      <c r="BA1287" s="7"/>
      <c r="BB1287" s="7"/>
      <c r="BC1287" s="7"/>
      <c r="BD1287" s="7"/>
      <c r="BE1287" s="7"/>
      <c r="BF1287" s="7"/>
      <c r="BG1287" s="7"/>
      <c r="BH1287" s="7"/>
      <c r="BI1287" s="7"/>
      <c r="BJ1287" s="7"/>
      <c r="BK1287" s="7"/>
    </row>
    <row r="1288" ht="22.5" customHeight="1">
      <c r="A1288" s="4">
        <v>46229.71751497685</v>
      </c>
      <c r="B1288" s="5">
        <v>0.0</v>
      </c>
      <c r="C1288" s="6" t="s">
        <v>3296</v>
      </c>
      <c r="D1288" s="7"/>
      <c r="E1288" s="7"/>
      <c r="F1288" s="7"/>
      <c r="G1288" s="7"/>
      <c r="H1288" s="7"/>
      <c r="I1288" s="7"/>
      <c r="J1288" s="7"/>
      <c r="K1288" s="7"/>
      <c r="L1288" s="7"/>
      <c r="M1288" s="7"/>
      <c r="N1288" s="7"/>
      <c r="O1288" s="7"/>
      <c r="P1288" s="7"/>
      <c r="Q1288" s="7"/>
      <c r="R1288" s="7"/>
      <c r="S1288" s="7"/>
      <c r="T1288" s="7"/>
      <c r="U1288" s="7"/>
      <c r="V1288" s="7"/>
      <c r="W1288" s="7"/>
      <c r="X1288" s="7"/>
      <c r="Y1288" s="7"/>
      <c r="Z1288" s="7"/>
      <c r="AA1288" s="7"/>
      <c r="AB1288" s="7"/>
      <c r="AC1288" s="7"/>
      <c r="AD1288" s="7"/>
      <c r="AE1288" s="7"/>
      <c r="AF1288" s="7"/>
      <c r="AG1288" s="7"/>
      <c r="AH1288" s="6" t="s">
        <v>3003</v>
      </c>
      <c r="AI1288" s="6" t="s">
        <v>3004</v>
      </c>
      <c r="AJ1288" s="6">
        <v>6.9070503225E10</v>
      </c>
      <c r="AK1288" s="6" t="s">
        <v>9323</v>
      </c>
      <c r="AL1288" s="6" t="s">
        <v>12219</v>
      </c>
      <c r="AM1288" s="6" t="s">
        <v>12220</v>
      </c>
      <c r="AN1288" s="6" t="s">
        <v>12221</v>
      </c>
      <c r="AO1288" s="6" t="s">
        <v>12222</v>
      </c>
      <c r="AP1288" s="6" t="s">
        <v>12223</v>
      </c>
      <c r="AQ1288" s="6" t="s">
        <v>12224</v>
      </c>
      <c r="AR1288" s="6" t="s">
        <v>12225</v>
      </c>
      <c r="AS1288" s="6" t="s">
        <v>12226</v>
      </c>
      <c r="AT1288" s="6" t="s">
        <v>12227</v>
      </c>
      <c r="AU1288" s="6" t="s">
        <v>12228</v>
      </c>
      <c r="AV1288" s="6" t="s">
        <v>3306</v>
      </c>
      <c r="AW1288" s="6" t="s">
        <v>3307</v>
      </c>
      <c r="AX1288" s="6" t="s">
        <v>3887</v>
      </c>
      <c r="AY1288" s="6" t="s">
        <v>4067</v>
      </c>
      <c r="AZ1288" s="6" t="s">
        <v>3306</v>
      </c>
      <c r="BA1288" s="6" t="s">
        <v>3311</v>
      </c>
      <c r="BB1288" s="6" t="s">
        <v>3312</v>
      </c>
      <c r="BC1288" s="6" t="s">
        <v>3313</v>
      </c>
      <c r="BD1288" s="6" t="s">
        <v>165</v>
      </c>
      <c r="BE1288" s="6" t="s">
        <v>5761</v>
      </c>
      <c r="BF1288" s="6" t="s">
        <v>3315</v>
      </c>
      <c r="BG1288" s="6" t="s">
        <v>3316</v>
      </c>
      <c r="BH1288" s="6" t="s">
        <v>5246</v>
      </c>
      <c r="BI1288" s="6" t="s">
        <v>271</v>
      </c>
      <c r="BJ1288" s="6" t="s">
        <v>3318</v>
      </c>
      <c r="BK1288" s="6" t="s">
        <v>4695</v>
      </c>
    </row>
    <row r="1289" ht="22.5" customHeight="1">
      <c r="A1289" s="4">
        <v>46229.71825148148</v>
      </c>
      <c r="B1289" s="5">
        <v>0.0</v>
      </c>
      <c r="C1289" s="6" t="s">
        <v>3296</v>
      </c>
      <c r="D1289" s="7"/>
      <c r="E1289" s="7"/>
      <c r="F1289" s="7"/>
      <c r="G1289" s="7"/>
      <c r="H1289" s="7"/>
      <c r="I1289" s="7"/>
      <c r="J1289" s="7"/>
      <c r="K1289" s="7"/>
      <c r="L1289" s="7"/>
      <c r="M1289" s="7"/>
      <c r="N1289" s="7"/>
      <c r="O1289" s="7"/>
      <c r="P1289" s="7"/>
      <c r="Q1289" s="7"/>
      <c r="R1289" s="7"/>
      <c r="S1289" s="7"/>
      <c r="T1289" s="7"/>
      <c r="U1289" s="7"/>
      <c r="V1289" s="7"/>
      <c r="W1289" s="7"/>
      <c r="X1289" s="7"/>
      <c r="Y1289" s="7"/>
      <c r="Z1289" s="7"/>
      <c r="AA1289" s="7"/>
      <c r="AB1289" s="7"/>
      <c r="AC1289" s="7"/>
      <c r="AD1289" s="7"/>
      <c r="AE1289" s="7"/>
      <c r="AF1289" s="7"/>
      <c r="AG1289" s="7"/>
      <c r="AH1289" s="6" t="s">
        <v>3005</v>
      </c>
      <c r="AI1289" s="6" t="s">
        <v>3006</v>
      </c>
      <c r="AJ1289" s="6">
        <v>6.9070503223E10</v>
      </c>
      <c r="AK1289" s="6" t="s">
        <v>9323</v>
      </c>
      <c r="AL1289" s="7"/>
      <c r="AM1289" s="6" t="s">
        <v>12229</v>
      </c>
      <c r="AN1289" s="6" t="s">
        <v>12230</v>
      </c>
      <c r="AO1289" s="6" t="s">
        <v>12231</v>
      </c>
      <c r="AP1289" s="6" t="s">
        <v>11857</v>
      </c>
      <c r="AQ1289" s="6" t="s">
        <v>10719</v>
      </c>
      <c r="AR1289" s="7"/>
      <c r="AS1289" s="6" t="s">
        <v>12232</v>
      </c>
      <c r="AT1289" s="6" t="s">
        <v>12233</v>
      </c>
      <c r="AU1289" s="6" t="s">
        <v>12234</v>
      </c>
      <c r="AV1289" s="6" t="s">
        <v>3306</v>
      </c>
      <c r="AW1289" s="6" t="s">
        <v>3307</v>
      </c>
      <c r="AX1289" s="6" t="s">
        <v>4887</v>
      </c>
      <c r="AY1289" s="6" t="s">
        <v>804</v>
      </c>
      <c r="AZ1289" s="6" t="s">
        <v>3306</v>
      </c>
      <c r="BA1289" s="6" t="s">
        <v>3311</v>
      </c>
      <c r="BB1289" s="6" t="s">
        <v>3312</v>
      </c>
      <c r="BC1289" s="6" t="s">
        <v>3313</v>
      </c>
      <c r="BD1289" s="6" t="s">
        <v>165</v>
      </c>
      <c r="BE1289" s="6" t="s">
        <v>3888</v>
      </c>
      <c r="BF1289" s="6" t="s">
        <v>3315</v>
      </c>
      <c r="BG1289" s="6" t="s">
        <v>4068</v>
      </c>
      <c r="BH1289" s="6" t="s">
        <v>3317</v>
      </c>
      <c r="BI1289" s="6" t="s">
        <v>271</v>
      </c>
      <c r="BJ1289" s="6" t="s">
        <v>3318</v>
      </c>
      <c r="BK1289" s="6" t="s">
        <v>4695</v>
      </c>
    </row>
    <row r="1290" ht="22.5" customHeight="1">
      <c r="A1290" s="4">
        <v>46229.71840790509</v>
      </c>
      <c r="B1290" s="5">
        <v>0.0</v>
      </c>
      <c r="C1290" s="6" t="s">
        <v>3296</v>
      </c>
      <c r="D1290" s="7"/>
      <c r="E1290" s="7"/>
      <c r="F1290" s="7"/>
      <c r="G1290" s="7"/>
      <c r="H1290" s="7"/>
      <c r="I1290" s="7"/>
      <c r="J1290" s="7"/>
      <c r="K1290" s="7"/>
      <c r="L1290" s="7"/>
      <c r="M1290" s="7"/>
      <c r="N1290" s="7"/>
      <c r="O1290" s="7"/>
      <c r="P1290" s="7"/>
      <c r="Q1290" s="7"/>
      <c r="R1290" s="7"/>
      <c r="S1290" s="7"/>
      <c r="T1290" s="7"/>
      <c r="U1290" s="7"/>
      <c r="V1290" s="7"/>
      <c r="W1290" s="7"/>
      <c r="X1290" s="7"/>
      <c r="Y1290" s="7"/>
      <c r="Z1290" s="7"/>
      <c r="AA1290" s="7"/>
      <c r="AB1290" s="7"/>
      <c r="AC1290" s="7"/>
      <c r="AD1290" s="7"/>
      <c r="AE1290" s="7"/>
      <c r="AF1290" s="7"/>
      <c r="AG1290" s="7"/>
      <c r="AH1290" s="6" t="s">
        <v>3007</v>
      </c>
      <c r="AI1290" s="6" t="s">
        <v>3008</v>
      </c>
      <c r="AJ1290" s="6">
        <v>6.9070503264E10</v>
      </c>
      <c r="AK1290" s="6" t="s">
        <v>9323</v>
      </c>
      <c r="AL1290" s="6" t="s">
        <v>6911</v>
      </c>
      <c r="AM1290" s="6" t="s">
        <v>12235</v>
      </c>
      <c r="AN1290" s="6" t="s">
        <v>12236</v>
      </c>
      <c r="AO1290" s="6" t="s">
        <v>12237</v>
      </c>
      <c r="AP1290" s="6" t="s">
        <v>12238</v>
      </c>
      <c r="AQ1290" s="6" t="s">
        <v>12239</v>
      </c>
      <c r="AR1290" s="7"/>
      <c r="AS1290" s="6" t="s">
        <v>12240</v>
      </c>
      <c r="AT1290" s="6" t="s">
        <v>12241</v>
      </c>
      <c r="AU1290" s="6" t="s">
        <v>12242</v>
      </c>
      <c r="AV1290" s="6" t="s">
        <v>3306</v>
      </c>
      <c r="AW1290" s="6" t="s">
        <v>3307</v>
      </c>
      <c r="AX1290" s="6" t="s">
        <v>3312</v>
      </c>
      <c r="AY1290" s="6" t="s">
        <v>5759</v>
      </c>
      <c r="AZ1290" s="6" t="s">
        <v>3306</v>
      </c>
      <c r="BA1290" s="6" t="s">
        <v>3311</v>
      </c>
      <c r="BB1290" s="6" t="s">
        <v>3312</v>
      </c>
      <c r="BC1290" s="6" t="s">
        <v>3313</v>
      </c>
      <c r="BD1290" s="6" t="s">
        <v>165</v>
      </c>
      <c r="BE1290" s="6" t="s">
        <v>3888</v>
      </c>
      <c r="BF1290" s="6" t="s">
        <v>3315</v>
      </c>
      <c r="BG1290" s="6" t="s">
        <v>4068</v>
      </c>
      <c r="BH1290" s="6" t="s">
        <v>3317</v>
      </c>
      <c r="BI1290" s="6" t="s">
        <v>271</v>
      </c>
      <c r="BJ1290" s="6" t="s">
        <v>3318</v>
      </c>
      <c r="BK1290" s="6" t="s">
        <v>3319</v>
      </c>
    </row>
    <row r="1291" ht="22.5" customHeight="1">
      <c r="A1291" s="4">
        <v>46229.718766805556</v>
      </c>
      <c r="B1291" s="5">
        <v>0.0</v>
      </c>
      <c r="C1291" s="6" t="s">
        <v>3296</v>
      </c>
      <c r="D1291" s="7"/>
      <c r="E1291" s="7"/>
      <c r="F1291" s="7"/>
      <c r="G1291" s="7"/>
      <c r="H1291" s="7"/>
      <c r="I1291" s="7"/>
      <c r="J1291" s="7"/>
      <c r="K1291" s="7"/>
      <c r="L1291" s="7"/>
      <c r="M1291" s="7"/>
      <c r="N1291" s="7"/>
      <c r="O1291" s="7"/>
      <c r="P1291" s="7"/>
      <c r="Q1291" s="7"/>
      <c r="R1291" s="7"/>
      <c r="S1291" s="7"/>
      <c r="T1291" s="7"/>
      <c r="U1291" s="7"/>
      <c r="V1291" s="7"/>
      <c r="W1291" s="7"/>
      <c r="X1291" s="7"/>
      <c r="Y1291" s="7"/>
      <c r="Z1291" s="7"/>
      <c r="AA1291" s="7"/>
      <c r="AB1291" s="7"/>
      <c r="AC1291" s="7"/>
      <c r="AD1291" s="7"/>
      <c r="AE1291" s="7"/>
      <c r="AF1291" s="7"/>
      <c r="AG1291" s="7"/>
      <c r="AH1291" s="6" t="s">
        <v>3009</v>
      </c>
      <c r="AI1291" s="6" t="s">
        <v>3010</v>
      </c>
      <c r="AJ1291" s="6">
        <v>6.9070503252E10</v>
      </c>
      <c r="AK1291" s="6" t="s">
        <v>9323</v>
      </c>
      <c r="AL1291" s="7"/>
      <c r="AM1291" s="6" t="s">
        <v>12243</v>
      </c>
      <c r="AN1291" s="6" t="s">
        <v>12244</v>
      </c>
      <c r="AO1291" s="6" t="s">
        <v>12245</v>
      </c>
      <c r="AP1291" s="6" t="s">
        <v>12246</v>
      </c>
      <c r="AQ1291" s="6" t="s">
        <v>12247</v>
      </c>
      <c r="AR1291" s="7"/>
      <c r="AS1291" s="6" t="s">
        <v>12248</v>
      </c>
      <c r="AT1291" s="6" t="s">
        <v>12249</v>
      </c>
      <c r="AU1291" s="6" t="s">
        <v>12250</v>
      </c>
      <c r="AV1291" s="6" t="s">
        <v>3312</v>
      </c>
      <c r="AW1291" s="6" t="s">
        <v>3307</v>
      </c>
      <c r="AX1291" s="6" t="s">
        <v>4887</v>
      </c>
      <c r="AY1291" s="6" t="s">
        <v>4067</v>
      </c>
      <c r="AZ1291" s="6" t="s">
        <v>3306</v>
      </c>
      <c r="BA1291" s="6" t="s">
        <v>3311</v>
      </c>
      <c r="BB1291" s="6" t="s">
        <v>3312</v>
      </c>
      <c r="BC1291" s="6" t="s">
        <v>3313</v>
      </c>
      <c r="BD1291" s="6" t="s">
        <v>165</v>
      </c>
      <c r="BE1291" s="6" t="s">
        <v>3888</v>
      </c>
      <c r="BF1291" s="6" t="s">
        <v>7476</v>
      </c>
      <c r="BG1291" s="6" t="s">
        <v>4068</v>
      </c>
      <c r="BH1291" s="6" t="s">
        <v>3317</v>
      </c>
      <c r="BI1291" s="6" t="s">
        <v>271</v>
      </c>
      <c r="BJ1291" s="6" t="s">
        <v>3318</v>
      </c>
      <c r="BK1291" s="6" t="s">
        <v>7178</v>
      </c>
    </row>
    <row r="1292" ht="22.5" customHeight="1">
      <c r="A1292" s="4">
        <v>46229.71967737269</v>
      </c>
      <c r="B1292" s="5">
        <v>0.0</v>
      </c>
      <c r="C1292" s="6" t="s">
        <v>3296</v>
      </c>
      <c r="D1292" s="7"/>
      <c r="E1292" s="7"/>
      <c r="F1292" s="7"/>
      <c r="G1292" s="7"/>
      <c r="H1292" s="7"/>
      <c r="I1292" s="7"/>
      <c r="J1292" s="7"/>
      <c r="K1292" s="7"/>
      <c r="L1292" s="7"/>
      <c r="M1292" s="7"/>
      <c r="N1292" s="7"/>
      <c r="O1292" s="7"/>
      <c r="P1292" s="7"/>
      <c r="Q1292" s="7"/>
      <c r="R1292" s="7"/>
      <c r="S1292" s="7"/>
      <c r="T1292" s="7"/>
      <c r="U1292" s="7"/>
      <c r="V1292" s="7"/>
      <c r="W1292" s="7"/>
      <c r="X1292" s="7"/>
      <c r="Y1292" s="7"/>
      <c r="Z1292" s="7"/>
      <c r="AA1292" s="7"/>
      <c r="AB1292" s="7"/>
      <c r="AC1292" s="7"/>
      <c r="AD1292" s="7"/>
      <c r="AE1292" s="7"/>
      <c r="AF1292" s="7"/>
      <c r="AG1292" s="7"/>
      <c r="AH1292" s="6" t="s">
        <v>3011</v>
      </c>
      <c r="AI1292" s="6" t="s">
        <v>3012</v>
      </c>
      <c r="AJ1292" s="6">
        <v>6.9070503222E10</v>
      </c>
      <c r="AK1292" s="6" t="s">
        <v>9323</v>
      </c>
      <c r="AL1292" s="7"/>
      <c r="AM1292" s="6" t="s">
        <v>12251</v>
      </c>
      <c r="AN1292" s="6" t="s">
        <v>12252</v>
      </c>
      <c r="AO1292" s="6" t="s">
        <v>12253</v>
      </c>
      <c r="AP1292" s="6" t="s">
        <v>12254</v>
      </c>
      <c r="AQ1292" s="6" t="s">
        <v>12255</v>
      </c>
      <c r="AR1292" s="6" t="s">
        <v>12256</v>
      </c>
      <c r="AS1292" s="6" t="s">
        <v>12257</v>
      </c>
      <c r="AT1292" s="6" t="s">
        <v>12258</v>
      </c>
      <c r="AU1292" s="6" t="s">
        <v>12259</v>
      </c>
      <c r="AV1292" s="6" t="s">
        <v>3306</v>
      </c>
      <c r="AW1292" s="6" t="s">
        <v>3307</v>
      </c>
      <c r="AX1292" s="6" t="s">
        <v>3887</v>
      </c>
      <c r="AY1292" s="6" t="s">
        <v>804</v>
      </c>
      <c r="AZ1292" s="6" t="s">
        <v>3306</v>
      </c>
      <c r="BA1292" s="6" t="s">
        <v>3311</v>
      </c>
      <c r="BB1292" s="6" t="s">
        <v>4693</v>
      </c>
      <c r="BC1292" s="6" t="s">
        <v>3313</v>
      </c>
      <c r="BD1292" s="6" t="s">
        <v>165</v>
      </c>
      <c r="BE1292" s="6" t="s">
        <v>3888</v>
      </c>
      <c r="BF1292" s="6" t="s">
        <v>3315</v>
      </c>
      <c r="BG1292" s="6" t="s">
        <v>5760</v>
      </c>
      <c r="BH1292" s="6" t="s">
        <v>3317</v>
      </c>
      <c r="BI1292" s="6" t="s">
        <v>271</v>
      </c>
      <c r="BJ1292" s="6" t="s">
        <v>3318</v>
      </c>
      <c r="BK1292" s="6" t="s">
        <v>3319</v>
      </c>
    </row>
    <row r="1293" ht="22.5" customHeight="1">
      <c r="A1293" s="4">
        <v>46229.72001751157</v>
      </c>
      <c r="B1293" s="5">
        <v>0.0</v>
      </c>
      <c r="C1293" s="6" t="s">
        <v>114</v>
      </c>
      <c r="D1293" s="6" t="s">
        <v>2525</v>
      </c>
      <c r="E1293" s="6" t="s">
        <v>2526</v>
      </c>
      <c r="F1293" s="6">
        <v>6.9070501804E10</v>
      </c>
      <c r="G1293" s="6" t="s">
        <v>730</v>
      </c>
      <c r="H1293" s="7"/>
      <c r="I1293" s="6" t="s">
        <v>6393</v>
      </c>
      <c r="J1293" s="6" t="s">
        <v>6158</v>
      </c>
      <c r="K1293" s="6" t="s">
        <v>6867</v>
      </c>
      <c r="L1293" s="6" t="s">
        <v>12260</v>
      </c>
      <c r="M1293" s="6" t="s">
        <v>12261</v>
      </c>
      <c r="N1293" s="7"/>
      <c r="O1293" s="6" t="s">
        <v>12262</v>
      </c>
      <c r="P1293" s="6" t="s">
        <v>12263</v>
      </c>
      <c r="Q1293" s="6" t="s">
        <v>12264</v>
      </c>
      <c r="R1293" s="6" t="s">
        <v>246</v>
      </c>
      <c r="S1293" s="6" t="s">
        <v>147</v>
      </c>
      <c r="T1293" s="6" t="s">
        <v>250</v>
      </c>
      <c r="U1293" s="6" t="s">
        <v>560</v>
      </c>
      <c r="V1293" s="6" t="s">
        <v>155</v>
      </c>
      <c r="W1293" s="6" t="s">
        <v>158</v>
      </c>
      <c r="X1293" s="6" t="s">
        <v>257</v>
      </c>
      <c r="Y1293" s="6" t="s">
        <v>162</v>
      </c>
      <c r="Z1293" s="6" t="s">
        <v>165</v>
      </c>
      <c r="AA1293" s="6" t="s">
        <v>262</v>
      </c>
      <c r="AB1293" s="6" t="s">
        <v>171</v>
      </c>
      <c r="AC1293" s="6" t="s">
        <v>174</v>
      </c>
      <c r="AD1293" s="6" t="s">
        <v>175</v>
      </c>
      <c r="AE1293" s="6" t="s">
        <v>271</v>
      </c>
      <c r="AF1293" s="6" t="s">
        <v>181</v>
      </c>
      <c r="AG1293" s="6" t="s">
        <v>182</v>
      </c>
      <c r="AH1293" s="7"/>
      <c r="AI1293" s="7"/>
      <c r="AJ1293" s="7"/>
      <c r="AK1293" s="7"/>
      <c r="AL1293" s="7"/>
      <c r="AM1293" s="7"/>
      <c r="AN1293" s="7"/>
      <c r="AO1293" s="7"/>
      <c r="AP1293" s="7"/>
      <c r="AQ1293" s="7"/>
      <c r="AR1293" s="7"/>
      <c r="AS1293" s="7"/>
      <c r="AT1293" s="7"/>
      <c r="AU1293" s="7"/>
      <c r="AV1293" s="7"/>
      <c r="AW1293" s="7"/>
      <c r="AX1293" s="7"/>
      <c r="AY1293" s="7"/>
      <c r="AZ1293" s="7"/>
      <c r="BA1293" s="7"/>
      <c r="BB1293" s="7"/>
      <c r="BC1293" s="7"/>
      <c r="BD1293" s="7"/>
      <c r="BE1293" s="7"/>
      <c r="BF1293" s="7"/>
      <c r="BG1293" s="7"/>
      <c r="BH1293" s="7"/>
      <c r="BI1293" s="7"/>
      <c r="BJ1293" s="7"/>
      <c r="BK1293" s="7"/>
    </row>
    <row r="1294" ht="22.5" customHeight="1">
      <c r="A1294" s="4">
        <v>46229.721844907406</v>
      </c>
      <c r="B1294" s="5">
        <v>0.0</v>
      </c>
      <c r="C1294" s="6" t="s">
        <v>3296</v>
      </c>
      <c r="D1294" s="7"/>
      <c r="E1294" s="7"/>
      <c r="F1294" s="7"/>
      <c r="G1294" s="7"/>
      <c r="H1294" s="7"/>
      <c r="I1294" s="7"/>
      <c r="J1294" s="7"/>
      <c r="K1294" s="7"/>
      <c r="L1294" s="7"/>
      <c r="M1294" s="7"/>
      <c r="N1294" s="7"/>
      <c r="O1294" s="7"/>
      <c r="P1294" s="7"/>
      <c r="Q1294" s="7"/>
      <c r="R1294" s="7"/>
      <c r="S1294" s="7"/>
      <c r="T1294" s="7"/>
      <c r="U1294" s="7"/>
      <c r="V1294" s="7"/>
      <c r="W1294" s="7"/>
      <c r="X1294" s="7"/>
      <c r="Y1294" s="7"/>
      <c r="Z1294" s="7"/>
      <c r="AA1294" s="7"/>
      <c r="AB1294" s="7"/>
      <c r="AC1294" s="7"/>
      <c r="AD1294" s="7"/>
      <c r="AE1294" s="7"/>
      <c r="AF1294" s="7"/>
      <c r="AG1294" s="7"/>
      <c r="AH1294" s="6" t="s">
        <v>3013</v>
      </c>
      <c r="AI1294" s="6" t="s">
        <v>3014</v>
      </c>
      <c r="AJ1294" s="6">
        <v>6.907050904E10</v>
      </c>
      <c r="AK1294" s="6" t="s">
        <v>5042</v>
      </c>
      <c r="AL1294" s="6" t="s">
        <v>12265</v>
      </c>
      <c r="AM1294" s="6" t="s">
        <v>12266</v>
      </c>
      <c r="AN1294" s="6" t="s">
        <v>12267</v>
      </c>
      <c r="AO1294" s="6" t="s">
        <v>12268</v>
      </c>
      <c r="AP1294" s="6" t="s">
        <v>12269</v>
      </c>
      <c r="AQ1294" s="6" t="s">
        <v>6654</v>
      </c>
      <c r="AR1294" s="7"/>
      <c r="AS1294" s="6" t="s">
        <v>12270</v>
      </c>
      <c r="AT1294" s="6" t="s">
        <v>12271</v>
      </c>
      <c r="AU1294" s="6" t="s">
        <v>12272</v>
      </c>
      <c r="AV1294" s="6" t="s">
        <v>3312</v>
      </c>
      <c r="AW1294" s="6" t="s">
        <v>12273</v>
      </c>
      <c r="AX1294" s="6" t="s">
        <v>3312</v>
      </c>
      <c r="AY1294" s="6" t="s">
        <v>5759</v>
      </c>
      <c r="AZ1294" s="6" t="s">
        <v>3306</v>
      </c>
      <c r="BA1294" s="6" t="s">
        <v>3311</v>
      </c>
      <c r="BB1294" s="6" t="s">
        <v>4693</v>
      </c>
      <c r="BC1294" s="6" t="s">
        <v>3313</v>
      </c>
      <c r="BD1294" s="6" t="s">
        <v>165</v>
      </c>
      <c r="BE1294" s="6" t="s">
        <v>5631</v>
      </c>
      <c r="BF1294" s="6" t="s">
        <v>3315</v>
      </c>
      <c r="BG1294" s="6" t="s">
        <v>4068</v>
      </c>
      <c r="BH1294" s="6" t="s">
        <v>3317</v>
      </c>
      <c r="BI1294" s="6" t="s">
        <v>271</v>
      </c>
      <c r="BJ1294" s="6" t="s">
        <v>4342</v>
      </c>
      <c r="BK1294" s="6" t="s">
        <v>7178</v>
      </c>
    </row>
    <row r="1295" ht="22.5" customHeight="1">
      <c r="A1295" s="4">
        <v>46229.72186576389</v>
      </c>
      <c r="B1295" s="5">
        <v>0.0</v>
      </c>
      <c r="C1295" s="6" t="s">
        <v>3296</v>
      </c>
      <c r="D1295" s="7"/>
      <c r="E1295" s="7"/>
      <c r="F1295" s="7"/>
      <c r="G1295" s="7"/>
      <c r="H1295" s="7"/>
      <c r="I1295" s="7"/>
      <c r="J1295" s="7"/>
      <c r="K1295" s="7"/>
      <c r="L1295" s="7"/>
      <c r="M1295" s="7"/>
      <c r="N1295" s="7"/>
      <c r="O1295" s="7"/>
      <c r="P1295" s="7"/>
      <c r="Q1295" s="7"/>
      <c r="R1295" s="7"/>
      <c r="S1295" s="7"/>
      <c r="T1295" s="7"/>
      <c r="U1295" s="7"/>
      <c r="V1295" s="7"/>
      <c r="W1295" s="7"/>
      <c r="X1295" s="7"/>
      <c r="Y1295" s="7"/>
      <c r="Z1295" s="7"/>
      <c r="AA1295" s="7"/>
      <c r="AB1295" s="7"/>
      <c r="AC1295" s="7"/>
      <c r="AD1295" s="7"/>
      <c r="AE1295" s="7"/>
      <c r="AF1295" s="7"/>
      <c r="AG1295" s="7"/>
      <c r="AH1295" s="6" t="s">
        <v>12274</v>
      </c>
      <c r="AI1295" s="6" t="s">
        <v>12275</v>
      </c>
      <c r="AJ1295" s="6">
        <v>6.9070503245E10</v>
      </c>
      <c r="AK1295" s="6" t="s">
        <v>9323</v>
      </c>
      <c r="AL1295" s="7"/>
      <c r="AM1295" s="6" t="s">
        <v>12276</v>
      </c>
      <c r="AN1295" s="6" t="s">
        <v>12277</v>
      </c>
      <c r="AO1295" s="6" t="s">
        <v>12278</v>
      </c>
      <c r="AP1295" s="6" t="s">
        <v>12279</v>
      </c>
      <c r="AQ1295" s="6" t="s">
        <v>12280</v>
      </c>
      <c r="AR1295" s="7"/>
      <c r="AS1295" s="6" t="s">
        <v>12281</v>
      </c>
      <c r="AT1295" s="6" t="s">
        <v>12282</v>
      </c>
      <c r="AU1295" s="6" t="s">
        <v>12283</v>
      </c>
      <c r="AV1295" s="6" t="s">
        <v>3306</v>
      </c>
      <c r="AW1295" s="6" t="s">
        <v>3307</v>
      </c>
      <c r="AX1295" s="6" t="s">
        <v>3887</v>
      </c>
      <c r="AY1295" s="6" t="s">
        <v>5759</v>
      </c>
      <c r="AZ1295" s="6" t="s">
        <v>3306</v>
      </c>
      <c r="BA1295" s="6" t="s">
        <v>3311</v>
      </c>
      <c r="BB1295" s="6" t="s">
        <v>3312</v>
      </c>
      <c r="BC1295" s="6" t="s">
        <v>3313</v>
      </c>
      <c r="BD1295" s="6" t="s">
        <v>165</v>
      </c>
      <c r="BE1295" s="6" t="s">
        <v>3888</v>
      </c>
      <c r="BF1295" s="6" t="s">
        <v>3315</v>
      </c>
      <c r="BG1295" s="6" t="s">
        <v>3316</v>
      </c>
      <c r="BH1295" s="6" t="s">
        <v>5246</v>
      </c>
      <c r="BI1295" s="6" t="s">
        <v>271</v>
      </c>
      <c r="BJ1295" s="6" t="s">
        <v>3318</v>
      </c>
      <c r="BK1295" s="6" t="s">
        <v>3319</v>
      </c>
    </row>
    <row r="1296" ht="22.5" customHeight="1">
      <c r="A1296" s="4">
        <v>46229.722271273145</v>
      </c>
      <c r="B1296" s="5">
        <v>0.0</v>
      </c>
      <c r="C1296" s="6" t="s">
        <v>114</v>
      </c>
      <c r="D1296" s="6" t="s">
        <v>2527</v>
      </c>
      <c r="E1296" s="6" t="s">
        <v>2528</v>
      </c>
      <c r="F1296" s="6">
        <v>6.9070500061E10</v>
      </c>
      <c r="G1296" s="6" t="s">
        <v>4580</v>
      </c>
      <c r="H1296" s="7"/>
      <c r="I1296" s="6" t="s">
        <v>12284</v>
      </c>
      <c r="J1296" s="6" t="s">
        <v>12285</v>
      </c>
      <c r="K1296" s="6" t="s">
        <v>12286</v>
      </c>
      <c r="L1296" s="6" t="s">
        <v>12287</v>
      </c>
      <c r="M1296" s="6" t="s">
        <v>12288</v>
      </c>
      <c r="N1296" s="7"/>
      <c r="O1296" s="6" t="s">
        <v>12289</v>
      </c>
      <c r="P1296" s="6" t="s">
        <v>12290</v>
      </c>
      <c r="Q1296" s="6" t="s">
        <v>12291</v>
      </c>
      <c r="R1296" s="6" t="s">
        <v>246</v>
      </c>
      <c r="S1296" s="6" t="s">
        <v>147</v>
      </c>
      <c r="T1296" s="6" t="s">
        <v>250</v>
      </c>
      <c r="U1296" s="6" t="s">
        <v>152</v>
      </c>
      <c r="V1296" s="6" t="s">
        <v>246</v>
      </c>
      <c r="W1296" s="6" t="s">
        <v>158</v>
      </c>
      <c r="X1296" s="6" t="s">
        <v>257</v>
      </c>
      <c r="Y1296" s="6" t="s">
        <v>162</v>
      </c>
      <c r="Z1296" s="6" t="s">
        <v>165</v>
      </c>
      <c r="AA1296" s="6" t="s">
        <v>262</v>
      </c>
      <c r="AB1296" s="6" t="s">
        <v>521</v>
      </c>
      <c r="AC1296" s="6" t="s">
        <v>174</v>
      </c>
      <c r="AD1296" s="6" t="s">
        <v>175</v>
      </c>
      <c r="AE1296" s="6" t="s">
        <v>271</v>
      </c>
      <c r="AF1296" s="6" t="s">
        <v>181</v>
      </c>
      <c r="AG1296" s="6" t="s">
        <v>182</v>
      </c>
      <c r="AH1296" s="7"/>
      <c r="AI1296" s="7"/>
      <c r="AJ1296" s="7"/>
      <c r="AK1296" s="7"/>
      <c r="AL1296" s="7"/>
      <c r="AM1296" s="7"/>
      <c r="AN1296" s="7"/>
      <c r="AO1296" s="7"/>
      <c r="AP1296" s="7"/>
      <c r="AQ1296" s="7"/>
      <c r="AR1296" s="7"/>
      <c r="AS1296" s="7"/>
      <c r="AT1296" s="7"/>
      <c r="AU1296" s="7"/>
      <c r="AV1296" s="7"/>
      <c r="AW1296" s="7"/>
      <c r="AX1296" s="7"/>
      <c r="AY1296" s="7"/>
      <c r="AZ1296" s="7"/>
      <c r="BA1296" s="7"/>
      <c r="BB1296" s="7"/>
      <c r="BC1296" s="7"/>
      <c r="BD1296" s="7"/>
      <c r="BE1296" s="7"/>
      <c r="BF1296" s="7"/>
      <c r="BG1296" s="7"/>
      <c r="BH1296" s="7"/>
      <c r="BI1296" s="7"/>
      <c r="BJ1296" s="7"/>
      <c r="BK1296" s="7"/>
    </row>
    <row r="1297" ht="22.5" customHeight="1">
      <c r="A1297" s="4">
        <v>46229.72285160879</v>
      </c>
      <c r="B1297" s="5">
        <v>0.0</v>
      </c>
      <c r="C1297" s="6" t="s">
        <v>3296</v>
      </c>
      <c r="D1297" s="7"/>
      <c r="E1297" s="7"/>
      <c r="F1297" s="7"/>
      <c r="G1297" s="7"/>
      <c r="H1297" s="7"/>
      <c r="I1297" s="7"/>
      <c r="J1297" s="7"/>
      <c r="K1297" s="7"/>
      <c r="L1297" s="7"/>
      <c r="M1297" s="7"/>
      <c r="N1297" s="7"/>
      <c r="O1297" s="7"/>
      <c r="P1297" s="7"/>
      <c r="Q1297" s="7"/>
      <c r="R1297" s="7"/>
      <c r="S1297" s="7"/>
      <c r="T1297" s="7"/>
      <c r="U1297" s="7"/>
      <c r="V1297" s="7"/>
      <c r="W1297" s="7"/>
      <c r="X1297" s="7"/>
      <c r="Y1297" s="7"/>
      <c r="Z1297" s="7"/>
      <c r="AA1297" s="7"/>
      <c r="AB1297" s="7"/>
      <c r="AC1297" s="7"/>
      <c r="AD1297" s="7"/>
      <c r="AE1297" s="7"/>
      <c r="AF1297" s="7"/>
      <c r="AG1297" s="7"/>
      <c r="AH1297" s="6" t="s">
        <v>3015</v>
      </c>
      <c r="AI1297" s="6" t="s">
        <v>3016</v>
      </c>
      <c r="AJ1297" s="6">
        <v>6.9070503228E10</v>
      </c>
      <c r="AK1297" s="6" t="s">
        <v>9323</v>
      </c>
      <c r="AL1297" s="6" t="s">
        <v>12292</v>
      </c>
      <c r="AM1297" s="6" t="s">
        <v>12293</v>
      </c>
      <c r="AN1297" s="6" t="s">
        <v>12294</v>
      </c>
      <c r="AO1297" s="6" t="s">
        <v>12295</v>
      </c>
      <c r="AP1297" s="6" t="s">
        <v>12296</v>
      </c>
      <c r="AQ1297" s="6" t="s">
        <v>12297</v>
      </c>
      <c r="AR1297" s="6" t="s">
        <v>12298</v>
      </c>
      <c r="AS1297" s="6" t="s">
        <v>12299</v>
      </c>
      <c r="AT1297" s="6" t="s">
        <v>12300</v>
      </c>
      <c r="AU1297" s="6" t="s">
        <v>12301</v>
      </c>
      <c r="AV1297" s="6" t="s">
        <v>3312</v>
      </c>
      <c r="AW1297" s="6" t="s">
        <v>8122</v>
      </c>
      <c r="AX1297" s="6" t="s">
        <v>4887</v>
      </c>
      <c r="AY1297" s="6" t="s">
        <v>804</v>
      </c>
      <c r="AZ1297" s="6" t="s">
        <v>3306</v>
      </c>
      <c r="BA1297" s="6" t="s">
        <v>3311</v>
      </c>
      <c r="BB1297" s="6" t="s">
        <v>4693</v>
      </c>
      <c r="BC1297" s="6" t="s">
        <v>10500</v>
      </c>
      <c r="BD1297" s="6" t="s">
        <v>629</v>
      </c>
      <c r="BE1297" s="6" t="s">
        <v>5761</v>
      </c>
      <c r="BF1297" s="6" t="s">
        <v>3889</v>
      </c>
      <c r="BG1297" s="6" t="s">
        <v>3316</v>
      </c>
      <c r="BH1297" s="6" t="s">
        <v>5761</v>
      </c>
      <c r="BI1297" s="6" t="s">
        <v>178</v>
      </c>
      <c r="BJ1297" s="6" t="s">
        <v>3318</v>
      </c>
      <c r="BK1297" s="6" t="s">
        <v>4695</v>
      </c>
    </row>
    <row r="1298" ht="22.5" customHeight="1">
      <c r="A1298" s="4">
        <v>46229.72355255787</v>
      </c>
      <c r="B1298" s="5">
        <v>0.0</v>
      </c>
      <c r="C1298" s="6" t="s">
        <v>3296</v>
      </c>
      <c r="D1298" s="7"/>
      <c r="E1298" s="7"/>
      <c r="F1298" s="7"/>
      <c r="G1298" s="7"/>
      <c r="H1298" s="7"/>
      <c r="I1298" s="7"/>
      <c r="J1298" s="7"/>
      <c r="K1298" s="7"/>
      <c r="L1298" s="7"/>
      <c r="M1298" s="7"/>
      <c r="N1298" s="7"/>
      <c r="O1298" s="7"/>
      <c r="P1298" s="7"/>
      <c r="Q1298" s="7"/>
      <c r="R1298" s="7"/>
      <c r="S1298" s="7"/>
      <c r="T1298" s="7"/>
      <c r="U1298" s="7"/>
      <c r="V1298" s="7"/>
      <c r="W1298" s="7"/>
      <c r="X1298" s="7"/>
      <c r="Y1298" s="7"/>
      <c r="Z1298" s="7"/>
      <c r="AA1298" s="7"/>
      <c r="AB1298" s="7"/>
      <c r="AC1298" s="7"/>
      <c r="AD1298" s="7"/>
      <c r="AE1298" s="7"/>
      <c r="AF1298" s="7"/>
      <c r="AG1298" s="7"/>
      <c r="AH1298" s="6" t="s">
        <v>3017</v>
      </c>
      <c r="AI1298" s="6" t="s">
        <v>3018</v>
      </c>
      <c r="AJ1298" s="6">
        <v>6.9070503236E10</v>
      </c>
      <c r="AK1298" s="6" t="s">
        <v>9323</v>
      </c>
      <c r="AL1298" s="6" t="s">
        <v>12302</v>
      </c>
      <c r="AM1298" s="6" t="s">
        <v>12303</v>
      </c>
      <c r="AN1298" s="6" t="s">
        <v>12304</v>
      </c>
      <c r="AO1298" s="6" t="s">
        <v>12305</v>
      </c>
      <c r="AP1298" s="6" t="s">
        <v>12306</v>
      </c>
      <c r="AQ1298" s="6" t="s">
        <v>12307</v>
      </c>
      <c r="AR1298" s="7"/>
      <c r="AS1298" s="6" t="s">
        <v>12308</v>
      </c>
      <c r="AT1298" s="6" t="s">
        <v>12309</v>
      </c>
      <c r="AU1298" s="6" t="s">
        <v>12310</v>
      </c>
      <c r="AV1298" s="6" t="s">
        <v>4861</v>
      </c>
      <c r="AW1298" s="6" t="s">
        <v>3307</v>
      </c>
      <c r="AX1298" s="6" t="s">
        <v>3312</v>
      </c>
      <c r="AY1298" s="6" t="s">
        <v>4067</v>
      </c>
      <c r="AZ1298" s="6" t="s">
        <v>3306</v>
      </c>
      <c r="BA1298" s="6" t="s">
        <v>3311</v>
      </c>
      <c r="BB1298" s="6" t="s">
        <v>6098</v>
      </c>
      <c r="BC1298" s="6" t="s">
        <v>3313</v>
      </c>
      <c r="BD1298" s="6" t="s">
        <v>165</v>
      </c>
      <c r="BE1298" s="6" t="s">
        <v>3888</v>
      </c>
      <c r="BF1298" s="6" t="s">
        <v>3315</v>
      </c>
      <c r="BG1298" s="6" t="s">
        <v>4068</v>
      </c>
      <c r="BH1298" s="6" t="s">
        <v>3317</v>
      </c>
      <c r="BI1298" s="6" t="s">
        <v>271</v>
      </c>
      <c r="BJ1298" s="6" t="s">
        <v>3318</v>
      </c>
      <c r="BK1298" s="6" t="s">
        <v>3319</v>
      </c>
    </row>
    <row r="1299" ht="22.5" customHeight="1">
      <c r="A1299" s="4">
        <v>46229.72358777778</v>
      </c>
      <c r="B1299" s="5">
        <v>0.0</v>
      </c>
      <c r="C1299" s="6" t="s">
        <v>114</v>
      </c>
      <c r="D1299" s="6" t="s">
        <v>2529</v>
      </c>
      <c r="E1299" s="6" t="s">
        <v>2530</v>
      </c>
      <c r="F1299" s="6">
        <v>6.9070500052E10</v>
      </c>
      <c r="G1299" s="6" t="s">
        <v>4580</v>
      </c>
      <c r="H1299" s="6" t="s">
        <v>12311</v>
      </c>
      <c r="I1299" s="6" t="s">
        <v>12312</v>
      </c>
      <c r="J1299" s="6" t="s">
        <v>12313</v>
      </c>
      <c r="K1299" s="6" t="s">
        <v>12314</v>
      </c>
      <c r="L1299" s="6" t="s">
        <v>12315</v>
      </c>
      <c r="M1299" s="6" t="s">
        <v>12316</v>
      </c>
      <c r="N1299" s="6" t="s">
        <v>12317</v>
      </c>
      <c r="O1299" s="6" t="s">
        <v>12318</v>
      </c>
      <c r="P1299" s="6" t="s">
        <v>12319</v>
      </c>
      <c r="Q1299" s="6" t="s">
        <v>12320</v>
      </c>
      <c r="R1299" s="6" t="s">
        <v>257</v>
      </c>
      <c r="S1299" s="6" t="s">
        <v>147</v>
      </c>
      <c r="T1299" s="6" t="s">
        <v>250</v>
      </c>
      <c r="U1299" s="6" t="s">
        <v>252</v>
      </c>
      <c r="V1299" s="6" t="s">
        <v>246</v>
      </c>
      <c r="W1299" s="6" t="s">
        <v>158</v>
      </c>
      <c r="X1299" s="6" t="s">
        <v>257</v>
      </c>
      <c r="Y1299" s="6" t="s">
        <v>162</v>
      </c>
      <c r="Z1299" s="6" t="s">
        <v>165</v>
      </c>
      <c r="AA1299" s="6" t="s">
        <v>262</v>
      </c>
      <c r="AB1299" s="6" t="s">
        <v>171</v>
      </c>
      <c r="AC1299" s="6" t="s">
        <v>174</v>
      </c>
      <c r="AD1299" s="6" t="s">
        <v>175</v>
      </c>
      <c r="AE1299" s="6" t="s">
        <v>271</v>
      </c>
      <c r="AF1299" s="6" t="s">
        <v>181</v>
      </c>
      <c r="AG1299" s="6" t="s">
        <v>182</v>
      </c>
      <c r="AH1299" s="7"/>
      <c r="AI1299" s="7"/>
      <c r="AJ1299" s="7"/>
      <c r="AK1299" s="7"/>
      <c r="AL1299" s="7"/>
      <c r="AM1299" s="7"/>
      <c r="AN1299" s="7"/>
      <c r="AO1299" s="7"/>
      <c r="AP1299" s="7"/>
      <c r="AQ1299" s="7"/>
      <c r="AR1299" s="7"/>
      <c r="AS1299" s="7"/>
      <c r="AT1299" s="7"/>
      <c r="AU1299" s="7"/>
      <c r="AV1299" s="7"/>
      <c r="AW1299" s="7"/>
      <c r="AX1299" s="7"/>
      <c r="AY1299" s="7"/>
      <c r="AZ1299" s="7"/>
      <c r="BA1299" s="7"/>
      <c r="BB1299" s="7"/>
      <c r="BC1299" s="7"/>
      <c r="BD1299" s="7"/>
      <c r="BE1299" s="7"/>
      <c r="BF1299" s="7"/>
      <c r="BG1299" s="7"/>
      <c r="BH1299" s="7"/>
      <c r="BI1299" s="7"/>
      <c r="BJ1299" s="7"/>
      <c r="BK1299" s="7"/>
    </row>
    <row r="1300" ht="22.5" customHeight="1">
      <c r="A1300" s="4">
        <v>46229.72374055556</v>
      </c>
      <c r="B1300" s="5">
        <v>0.0</v>
      </c>
      <c r="C1300" s="6" t="s">
        <v>3296</v>
      </c>
      <c r="D1300" s="7"/>
      <c r="E1300" s="7"/>
      <c r="F1300" s="7"/>
      <c r="G1300" s="7"/>
      <c r="H1300" s="7"/>
      <c r="I1300" s="7"/>
      <c r="J1300" s="7"/>
      <c r="K1300" s="7"/>
      <c r="L1300" s="7"/>
      <c r="M1300" s="7"/>
      <c r="N1300" s="7"/>
      <c r="O1300" s="7"/>
      <c r="P1300" s="7"/>
      <c r="Q1300" s="7"/>
      <c r="R1300" s="7"/>
      <c r="S1300" s="7"/>
      <c r="T1300" s="7"/>
      <c r="U1300" s="7"/>
      <c r="V1300" s="7"/>
      <c r="W1300" s="7"/>
      <c r="X1300" s="7"/>
      <c r="Y1300" s="7"/>
      <c r="Z1300" s="7"/>
      <c r="AA1300" s="7"/>
      <c r="AB1300" s="7"/>
      <c r="AC1300" s="7"/>
      <c r="AD1300" s="7"/>
      <c r="AE1300" s="7"/>
      <c r="AF1300" s="7"/>
      <c r="AG1300" s="7"/>
      <c r="AH1300" s="6" t="s">
        <v>3019</v>
      </c>
      <c r="AI1300" s="6" t="s">
        <v>3020</v>
      </c>
      <c r="AJ1300" s="6">
        <v>6.9070503269E10</v>
      </c>
      <c r="AK1300" s="6" t="s">
        <v>9323</v>
      </c>
      <c r="AL1300" s="7"/>
      <c r="AM1300" s="6" t="s">
        <v>12321</v>
      </c>
      <c r="AN1300" s="6" t="s">
        <v>12322</v>
      </c>
      <c r="AO1300" s="6" t="s">
        <v>10664</v>
      </c>
      <c r="AP1300" s="6" t="s">
        <v>12323</v>
      </c>
      <c r="AQ1300" s="6" t="s">
        <v>12324</v>
      </c>
      <c r="AR1300" s="6" t="s">
        <v>12325</v>
      </c>
      <c r="AS1300" s="6" t="s">
        <v>12326</v>
      </c>
      <c r="AT1300" s="6" t="s">
        <v>12327</v>
      </c>
      <c r="AU1300" s="6" t="s">
        <v>12328</v>
      </c>
      <c r="AV1300" s="6" t="s">
        <v>3306</v>
      </c>
      <c r="AW1300" s="6" t="s">
        <v>3307</v>
      </c>
      <c r="AX1300" s="6" t="s">
        <v>3887</v>
      </c>
      <c r="AY1300" s="6" t="s">
        <v>804</v>
      </c>
      <c r="AZ1300" s="6" t="s">
        <v>3306</v>
      </c>
      <c r="BA1300" s="6" t="s">
        <v>3311</v>
      </c>
      <c r="BB1300" s="6" t="s">
        <v>3312</v>
      </c>
      <c r="BC1300" s="6" t="s">
        <v>3313</v>
      </c>
      <c r="BD1300" s="6" t="s">
        <v>165</v>
      </c>
      <c r="BE1300" s="6" t="s">
        <v>3888</v>
      </c>
      <c r="BF1300" s="6" t="s">
        <v>3315</v>
      </c>
      <c r="BG1300" s="6" t="s">
        <v>5760</v>
      </c>
      <c r="BH1300" s="6" t="s">
        <v>7150</v>
      </c>
      <c r="BI1300" s="6" t="s">
        <v>178</v>
      </c>
      <c r="BJ1300" s="6" t="s">
        <v>3318</v>
      </c>
      <c r="BK1300" s="6" t="s">
        <v>3319</v>
      </c>
    </row>
    <row r="1301" ht="22.5" customHeight="1">
      <c r="A1301" s="4">
        <v>46229.73151554399</v>
      </c>
      <c r="B1301" s="5">
        <v>0.0</v>
      </c>
      <c r="C1301" s="6" t="s">
        <v>114</v>
      </c>
      <c r="D1301" s="6" t="s">
        <v>2531</v>
      </c>
      <c r="E1301" s="6" t="s">
        <v>2532</v>
      </c>
      <c r="F1301" s="6">
        <v>6.9070509634E10</v>
      </c>
      <c r="G1301" s="6" t="s">
        <v>730</v>
      </c>
      <c r="H1301" s="6" t="s">
        <v>12329</v>
      </c>
      <c r="I1301" s="6" t="s">
        <v>12330</v>
      </c>
      <c r="J1301" s="6" t="s">
        <v>12331</v>
      </c>
      <c r="K1301" s="6" t="s">
        <v>12332</v>
      </c>
      <c r="L1301" s="6" t="s">
        <v>12333</v>
      </c>
      <c r="M1301" s="6" t="s">
        <v>12334</v>
      </c>
      <c r="N1301" s="7"/>
      <c r="O1301" s="6" t="s">
        <v>12335</v>
      </c>
      <c r="P1301" s="6" t="s">
        <v>12336</v>
      </c>
      <c r="Q1301" s="6" t="s">
        <v>12337</v>
      </c>
      <c r="R1301" s="6" t="s">
        <v>246</v>
      </c>
      <c r="S1301" s="6" t="s">
        <v>147</v>
      </c>
      <c r="T1301" s="6" t="s">
        <v>250</v>
      </c>
      <c r="U1301" s="6" t="s">
        <v>560</v>
      </c>
      <c r="V1301" s="6" t="s">
        <v>246</v>
      </c>
      <c r="W1301" s="6" t="s">
        <v>158</v>
      </c>
      <c r="X1301" s="6" t="s">
        <v>257</v>
      </c>
      <c r="Y1301" s="6" t="s">
        <v>162</v>
      </c>
      <c r="Z1301" s="6" t="s">
        <v>165</v>
      </c>
      <c r="AA1301" s="6" t="s">
        <v>262</v>
      </c>
      <c r="AB1301" s="6" t="s">
        <v>171</v>
      </c>
      <c r="AC1301" s="6" t="s">
        <v>1669</v>
      </c>
      <c r="AD1301" s="6" t="s">
        <v>175</v>
      </c>
      <c r="AE1301" s="6" t="s">
        <v>271</v>
      </c>
      <c r="AF1301" s="6" t="s">
        <v>181</v>
      </c>
      <c r="AG1301" s="6" t="s">
        <v>182</v>
      </c>
      <c r="AH1301" s="7"/>
      <c r="AI1301" s="7"/>
      <c r="AJ1301" s="7"/>
      <c r="AK1301" s="7"/>
      <c r="AL1301" s="7"/>
      <c r="AM1301" s="7"/>
      <c r="AN1301" s="7"/>
      <c r="AO1301" s="7"/>
      <c r="AP1301" s="7"/>
      <c r="AQ1301" s="7"/>
      <c r="AR1301" s="7"/>
      <c r="AS1301" s="7"/>
      <c r="AT1301" s="7"/>
      <c r="AU1301" s="7"/>
      <c r="AV1301" s="7"/>
      <c r="AW1301" s="7"/>
      <c r="AX1301" s="7"/>
      <c r="AY1301" s="7"/>
      <c r="AZ1301" s="7"/>
      <c r="BA1301" s="7"/>
      <c r="BB1301" s="7"/>
      <c r="BC1301" s="7"/>
      <c r="BD1301" s="7"/>
      <c r="BE1301" s="7"/>
      <c r="BF1301" s="7"/>
      <c r="BG1301" s="7"/>
      <c r="BH1301" s="7"/>
      <c r="BI1301" s="7"/>
      <c r="BJ1301" s="7"/>
      <c r="BK1301" s="7"/>
    </row>
    <row r="1302" ht="22.5" customHeight="1">
      <c r="A1302" s="4">
        <v>46229.73642851852</v>
      </c>
      <c r="B1302" s="5">
        <v>0.0</v>
      </c>
      <c r="C1302" s="6" t="s">
        <v>114</v>
      </c>
      <c r="D1302" s="6" t="s">
        <v>2533</v>
      </c>
      <c r="E1302" s="6" t="s">
        <v>2534</v>
      </c>
      <c r="F1302" s="6">
        <v>6.9070500853E10</v>
      </c>
      <c r="G1302" s="6" t="s">
        <v>496</v>
      </c>
      <c r="H1302" s="7"/>
      <c r="I1302" s="6" t="s">
        <v>12338</v>
      </c>
      <c r="J1302" s="6" t="s">
        <v>12339</v>
      </c>
      <c r="K1302" s="6" t="s">
        <v>12340</v>
      </c>
      <c r="L1302" s="6" t="s">
        <v>12341</v>
      </c>
      <c r="M1302" s="6" t="s">
        <v>4925</v>
      </c>
      <c r="N1302" s="7"/>
      <c r="O1302" s="6" t="s">
        <v>12342</v>
      </c>
      <c r="P1302" s="6" t="s">
        <v>12343</v>
      </c>
      <c r="Q1302" s="6" t="s">
        <v>12344</v>
      </c>
      <c r="R1302" s="6" t="s">
        <v>861</v>
      </c>
      <c r="S1302" s="6" t="s">
        <v>147</v>
      </c>
      <c r="T1302" s="6" t="s">
        <v>149</v>
      </c>
      <c r="U1302" s="6" t="s">
        <v>560</v>
      </c>
      <c r="V1302" s="6" t="s">
        <v>155</v>
      </c>
      <c r="W1302" s="6" t="s">
        <v>158</v>
      </c>
      <c r="X1302" s="6" t="s">
        <v>257</v>
      </c>
      <c r="Y1302" s="6" t="s">
        <v>162</v>
      </c>
      <c r="Z1302" s="6" t="s">
        <v>165</v>
      </c>
      <c r="AA1302" s="6" t="s">
        <v>262</v>
      </c>
      <c r="AB1302" s="6" t="s">
        <v>521</v>
      </c>
      <c r="AC1302" s="6" t="s">
        <v>1669</v>
      </c>
      <c r="AD1302" s="6" t="s">
        <v>635</v>
      </c>
      <c r="AE1302" s="6" t="s">
        <v>271</v>
      </c>
      <c r="AF1302" s="6" t="s">
        <v>181</v>
      </c>
      <c r="AG1302" s="6" t="s">
        <v>182</v>
      </c>
      <c r="AH1302" s="7"/>
      <c r="AI1302" s="7"/>
      <c r="AJ1302" s="7"/>
      <c r="AK1302" s="7"/>
      <c r="AL1302" s="7"/>
      <c r="AM1302" s="7"/>
      <c r="AN1302" s="7"/>
      <c r="AO1302" s="7"/>
      <c r="AP1302" s="7"/>
      <c r="AQ1302" s="7"/>
      <c r="AR1302" s="7"/>
      <c r="AS1302" s="7"/>
      <c r="AT1302" s="7"/>
      <c r="AU1302" s="7"/>
      <c r="AV1302" s="7"/>
      <c r="AW1302" s="7"/>
      <c r="AX1302" s="7"/>
      <c r="AY1302" s="7"/>
      <c r="AZ1302" s="7"/>
      <c r="BA1302" s="7"/>
      <c r="BB1302" s="7"/>
      <c r="BC1302" s="7"/>
      <c r="BD1302" s="7"/>
      <c r="BE1302" s="7"/>
      <c r="BF1302" s="7"/>
      <c r="BG1302" s="7"/>
      <c r="BH1302" s="7"/>
      <c r="BI1302" s="7"/>
      <c r="BJ1302" s="7"/>
      <c r="BK1302" s="7"/>
    </row>
    <row r="1303" ht="22.5" customHeight="1">
      <c r="A1303" s="4">
        <v>46229.75236063657</v>
      </c>
      <c r="B1303" s="5">
        <v>0.0</v>
      </c>
      <c r="C1303" s="6" t="s">
        <v>114</v>
      </c>
      <c r="D1303" s="6" t="s">
        <v>2535</v>
      </c>
      <c r="E1303" s="6" t="s">
        <v>2536</v>
      </c>
      <c r="F1303" s="6">
        <v>6.9070500012E10</v>
      </c>
      <c r="G1303" s="6" t="s">
        <v>4580</v>
      </c>
      <c r="H1303" s="6" t="s">
        <v>9753</v>
      </c>
      <c r="I1303" s="6" t="s">
        <v>10733</v>
      </c>
      <c r="J1303" s="6" t="s">
        <v>12345</v>
      </c>
      <c r="K1303" s="6" t="s">
        <v>12346</v>
      </c>
      <c r="L1303" s="6" t="s">
        <v>7206</v>
      </c>
      <c r="M1303" s="6" t="s">
        <v>2397</v>
      </c>
      <c r="N1303" s="7"/>
      <c r="O1303" s="6" t="s">
        <v>12347</v>
      </c>
      <c r="P1303" s="6" t="s">
        <v>12348</v>
      </c>
      <c r="Q1303" s="6" t="s">
        <v>12349</v>
      </c>
      <c r="R1303" s="6" t="s">
        <v>246</v>
      </c>
      <c r="S1303" s="6" t="s">
        <v>147</v>
      </c>
      <c r="T1303" s="6" t="s">
        <v>246</v>
      </c>
      <c r="U1303" s="6" t="s">
        <v>560</v>
      </c>
      <c r="V1303" s="6" t="s">
        <v>246</v>
      </c>
      <c r="W1303" s="6" t="s">
        <v>158</v>
      </c>
      <c r="X1303" s="6" t="s">
        <v>257</v>
      </c>
      <c r="Y1303" s="6" t="s">
        <v>162</v>
      </c>
      <c r="Z1303" s="6" t="s">
        <v>165</v>
      </c>
      <c r="AA1303" s="6" t="s">
        <v>262</v>
      </c>
      <c r="AB1303" s="6" t="s">
        <v>521</v>
      </c>
      <c r="AC1303" s="6" t="s">
        <v>174</v>
      </c>
      <c r="AD1303" s="6" t="s">
        <v>175</v>
      </c>
      <c r="AE1303" s="6" t="s">
        <v>271</v>
      </c>
      <c r="AF1303" s="6" t="s">
        <v>181</v>
      </c>
      <c r="AG1303" s="6" t="s">
        <v>182</v>
      </c>
      <c r="AH1303" s="7"/>
      <c r="AI1303" s="7"/>
      <c r="AJ1303" s="7"/>
      <c r="AK1303" s="7"/>
      <c r="AL1303" s="7"/>
      <c r="AM1303" s="7"/>
      <c r="AN1303" s="7"/>
      <c r="AO1303" s="7"/>
      <c r="AP1303" s="7"/>
      <c r="AQ1303" s="7"/>
      <c r="AR1303" s="7"/>
      <c r="AS1303" s="7"/>
      <c r="AT1303" s="7"/>
      <c r="AU1303" s="7"/>
      <c r="AV1303" s="7"/>
      <c r="AW1303" s="7"/>
      <c r="AX1303" s="7"/>
      <c r="AY1303" s="7"/>
      <c r="AZ1303" s="7"/>
      <c r="BA1303" s="7"/>
      <c r="BB1303" s="7"/>
      <c r="BC1303" s="7"/>
      <c r="BD1303" s="7"/>
      <c r="BE1303" s="7"/>
      <c r="BF1303" s="7"/>
      <c r="BG1303" s="7"/>
      <c r="BH1303" s="7"/>
      <c r="BI1303" s="7"/>
      <c r="BJ1303" s="7"/>
      <c r="BK1303" s="7"/>
    </row>
    <row r="1304" ht="22.5" customHeight="1">
      <c r="A1304" s="4">
        <v>46229.772632719905</v>
      </c>
      <c r="B1304" s="5">
        <v>0.0</v>
      </c>
      <c r="C1304" s="6" t="s">
        <v>114</v>
      </c>
      <c r="D1304" s="6" t="s">
        <v>2537</v>
      </c>
      <c r="E1304" s="6" t="s">
        <v>2538</v>
      </c>
      <c r="F1304" s="6">
        <v>6.9070509467E10</v>
      </c>
      <c r="G1304" s="6" t="s">
        <v>122</v>
      </c>
      <c r="H1304" s="7"/>
      <c r="I1304" s="6" t="s">
        <v>12350</v>
      </c>
      <c r="J1304" s="6" t="s">
        <v>12351</v>
      </c>
      <c r="K1304" s="6" t="s">
        <v>12352</v>
      </c>
      <c r="L1304" s="6" t="s">
        <v>3161</v>
      </c>
      <c r="M1304" s="6" t="s">
        <v>12353</v>
      </c>
      <c r="N1304" s="6" t="s">
        <v>12354</v>
      </c>
      <c r="O1304" s="6" t="s">
        <v>12355</v>
      </c>
      <c r="P1304" s="6" t="s">
        <v>12356</v>
      </c>
      <c r="Q1304" s="6" t="s">
        <v>12357</v>
      </c>
      <c r="R1304" s="6" t="s">
        <v>246</v>
      </c>
      <c r="S1304" s="6" t="s">
        <v>147</v>
      </c>
      <c r="T1304" s="6" t="s">
        <v>250</v>
      </c>
      <c r="U1304" s="6" t="s">
        <v>560</v>
      </c>
      <c r="V1304" s="6" t="s">
        <v>246</v>
      </c>
      <c r="W1304" s="6" t="s">
        <v>158</v>
      </c>
      <c r="X1304" s="6" t="s">
        <v>257</v>
      </c>
      <c r="Y1304" s="6" t="s">
        <v>162</v>
      </c>
      <c r="Z1304" s="6" t="s">
        <v>165</v>
      </c>
      <c r="AA1304" s="6" t="s">
        <v>262</v>
      </c>
      <c r="AB1304" s="6" t="s">
        <v>171</v>
      </c>
      <c r="AC1304" s="6" t="s">
        <v>174</v>
      </c>
      <c r="AD1304" s="6" t="s">
        <v>635</v>
      </c>
      <c r="AE1304" s="6" t="s">
        <v>271</v>
      </c>
      <c r="AF1304" s="6" t="s">
        <v>181</v>
      </c>
      <c r="AG1304" s="6" t="s">
        <v>182</v>
      </c>
      <c r="AH1304" s="7"/>
      <c r="AI1304" s="7"/>
      <c r="AJ1304" s="7"/>
      <c r="AK1304" s="7"/>
      <c r="AL1304" s="7"/>
      <c r="AM1304" s="7"/>
      <c r="AN1304" s="7"/>
      <c r="AO1304" s="7"/>
      <c r="AP1304" s="7"/>
      <c r="AQ1304" s="7"/>
      <c r="AR1304" s="7"/>
      <c r="AS1304" s="7"/>
      <c r="AT1304" s="7"/>
      <c r="AU1304" s="7"/>
      <c r="AV1304" s="7"/>
      <c r="AW1304" s="7"/>
      <c r="AX1304" s="7"/>
      <c r="AY1304" s="7"/>
      <c r="AZ1304" s="7"/>
      <c r="BA1304" s="7"/>
      <c r="BB1304" s="7"/>
      <c r="BC1304" s="7"/>
      <c r="BD1304" s="7"/>
      <c r="BE1304" s="7"/>
      <c r="BF1304" s="7"/>
      <c r="BG1304" s="7"/>
      <c r="BH1304" s="7"/>
      <c r="BI1304" s="7"/>
      <c r="BJ1304" s="7"/>
      <c r="BK1304" s="7"/>
    </row>
    <row r="1305" ht="22.5" customHeight="1">
      <c r="A1305" s="4">
        <v>46229.78030167824</v>
      </c>
      <c r="B1305" s="5">
        <v>0.0</v>
      </c>
      <c r="C1305" s="6" t="s">
        <v>3296</v>
      </c>
      <c r="D1305" s="7"/>
      <c r="E1305" s="7"/>
      <c r="F1305" s="7"/>
      <c r="G1305" s="7"/>
      <c r="H1305" s="7"/>
      <c r="I1305" s="7"/>
      <c r="J1305" s="7"/>
      <c r="K1305" s="7"/>
      <c r="L1305" s="7"/>
      <c r="M1305" s="7"/>
      <c r="N1305" s="7"/>
      <c r="O1305" s="7"/>
      <c r="P1305" s="7"/>
      <c r="Q1305" s="7"/>
      <c r="R1305" s="7"/>
      <c r="S1305" s="7"/>
      <c r="T1305" s="7"/>
      <c r="U1305" s="7"/>
      <c r="V1305" s="7"/>
      <c r="W1305" s="7"/>
      <c r="X1305" s="7"/>
      <c r="Y1305" s="7"/>
      <c r="Z1305" s="7"/>
      <c r="AA1305" s="7"/>
      <c r="AB1305" s="7"/>
      <c r="AC1305" s="7"/>
      <c r="AD1305" s="7"/>
      <c r="AE1305" s="7"/>
      <c r="AF1305" s="7"/>
      <c r="AG1305" s="7"/>
      <c r="AH1305" s="6" t="s">
        <v>3021</v>
      </c>
      <c r="AI1305" s="6" t="s">
        <v>3022</v>
      </c>
      <c r="AJ1305" s="6">
        <v>6.907050345E10</v>
      </c>
      <c r="AK1305" s="6" t="s">
        <v>3297</v>
      </c>
      <c r="AL1305" s="7"/>
      <c r="AM1305" s="6" t="s">
        <v>12358</v>
      </c>
      <c r="AN1305" s="6" t="s">
        <v>11697</v>
      </c>
      <c r="AO1305" s="6" t="s">
        <v>12359</v>
      </c>
      <c r="AP1305" s="6" t="s">
        <v>12358</v>
      </c>
      <c r="AQ1305" s="6" t="s">
        <v>12360</v>
      </c>
      <c r="AR1305" s="7"/>
      <c r="AS1305" s="6" t="s">
        <v>12361</v>
      </c>
      <c r="AT1305" s="6" t="s">
        <v>12362</v>
      </c>
      <c r="AU1305" s="6" t="s">
        <v>12363</v>
      </c>
      <c r="AV1305" s="6" t="s">
        <v>3306</v>
      </c>
      <c r="AW1305" s="6" t="s">
        <v>9070</v>
      </c>
      <c r="AX1305" s="6" t="s">
        <v>3308</v>
      </c>
      <c r="AY1305" s="6" t="s">
        <v>152</v>
      </c>
      <c r="AZ1305" s="6" t="s">
        <v>3310</v>
      </c>
      <c r="BA1305" s="6" t="s">
        <v>4692</v>
      </c>
      <c r="BB1305" s="6" t="s">
        <v>4693</v>
      </c>
      <c r="BC1305" s="6" t="s">
        <v>3313</v>
      </c>
      <c r="BD1305" s="6" t="s">
        <v>165</v>
      </c>
      <c r="BE1305" s="6" t="s">
        <v>3888</v>
      </c>
      <c r="BF1305" s="6" t="s">
        <v>3889</v>
      </c>
      <c r="BG1305" s="6" t="s">
        <v>4068</v>
      </c>
      <c r="BH1305" s="6" t="s">
        <v>3317</v>
      </c>
      <c r="BI1305" s="6" t="s">
        <v>271</v>
      </c>
      <c r="BJ1305" s="6" t="s">
        <v>3318</v>
      </c>
      <c r="BK1305" s="6" t="s">
        <v>3319</v>
      </c>
    </row>
    <row r="1306" ht="22.5" customHeight="1">
      <c r="A1306" s="4">
        <v>46229.781507430554</v>
      </c>
      <c r="B1306" s="5">
        <v>0.0</v>
      </c>
      <c r="C1306" s="6" t="s">
        <v>114</v>
      </c>
      <c r="D1306" s="6" t="s">
        <v>2539</v>
      </c>
      <c r="E1306" s="6" t="s">
        <v>2540</v>
      </c>
      <c r="F1306" s="6">
        <v>6.9070501054E10</v>
      </c>
      <c r="G1306" s="6" t="s">
        <v>1470</v>
      </c>
      <c r="H1306" s="6" t="s">
        <v>12364</v>
      </c>
      <c r="I1306" s="6" t="s">
        <v>12365</v>
      </c>
      <c r="J1306" s="6" t="s">
        <v>12366</v>
      </c>
      <c r="K1306" s="6" t="s">
        <v>12367</v>
      </c>
      <c r="L1306" s="6" t="s">
        <v>12368</v>
      </c>
      <c r="M1306" s="6" t="s">
        <v>12369</v>
      </c>
      <c r="N1306" s="7"/>
      <c r="O1306" s="6" t="s">
        <v>12370</v>
      </c>
      <c r="P1306" s="6" t="s">
        <v>12371</v>
      </c>
      <c r="Q1306" s="6" t="s">
        <v>12372</v>
      </c>
      <c r="R1306" s="6" t="s">
        <v>246</v>
      </c>
      <c r="S1306" s="6" t="s">
        <v>147</v>
      </c>
      <c r="T1306" s="6" t="s">
        <v>250</v>
      </c>
      <c r="U1306" s="6" t="s">
        <v>560</v>
      </c>
      <c r="V1306" s="6" t="s">
        <v>246</v>
      </c>
      <c r="W1306" s="6" t="s">
        <v>158</v>
      </c>
      <c r="X1306" s="6" t="s">
        <v>257</v>
      </c>
      <c r="Y1306" s="6" t="s">
        <v>162</v>
      </c>
      <c r="Z1306" s="6" t="s">
        <v>165</v>
      </c>
      <c r="AA1306" s="6" t="s">
        <v>262</v>
      </c>
      <c r="AB1306" s="6" t="s">
        <v>171</v>
      </c>
      <c r="AC1306" s="6" t="s">
        <v>174</v>
      </c>
      <c r="AD1306" s="6" t="s">
        <v>175</v>
      </c>
      <c r="AE1306" s="6" t="s">
        <v>271</v>
      </c>
      <c r="AF1306" s="6" t="s">
        <v>181</v>
      </c>
      <c r="AG1306" s="6" t="s">
        <v>182</v>
      </c>
      <c r="AH1306" s="7"/>
      <c r="AI1306" s="7"/>
      <c r="AJ1306" s="7"/>
      <c r="AK1306" s="7"/>
      <c r="AL1306" s="7"/>
      <c r="AM1306" s="7"/>
      <c r="AN1306" s="7"/>
      <c r="AO1306" s="7"/>
      <c r="AP1306" s="7"/>
      <c r="AQ1306" s="7"/>
      <c r="AR1306" s="7"/>
      <c r="AS1306" s="7"/>
      <c r="AT1306" s="7"/>
      <c r="AU1306" s="7"/>
      <c r="AV1306" s="7"/>
      <c r="AW1306" s="7"/>
      <c r="AX1306" s="7"/>
      <c r="AY1306" s="7"/>
      <c r="AZ1306" s="7"/>
      <c r="BA1306" s="7"/>
      <c r="BB1306" s="7"/>
      <c r="BC1306" s="7"/>
      <c r="BD1306" s="7"/>
      <c r="BE1306" s="7"/>
      <c r="BF1306" s="7"/>
      <c r="BG1306" s="7"/>
      <c r="BH1306" s="7"/>
      <c r="BI1306" s="7"/>
      <c r="BJ1306" s="7"/>
      <c r="BK1306" s="7"/>
    </row>
    <row r="1307" ht="22.5" customHeight="1">
      <c r="A1307" s="4">
        <v>46229.810123993055</v>
      </c>
      <c r="B1307" s="5">
        <v>0.0</v>
      </c>
      <c r="C1307" s="6" t="s">
        <v>114</v>
      </c>
      <c r="D1307" s="6" t="s">
        <v>2541</v>
      </c>
      <c r="E1307" s="6" t="s">
        <v>2542</v>
      </c>
      <c r="F1307" s="6">
        <v>6.9070502841E10</v>
      </c>
      <c r="G1307" s="6" t="s">
        <v>310</v>
      </c>
      <c r="H1307" s="6">
        <v>1.0</v>
      </c>
      <c r="I1307" s="6" t="s">
        <v>12373</v>
      </c>
      <c r="J1307" s="6" t="s">
        <v>12373</v>
      </c>
      <c r="K1307" s="6" t="s">
        <v>12373</v>
      </c>
      <c r="L1307" s="6" t="s">
        <v>12373</v>
      </c>
      <c r="M1307" s="6" t="s">
        <v>12373</v>
      </c>
      <c r="N1307" s="7"/>
      <c r="O1307" s="6" t="s">
        <v>12374</v>
      </c>
      <c r="P1307" s="6" t="s">
        <v>12374</v>
      </c>
      <c r="Q1307" s="6" t="s">
        <v>12374</v>
      </c>
      <c r="R1307" s="6" t="s">
        <v>257</v>
      </c>
      <c r="S1307" s="6" t="s">
        <v>147</v>
      </c>
      <c r="T1307" s="6" t="s">
        <v>257</v>
      </c>
      <c r="U1307" s="6" t="s">
        <v>252</v>
      </c>
      <c r="V1307" s="6" t="s">
        <v>2302</v>
      </c>
      <c r="W1307" s="6" t="s">
        <v>158</v>
      </c>
      <c r="X1307" s="6" t="s">
        <v>458</v>
      </c>
      <c r="Y1307" s="6" t="s">
        <v>4287</v>
      </c>
      <c r="Z1307" s="6" t="s">
        <v>629</v>
      </c>
      <c r="AA1307" s="6" t="s">
        <v>1322</v>
      </c>
      <c r="AB1307" s="6" t="s">
        <v>3847</v>
      </c>
      <c r="AC1307" s="6" t="s">
        <v>1210</v>
      </c>
      <c r="AD1307" s="6" t="s">
        <v>635</v>
      </c>
      <c r="AE1307" s="6" t="s">
        <v>1211</v>
      </c>
      <c r="AF1307" s="6" t="s">
        <v>638</v>
      </c>
      <c r="AG1307" s="6" t="s">
        <v>812</v>
      </c>
      <c r="AH1307" s="7"/>
      <c r="AI1307" s="7"/>
      <c r="AJ1307" s="7"/>
      <c r="AK1307" s="7"/>
      <c r="AL1307" s="7"/>
      <c r="AM1307" s="7"/>
      <c r="AN1307" s="7"/>
      <c r="AO1307" s="7"/>
      <c r="AP1307" s="7"/>
      <c r="AQ1307" s="7"/>
      <c r="AR1307" s="7"/>
      <c r="AS1307" s="7"/>
      <c r="AT1307" s="7"/>
      <c r="AU1307" s="7"/>
      <c r="AV1307" s="7"/>
      <c r="AW1307" s="7"/>
      <c r="AX1307" s="7"/>
      <c r="AY1307" s="7"/>
      <c r="AZ1307" s="7"/>
      <c r="BA1307" s="7"/>
      <c r="BB1307" s="7"/>
      <c r="BC1307" s="7"/>
      <c r="BD1307" s="7"/>
      <c r="BE1307" s="7"/>
      <c r="BF1307" s="7"/>
      <c r="BG1307" s="7"/>
      <c r="BH1307" s="7"/>
      <c r="BI1307" s="7"/>
      <c r="BJ1307" s="7"/>
      <c r="BK1307" s="7"/>
    </row>
    <row r="1308" ht="22.5" customHeight="1">
      <c r="A1308" s="4">
        <v>46229.81263068287</v>
      </c>
      <c r="B1308" s="5">
        <v>0.0</v>
      </c>
      <c r="C1308" s="6" t="s">
        <v>3296</v>
      </c>
      <c r="D1308" s="7"/>
      <c r="E1308" s="7"/>
      <c r="F1308" s="7"/>
      <c r="G1308" s="7"/>
      <c r="H1308" s="7"/>
      <c r="I1308" s="7"/>
      <c r="J1308" s="7"/>
      <c r="K1308" s="7"/>
      <c r="L1308" s="7"/>
      <c r="M1308" s="7"/>
      <c r="N1308" s="7"/>
      <c r="O1308" s="7"/>
      <c r="P1308" s="7"/>
      <c r="Q1308" s="7"/>
      <c r="R1308" s="7"/>
      <c r="S1308" s="7"/>
      <c r="T1308" s="7"/>
      <c r="U1308" s="7"/>
      <c r="V1308" s="7"/>
      <c r="W1308" s="7"/>
      <c r="X1308" s="7"/>
      <c r="Y1308" s="7"/>
      <c r="Z1308" s="7"/>
      <c r="AA1308" s="7"/>
      <c r="AB1308" s="7"/>
      <c r="AC1308" s="7"/>
      <c r="AD1308" s="7"/>
      <c r="AE1308" s="7"/>
      <c r="AF1308" s="7"/>
      <c r="AG1308" s="7"/>
      <c r="AH1308" s="6" t="s">
        <v>3023</v>
      </c>
      <c r="AI1308" s="6" t="s">
        <v>3024</v>
      </c>
      <c r="AJ1308" s="6">
        <v>6.9070503442E10</v>
      </c>
      <c r="AK1308" s="6" t="s">
        <v>3297</v>
      </c>
      <c r="AL1308" s="7"/>
      <c r="AM1308" s="6" t="s">
        <v>12375</v>
      </c>
      <c r="AN1308" s="6" t="s">
        <v>12376</v>
      </c>
      <c r="AO1308" s="6" t="s">
        <v>12377</v>
      </c>
      <c r="AP1308" s="6" t="s">
        <v>12378</v>
      </c>
      <c r="AQ1308" s="6" t="s">
        <v>12379</v>
      </c>
      <c r="AR1308" s="7"/>
      <c r="AS1308" s="6" t="s">
        <v>12380</v>
      </c>
      <c r="AT1308" s="6" t="s">
        <v>12381</v>
      </c>
      <c r="AU1308" s="6" t="s">
        <v>12381</v>
      </c>
      <c r="AV1308" s="6" t="s">
        <v>3312</v>
      </c>
      <c r="AW1308" s="6" t="s">
        <v>3307</v>
      </c>
      <c r="AX1308" s="6" t="s">
        <v>3306</v>
      </c>
      <c r="AY1308" s="6" t="s">
        <v>4067</v>
      </c>
      <c r="AZ1308" s="6" t="s">
        <v>3310</v>
      </c>
      <c r="BA1308" s="6" t="s">
        <v>3311</v>
      </c>
      <c r="BB1308" s="6" t="s">
        <v>4693</v>
      </c>
      <c r="BC1308" s="6" t="s">
        <v>3313</v>
      </c>
      <c r="BD1308" s="6" t="s">
        <v>165</v>
      </c>
      <c r="BE1308" s="6" t="s">
        <v>3888</v>
      </c>
      <c r="BF1308" s="6" t="s">
        <v>3315</v>
      </c>
      <c r="BG1308" s="6" t="s">
        <v>4068</v>
      </c>
      <c r="BH1308" s="6" t="s">
        <v>3317</v>
      </c>
      <c r="BI1308" s="6" t="s">
        <v>178</v>
      </c>
      <c r="BJ1308" s="6" t="s">
        <v>3318</v>
      </c>
      <c r="BK1308" s="6" t="s">
        <v>3319</v>
      </c>
    </row>
    <row r="1309" ht="22.5" customHeight="1">
      <c r="A1309" s="4">
        <v>46229.81304453703</v>
      </c>
      <c r="B1309" s="5">
        <v>0.0</v>
      </c>
      <c r="C1309" s="6" t="s">
        <v>114</v>
      </c>
      <c r="D1309" s="6" t="s">
        <v>2543</v>
      </c>
      <c r="E1309" s="6" t="s">
        <v>2544</v>
      </c>
      <c r="F1309" s="6">
        <v>6.9070508819E10</v>
      </c>
      <c r="G1309" s="6" t="s">
        <v>5399</v>
      </c>
      <c r="H1309" s="7"/>
      <c r="I1309" s="6" t="s">
        <v>12382</v>
      </c>
      <c r="J1309" s="6" t="s">
        <v>12383</v>
      </c>
      <c r="K1309" s="6" t="s">
        <v>9931</v>
      </c>
      <c r="L1309" s="6" t="s">
        <v>10221</v>
      </c>
      <c r="M1309" s="6" t="s">
        <v>3499</v>
      </c>
      <c r="N1309" s="6" t="s">
        <v>12384</v>
      </c>
      <c r="O1309" s="6" t="s">
        <v>12385</v>
      </c>
      <c r="P1309" s="6" t="s">
        <v>12386</v>
      </c>
      <c r="Q1309" s="6" t="s">
        <v>12387</v>
      </c>
      <c r="R1309" s="6" t="s">
        <v>257</v>
      </c>
      <c r="S1309" s="6" t="s">
        <v>147</v>
      </c>
      <c r="T1309" s="6" t="s">
        <v>250</v>
      </c>
      <c r="U1309" s="6" t="s">
        <v>252</v>
      </c>
      <c r="V1309" s="6" t="s">
        <v>246</v>
      </c>
      <c r="W1309" s="6" t="s">
        <v>158</v>
      </c>
      <c r="X1309" s="6" t="s">
        <v>161</v>
      </c>
      <c r="Y1309" s="6" t="s">
        <v>162</v>
      </c>
      <c r="Z1309" s="6" t="s">
        <v>165</v>
      </c>
      <c r="AA1309" s="6" t="s">
        <v>262</v>
      </c>
      <c r="AB1309" s="6" t="s">
        <v>171</v>
      </c>
      <c r="AC1309" s="6" t="s">
        <v>174</v>
      </c>
      <c r="AD1309" s="6" t="s">
        <v>175</v>
      </c>
      <c r="AE1309" s="6" t="s">
        <v>271</v>
      </c>
      <c r="AF1309" s="6" t="s">
        <v>181</v>
      </c>
      <c r="AG1309" s="6" t="s">
        <v>182</v>
      </c>
      <c r="AH1309" s="7"/>
      <c r="AI1309" s="7"/>
      <c r="AJ1309" s="7"/>
      <c r="AK1309" s="7"/>
      <c r="AL1309" s="7"/>
      <c r="AM1309" s="7"/>
      <c r="AN1309" s="7"/>
      <c r="AO1309" s="7"/>
      <c r="AP1309" s="7"/>
      <c r="AQ1309" s="7"/>
      <c r="AR1309" s="7"/>
      <c r="AS1309" s="7"/>
      <c r="AT1309" s="7"/>
      <c r="AU1309" s="7"/>
      <c r="AV1309" s="7"/>
      <c r="AW1309" s="7"/>
      <c r="AX1309" s="7"/>
      <c r="AY1309" s="7"/>
      <c r="AZ1309" s="7"/>
      <c r="BA1309" s="7"/>
      <c r="BB1309" s="7"/>
      <c r="BC1309" s="7"/>
      <c r="BD1309" s="7"/>
      <c r="BE1309" s="7"/>
      <c r="BF1309" s="7"/>
      <c r="BG1309" s="7"/>
      <c r="BH1309" s="7"/>
      <c r="BI1309" s="7"/>
      <c r="BJ1309" s="7"/>
      <c r="BK1309" s="7"/>
    </row>
    <row r="1310" ht="22.5" customHeight="1">
      <c r="A1310" s="4">
        <v>46229.81428918982</v>
      </c>
      <c r="B1310" s="5">
        <v>0.0</v>
      </c>
      <c r="C1310" s="6" t="s">
        <v>3296</v>
      </c>
      <c r="D1310" s="7"/>
      <c r="E1310" s="7"/>
      <c r="F1310" s="7"/>
      <c r="G1310" s="7"/>
      <c r="H1310" s="7"/>
      <c r="I1310" s="7"/>
      <c r="J1310" s="7"/>
      <c r="K1310" s="7"/>
      <c r="L1310" s="7"/>
      <c r="M1310" s="7"/>
      <c r="N1310" s="7"/>
      <c r="O1310" s="7"/>
      <c r="P1310" s="7"/>
      <c r="Q1310" s="7"/>
      <c r="R1310" s="7"/>
      <c r="S1310" s="7"/>
      <c r="T1310" s="7"/>
      <c r="U1310" s="7"/>
      <c r="V1310" s="7"/>
      <c r="W1310" s="7"/>
      <c r="X1310" s="7"/>
      <c r="Y1310" s="7"/>
      <c r="Z1310" s="7"/>
      <c r="AA1310" s="7"/>
      <c r="AB1310" s="7"/>
      <c r="AC1310" s="7"/>
      <c r="AD1310" s="7"/>
      <c r="AE1310" s="7"/>
      <c r="AF1310" s="7"/>
      <c r="AG1310" s="7"/>
      <c r="AH1310" s="6" t="s">
        <v>3025</v>
      </c>
      <c r="AI1310" s="6" t="s">
        <v>3026</v>
      </c>
      <c r="AJ1310" s="6">
        <v>6.907050902E10</v>
      </c>
      <c r="AK1310" s="6" t="s">
        <v>5042</v>
      </c>
      <c r="AL1310" s="6" t="s">
        <v>12388</v>
      </c>
      <c r="AM1310" s="6" t="s">
        <v>12389</v>
      </c>
      <c r="AN1310" s="6" t="s">
        <v>12390</v>
      </c>
      <c r="AO1310" s="6" t="s">
        <v>12391</v>
      </c>
      <c r="AP1310" s="6" t="s">
        <v>12392</v>
      </c>
      <c r="AQ1310" s="6" t="s">
        <v>12393</v>
      </c>
      <c r="AR1310" s="7"/>
      <c r="AS1310" s="6" t="s">
        <v>12394</v>
      </c>
      <c r="AT1310" s="6" t="s">
        <v>12395</v>
      </c>
      <c r="AU1310" s="6" t="s">
        <v>12396</v>
      </c>
      <c r="AV1310" s="6" t="s">
        <v>3312</v>
      </c>
      <c r="AW1310" s="6" t="s">
        <v>3307</v>
      </c>
      <c r="AX1310" s="6" t="s">
        <v>3306</v>
      </c>
      <c r="AY1310" s="6" t="s">
        <v>4067</v>
      </c>
      <c r="AZ1310" s="6" t="s">
        <v>3306</v>
      </c>
      <c r="BA1310" s="6" t="s">
        <v>3311</v>
      </c>
      <c r="BB1310" s="6" t="s">
        <v>4693</v>
      </c>
      <c r="BC1310" s="6" t="s">
        <v>3313</v>
      </c>
      <c r="BD1310" s="6" t="s">
        <v>165</v>
      </c>
      <c r="BE1310" s="6" t="s">
        <v>4341</v>
      </c>
      <c r="BF1310" s="6" t="s">
        <v>3889</v>
      </c>
      <c r="BG1310" s="6" t="s">
        <v>3316</v>
      </c>
      <c r="BH1310" s="6" t="s">
        <v>7150</v>
      </c>
      <c r="BI1310" s="6" t="s">
        <v>271</v>
      </c>
      <c r="BJ1310" s="6" t="s">
        <v>3318</v>
      </c>
      <c r="BK1310" s="6" t="s">
        <v>3319</v>
      </c>
    </row>
    <row r="1311" ht="22.5" customHeight="1">
      <c r="A1311" s="4">
        <v>46229.82448412037</v>
      </c>
      <c r="B1311" s="5">
        <v>0.0</v>
      </c>
      <c r="C1311" s="6" t="s">
        <v>114</v>
      </c>
      <c r="D1311" s="6" t="s">
        <v>2545</v>
      </c>
      <c r="E1311" s="6" t="s">
        <v>2546</v>
      </c>
      <c r="F1311" s="6">
        <v>6.9070500005E10</v>
      </c>
      <c r="G1311" s="6" t="s">
        <v>4580</v>
      </c>
      <c r="H1311" s="7"/>
      <c r="I1311" s="6" t="s">
        <v>12397</v>
      </c>
      <c r="J1311" s="6" t="s">
        <v>12398</v>
      </c>
      <c r="K1311" s="6" t="s">
        <v>12399</v>
      </c>
      <c r="L1311" s="6" t="s">
        <v>12400</v>
      </c>
      <c r="M1311" s="6" t="s">
        <v>12401</v>
      </c>
      <c r="N1311" s="6" t="s">
        <v>12402</v>
      </c>
      <c r="O1311" s="6" t="s">
        <v>12403</v>
      </c>
      <c r="P1311" s="6" t="s">
        <v>12404</v>
      </c>
      <c r="Q1311" s="6" t="s">
        <v>12405</v>
      </c>
      <c r="R1311" s="6" t="s">
        <v>246</v>
      </c>
      <c r="S1311" s="6" t="s">
        <v>147</v>
      </c>
      <c r="T1311" s="6" t="s">
        <v>250</v>
      </c>
      <c r="U1311" s="6" t="s">
        <v>686</v>
      </c>
      <c r="V1311" s="6" t="s">
        <v>246</v>
      </c>
      <c r="W1311" s="6" t="s">
        <v>158</v>
      </c>
      <c r="X1311" s="6" t="s">
        <v>257</v>
      </c>
      <c r="Y1311" s="6" t="s">
        <v>162</v>
      </c>
      <c r="Z1311" s="6" t="s">
        <v>165</v>
      </c>
      <c r="AA1311" s="6" t="s">
        <v>262</v>
      </c>
      <c r="AB1311" s="6" t="s">
        <v>171</v>
      </c>
      <c r="AC1311" s="6" t="s">
        <v>174</v>
      </c>
      <c r="AD1311" s="6" t="s">
        <v>175</v>
      </c>
      <c r="AE1311" s="6" t="s">
        <v>271</v>
      </c>
      <c r="AF1311" s="6" t="s">
        <v>181</v>
      </c>
      <c r="AG1311" s="6" t="s">
        <v>182</v>
      </c>
      <c r="AH1311" s="7"/>
      <c r="AI1311" s="7"/>
      <c r="AJ1311" s="7"/>
      <c r="AK1311" s="7"/>
      <c r="AL1311" s="7"/>
      <c r="AM1311" s="7"/>
      <c r="AN1311" s="7"/>
      <c r="AO1311" s="7"/>
      <c r="AP1311" s="7"/>
      <c r="AQ1311" s="7"/>
      <c r="AR1311" s="7"/>
      <c r="AS1311" s="7"/>
      <c r="AT1311" s="7"/>
      <c r="AU1311" s="7"/>
      <c r="AV1311" s="7"/>
      <c r="AW1311" s="7"/>
      <c r="AX1311" s="7"/>
      <c r="AY1311" s="7"/>
      <c r="AZ1311" s="7"/>
      <c r="BA1311" s="7"/>
      <c r="BB1311" s="7"/>
      <c r="BC1311" s="7"/>
      <c r="BD1311" s="7"/>
      <c r="BE1311" s="7"/>
      <c r="BF1311" s="7"/>
      <c r="BG1311" s="7"/>
      <c r="BH1311" s="7"/>
      <c r="BI1311" s="7"/>
      <c r="BJ1311" s="7"/>
      <c r="BK1311" s="7"/>
    </row>
    <row r="1312" ht="22.5" customHeight="1">
      <c r="A1312" s="4">
        <v>46229.825393611114</v>
      </c>
      <c r="B1312" s="5">
        <v>0.0</v>
      </c>
      <c r="C1312" s="6" t="s">
        <v>114</v>
      </c>
      <c r="D1312" s="6" t="s">
        <v>2547</v>
      </c>
      <c r="E1312" s="6" t="s">
        <v>2548</v>
      </c>
      <c r="F1312" s="6">
        <v>6.9070509836E10</v>
      </c>
      <c r="G1312" s="6" t="s">
        <v>496</v>
      </c>
      <c r="H1312" s="6" t="s">
        <v>12406</v>
      </c>
      <c r="I1312" s="6" t="s">
        <v>12407</v>
      </c>
      <c r="J1312" s="6" t="s">
        <v>12408</v>
      </c>
      <c r="K1312" s="6" t="s">
        <v>12409</v>
      </c>
      <c r="L1312" s="6" t="s">
        <v>12410</v>
      </c>
      <c r="M1312" s="6" t="s">
        <v>10477</v>
      </c>
      <c r="N1312" s="6" t="s">
        <v>12411</v>
      </c>
      <c r="O1312" s="6" t="s">
        <v>12412</v>
      </c>
      <c r="P1312" s="6" t="s">
        <v>12413</v>
      </c>
      <c r="Q1312" s="6" t="s">
        <v>12414</v>
      </c>
      <c r="R1312" s="6" t="s">
        <v>246</v>
      </c>
      <c r="S1312" s="6" t="s">
        <v>147</v>
      </c>
      <c r="T1312" s="6" t="s">
        <v>250</v>
      </c>
      <c r="U1312" s="6" t="s">
        <v>152</v>
      </c>
      <c r="V1312" s="6" t="s">
        <v>246</v>
      </c>
      <c r="W1312" s="6" t="s">
        <v>158</v>
      </c>
      <c r="X1312" s="6" t="s">
        <v>458</v>
      </c>
      <c r="Y1312" s="6" t="s">
        <v>162</v>
      </c>
      <c r="Z1312" s="6" t="s">
        <v>165</v>
      </c>
      <c r="AA1312" s="6" t="s">
        <v>2307</v>
      </c>
      <c r="AB1312" s="6" t="s">
        <v>171</v>
      </c>
      <c r="AC1312" s="6" t="s">
        <v>174</v>
      </c>
      <c r="AD1312" s="6" t="s">
        <v>175</v>
      </c>
      <c r="AE1312" s="6" t="s">
        <v>271</v>
      </c>
      <c r="AF1312" s="6" t="s">
        <v>181</v>
      </c>
      <c r="AG1312" s="6" t="s">
        <v>182</v>
      </c>
      <c r="AH1312" s="7"/>
      <c r="AI1312" s="7"/>
      <c r="AJ1312" s="7"/>
      <c r="AK1312" s="7"/>
      <c r="AL1312" s="7"/>
      <c r="AM1312" s="7"/>
      <c r="AN1312" s="7"/>
      <c r="AO1312" s="7"/>
      <c r="AP1312" s="7"/>
      <c r="AQ1312" s="7"/>
      <c r="AR1312" s="7"/>
      <c r="AS1312" s="7"/>
      <c r="AT1312" s="7"/>
      <c r="AU1312" s="7"/>
      <c r="AV1312" s="7"/>
      <c r="AW1312" s="7"/>
      <c r="AX1312" s="7"/>
      <c r="AY1312" s="7"/>
      <c r="AZ1312" s="7"/>
      <c r="BA1312" s="7"/>
      <c r="BB1312" s="7"/>
      <c r="BC1312" s="7"/>
      <c r="BD1312" s="7"/>
      <c r="BE1312" s="7"/>
      <c r="BF1312" s="7"/>
      <c r="BG1312" s="7"/>
      <c r="BH1312" s="7"/>
      <c r="BI1312" s="7"/>
      <c r="BJ1312" s="7"/>
      <c r="BK1312" s="7"/>
    </row>
    <row r="1313" ht="22.5" customHeight="1">
      <c r="A1313" s="4">
        <v>46229.825538784724</v>
      </c>
      <c r="B1313" s="5">
        <v>0.0</v>
      </c>
      <c r="C1313" s="6" t="s">
        <v>114</v>
      </c>
      <c r="D1313" s="6" t="s">
        <v>2549</v>
      </c>
      <c r="E1313" s="6" t="s">
        <v>2550</v>
      </c>
      <c r="F1313" s="6">
        <v>6.9070500003E10</v>
      </c>
      <c r="G1313" s="6" t="s">
        <v>4580</v>
      </c>
      <c r="H1313" s="6" t="s">
        <v>2633</v>
      </c>
      <c r="I1313" s="6" t="s">
        <v>12384</v>
      </c>
      <c r="J1313" s="6" t="s">
        <v>9931</v>
      </c>
      <c r="K1313" s="6" t="s">
        <v>4316</v>
      </c>
      <c r="L1313" s="6" t="s">
        <v>9821</v>
      </c>
      <c r="M1313" s="6" t="s">
        <v>6715</v>
      </c>
      <c r="N1313" s="6" t="s">
        <v>3815</v>
      </c>
      <c r="O1313" s="6" t="s">
        <v>12415</v>
      </c>
      <c r="P1313" s="6" t="s">
        <v>12416</v>
      </c>
      <c r="Q1313" s="6" t="s">
        <v>12417</v>
      </c>
      <c r="R1313" s="6" t="s">
        <v>257</v>
      </c>
      <c r="S1313" s="6" t="s">
        <v>147</v>
      </c>
      <c r="T1313" s="6" t="s">
        <v>250</v>
      </c>
      <c r="U1313" s="6" t="s">
        <v>252</v>
      </c>
      <c r="V1313" s="6" t="s">
        <v>246</v>
      </c>
      <c r="W1313" s="6" t="s">
        <v>158</v>
      </c>
      <c r="X1313" s="6" t="s">
        <v>257</v>
      </c>
      <c r="Y1313" s="6" t="s">
        <v>162</v>
      </c>
      <c r="Z1313" s="6" t="s">
        <v>165</v>
      </c>
      <c r="AA1313" s="6" t="s">
        <v>168</v>
      </c>
      <c r="AB1313" s="6" t="s">
        <v>1266</v>
      </c>
      <c r="AC1313" s="6" t="s">
        <v>633</v>
      </c>
      <c r="AD1313" s="6" t="s">
        <v>635</v>
      </c>
      <c r="AE1313" s="6" t="s">
        <v>271</v>
      </c>
      <c r="AF1313" s="6" t="s">
        <v>638</v>
      </c>
      <c r="AG1313" s="6" t="s">
        <v>641</v>
      </c>
      <c r="AH1313" s="7"/>
      <c r="AI1313" s="7"/>
      <c r="AJ1313" s="7"/>
      <c r="AK1313" s="7"/>
      <c r="AL1313" s="7"/>
      <c r="AM1313" s="7"/>
      <c r="AN1313" s="7"/>
      <c r="AO1313" s="7"/>
      <c r="AP1313" s="7"/>
      <c r="AQ1313" s="7"/>
      <c r="AR1313" s="7"/>
      <c r="AS1313" s="7"/>
      <c r="AT1313" s="7"/>
      <c r="AU1313" s="7"/>
      <c r="AV1313" s="7"/>
      <c r="AW1313" s="7"/>
      <c r="AX1313" s="7"/>
      <c r="AY1313" s="7"/>
      <c r="AZ1313" s="7"/>
      <c r="BA1313" s="7"/>
      <c r="BB1313" s="7"/>
      <c r="BC1313" s="7"/>
      <c r="BD1313" s="7"/>
      <c r="BE1313" s="7"/>
      <c r="BF1313" s="7"/>
      <c r="BG1313" s="7"/>
      <c r="BH1313" s="7"/>
      <c r="BI1313" s="7"/>
      <c r="BJ1313" s="7"/>
      <c r="BK1313" s="7"/>
    </row>
    <row r="1314" ht="22.5" customHeight="1">
      <c r="A1314" s="4">
        <v>46229.82612395834</v>
      </c>
      <c r="B1314" s="5">
        <v>0.0</v>
      </c>
      <c r="C1314" s="6" t="s">
        <v>114</v>
      </c>
      <c r="D1314" s="6" t="s">
        <v>2551</v>
      </c>
      <c r="E1314" s="6" t="s">
        <v>2552</v>
      </c>
      <c r="F1314" s="6">
        <v>6.9070509803E10</v>
      </c>
      <c r="G1314" s="6" t="s">
        <v>496</v>
      </c>
      <c r="H1314" s="7"/>
      <c r="I1314" s="6" t="s">
        <v>10247</v>
      </c>
      <c r="J1314" s="6" t="s">
        <v>12418</v>
      </c>
      <c r="K1314" s="6" t="s">
        <v>3497</v>
      </c>
      <c r="L1314" s="6" t="s">
        <v>12419</v>
      </c>
      <c r="M1314" s="6" t="s">
        <v>12420</v>
      </c>
      <c r="N1314" s="7"/>
      <c r="O1314" s="6" t="s">
        <v>12421</v>
      </c>
      <c r="P1314" s="6" t="s">
        <v>12422</v>
      </c>
      <c r="Q1314" s="6" t="s">
        <v>12423</v>
      </c>
      <c r="R1314" s="6" t="s">
        <v>246</v>
      </c>
      <c r="S1314" s="6" t="s">
        <v>147</v>
      </c>
      <c r="T1314" s="6" t="s">
        <v>250</v>
      </c>
      <c r="U1314" s="6" t="s">
        <v>152</v>
      </c>
      <c r="V1314" s="6" t="s">
        <v>246</v>
      </c>
      <c r="W1314" s="6" t="s">
        <v>158</v>
      </c>
      <c r="X1314" s="6" t="s">
        <v>257</v>
      </c>
      <c r="Y1314" s="6" t="s">
        <v>162</v>
      </c>
      <c r="Z1314" s="6" t="s">
        <v>165</v>
      </c>
      <c r="AA1314" s="6" t="s">
        <v>262</v>
      </c>
      <c r="AB1314" s="6" t="s">
        <v>521</v>
      </c>
      <c r="AC1314" s="6" t="s">
        <v>174</v>
      </c>
      <c r="AD1314" s="6" t="s">
        <v>175</v>
      </c>
      <c r="AE1314" s="6" t="s">
        <v>271</v>
      </c>
      <c r="AF1314" s="6" t="s">
        <v>181</v>
      </c>
      <c r="AG1314" s="6" t="s">
        <v>182</v>
      </c>
      <c r="AH1314" s="7"/>
      <c r="AI1314" s="7"/>
      <c r="AJ1314" s="7"/>
      <c r="AK1314" s="7"/>
      <c r="AL1314" s="7"/>
      <c r="AM1314" s="7"/>
      <c r="AN1314" s="7"/>
      <c r="AO1314" s="7"/>
      <c r="AP1314" s="7"/>
      <c r="AQ1314" s="7"/>
      <c r="AR1314" s="7"/>
      <c r="AS1314" s="7"/>
      <c r="AT1314" s="7"/>
      <c r="AU1314" s="7"/>
      <c r="AV1314" s="7"/>
      <c r="AW1314" s="7"/>
      <c r="AX1314" s="7"/>
      <c r="AY1314" s="7"/>
      <c r="AZ1314" s="7"/>
      <c r="BA1314" s="7"/>
      <c r="BB1314" s="7"/>
      <c r="BC1314" s="7"/>
      <c r="BD1314" s="7"/>
      <c r="BE1314" s="7"/>
      <c r="BF1314" s="7"/>
      <c r="BG1314" s="7"/>
      <c r="BH1314" s="7"/>
      <c r="BI1314" s="7"/>
      <c r="BJ1314" s="7"/>
      <c r="BK1314" s="7"/>
    </row>
    <row r="1315" ht="22.5" customHeight="1">
      <c r="A1315" s="4">
        <v>46229.82626574074</v>
      </c>
      <c r="B1315" s="5">
        <v>0.0</v>
      </c>
      <c r="C1315" s="6" t="s">
        <v>114</v>
      </c>
      <c r="D1315" s="6" t="s">
        <v>2555</v>
      </c>
      <c r="E1315" s="6" t="s">
        <v>2556</v>
      </c>
      <c r="F1315" s="6">
        <v>6.907050003E10</v>
      </c>
      <c r="G1315" s="6" t="s">
        <v>4580</v>
      </c>
      <c r="H1315" s="6" t="s">
        <v>2633</v>
      </c>
      <c r="I1315" s="6" t="s">
        <v>12424</v>
      </c>
      <c r="J1315" s="6" t="s">
        <v>9931</v>
      </c>
      <c r="K1315" s="6" t="s">
        <v>12425</v>
      </c>
      <c r="L1315" s="6" t="s">
        <v>12426</v>
      </c>
      <c r="M1315" s="6" t="s">
        <v>8045</v>
      </c>
      <c r="N1315" s="6" t="s">
        <v>6715</v>
      </c>
      <c r="O1315" s="6" t="s">
        <v>12427</v>
      </c>
      <c r="P1315" s="6" t="s">
        <v>12428</v>
      </c>
      <c r="Q1315" s="6" t="s">
        <v>12429</v>
      </c>
      <c r="R1315" s="6" t="s">
        <v>257</v>
      </c>
      <c r="S1315" s="6" t="s">
        <v>147</v>
      </c>
      <c r="T1315" s="6" t="s">
        <v>250</v>
      </c>
      <c r="U1315" s="6" t="s">
        <v>252</v>
      </c>
      <c r="V1315" s="6" t="s">
        <v>246</v>
      </c>
      <c r="W1315" s="6" t="s">
        <v>158</v>
      </c>
      <c r="X1315" s="6" t="s">
        <v>257</v>
      </c>
      <c r="Y1315" s="6" t="s">
        <v>162</v>
      </c>
      <c r="Z1315" s="6" t="s">
        <v>165</v>
      </c>
      <c r="AA1315" s="6" t="s">
        <v>262</v>
      </c>
      <c r="AB1315" s="6" t="s">
        <v>171</v>
      </c>
      <c r="AC1315" s="6" t="s">
        <v>174</v>
      </c>
      <c r="AD1315" s="6" t="s">
        <v>175</v>
      </c>
      <c r="AE1315" s="6" t="s">
        <v>271</v>
      </c>
      <c r="AF1315" s="6" t="s">
        <v>181</v>
      </c>
      <c r="AG1315" s="6" t="s">
        <v>182</v>
      </c>
      <c r="AH1315" s="7"/>
      <c r="AI1315" s="7"/>
      <c r="AJ1315" s="7"/>
      <c r="AK1315" s="7"/>
      <c r="AL1315" s="7"/>
      <c r="AM1315" s="7"/>
      <c r="AN1315" s="7"/>
      <c r="AO1315" s="7"/>
      <c r="AP1315" s="7"/>
      <c r="AQ1315" s="7"/>
      <c r="AR1315" s="7"/>
      <c r="AS1315" s="7"/>
      <c r="AT1315" s="7"/>
      <c r="AU1315" s="7"/>
      <c r="AV1315" s="7"/>
      <c r="AW1315" s="7"/>
      <c r="AX1315" s="7"/>
      <c r="AY1315" s="7"/>
      <c r="AZ1315" s="7"/>
      <c r="BA1315" s="7"/>
      <c r="BB1315" s="7"/>
      <c r="BC1315" s="7"/>
      <c r="BD1315" s="7"/>
      <c r="BE1315" s="7"/>
      <c r="BF1315" s="7"/>
      <c r="BG1315" s="7"/>
      <c r="BH1315" s="7"/>
      <c r="BI1315" s="7"/>
      <c r="BJ1315" s="7"/>
      <c r="BK1315" s="7"/>
    </row>
    <row r="1316" ht="22.5" customHeight="1">
      <c r="A1316" s="4">
        <v>46229.8278167824</v>
      </c>
      <c r="B1316" s="5">
        <v>0.0</v>
      </c>
      <c r="C1316" s="6" t="s">
        <v>114</v>
      </c>
      <c r="D1316" s="6" t="s">
        <v>2559</v>
      </c>
      <c r="E1316" s="6" t="s">
        <v>2560</v>
      </c>
      <c r="F1316" s="6">
        <v>6.9070509621E10</v>
      </c>
      <c r="G1316" s="6" t="s">
        <v>228</v>
      </c>
      <c r="H1316" s="6" t="s">
        <v>12430</v>
      </c>
      <c r="I1316" s="6" t="s">
        <v>12431</v>
      </c>
      <c r="J1316" s="6" t="s">
        <v>12431</v>
      </c>
      <c r="K1316" s="6" t="s">
        <v>12431</v>
      </c>
      <c r="L1316" s="6" t="s">
        <v>12431</v>
      </c>
      <c r="M1316" s="6" t="s">
        <v>12431</v>
      </c>
      <c r="N1316" s="6" t="s">
        <v>12431</v>
      </c>
      <c r="O1316" s="6" t="s">
        <v>12432</v>
      </c>
      <c r="P1316" s="6" t="s">
        <v>12433</v>
      </c>
      <c r="Q1316" s="6" t="s">
        <v>12434</v>
      </c>
      <c r="R1316" s="6" t="s">
        <v>246</v>
      </c>
      <c r="S1316" s="6" t="s">
        <v>147</v>
      </c>
      <c r="T1316" s="6" t="s">
        <v>250</v>
      </c>
      <c r="U1316" s="6" t="s">
        <v>560</v>
      </c>
      <c r="V1316" s="6" t="s">
        <v>155</v>
      </c>
      <c r="W1316" s="6" t="s">
        <v>158</v>
      </c>
      <c r="X1316" s="6" t="s">
        <v>257</v>
      </c>
      <c r="Y1316" s="6" t="s">
        <v>162</v>
      </c>
      <c r="Z1316" s="6" t="s">
        <v>165</v>
      </c>
      <c r="AA1316" s="6" t="s">
        <v>262</v>
      </c>
      <c r="AB1316" s="6" t="s">
        <v>171</v>
      </c>
      <c r="AC1316" s="6" t="s">
        <v>174</v>
      </c>
      <c r="AD1316" s="6" t="s">
        <v>175</v>
      </c>
      <c r="AE1316" s="6" t="s">
        <v>271</v>
      </c>
      <c r="AF1316" s="6" t="s">
        <v>181</v>
      </c>
      <c r="AG1316" s="6" t="s">
        <v>182</v>
      </c>
      <c r="AH1316" s="7"/>
      <c r="AI1316" s="7"/>
      <c r="AJ1316" s="7"/>
      <c r="AK1316" s="7"/>
      <c r="AL1316" s="7"/>
      <c r="AM1316" s="7"/>
      <c r="AN1316" s="7"/>
      <c r="AO1316" s="7"/>
      <c r="AP1316" s="7"/>
      <c r="AQ1316" s="7"/>
      <c r="AR1316" s="7"/>
      <c r="AS1316" s="7"/>
      <c r="AT1316" s="7"/>
      <c r="AU1316" s="7"/>
      <c r="AV1316" s="7"/>
      <c r="AW1316" s="7"/>
      <c r="AX1316" s="7"/>
      <c r="AY1316" s="7"/>
      <c r="AZ1316" s="7"/>
      <c r="BA1316" s="7"/>
      <c r="BB1316" s="7"/>
      <c r="BC1316" s="7"/>
      <c r="BD1316" s="7"/>
      <c r="BE1316" s="7"/>
      <c r="BF1316" s="7"/>
      <c r="BG1316" s="7"/>
      <c r="BH1316" s="7"/>
      <c r="BI1316" s="7"/>
      <c r="BJ1316" s="7"/>
      <c r="BK1316" s="7"/>
    </row>
    <row r="1317" ht="22.5" customHeight="1">
      <c r="A1317" s="4">
        <v>46229.82947809028</v>
      </c>
      <c r="B1317" s="5">
        <v>0.0</v>
      </c>
      <c r="C1317" s="6" t="s">
        <v>114</v>
      </c>
      <c r="D1317" s="6" t="s">
        <v>2564</v>
      </c>
      <c r="E1317" s="6" t="s">
        <v>2566</v>
      </c>
      <c r="F1317" s="6">
        <v>6.9070500043E10</v>
      </c>
      <c r="G1317" s="6" t="s">
        <v>4580</v>
      </c>
      <c r="H1317" s="7"/>
      <c r="I1317" s="6" t="s">
        <v>12435</v>
      </c>
      <c r="J1317" s="6" t="s">
        <v>12436</v>
      </c>
      <c r="K1317" s="6" t="s">
        <v>12437</v>
      </c>
      <c r="L1317" s="6" t="s">
        <v>9559</v>
      </c>
      <c r="M1317" s="6" t="s">
        <v>12438</v>
      </c>
      <c r="N1317" s="6" t="s">
        <v>2633</v>
      </c>
      <c r="O1317" s="6" t="s">
        <v>12439</v>
      </c>
      <c r="P1317" s="6" t="s">
        <v>12440</v>
      </c>
      <c r="Q1317" s="6" t="s">
        <v>12441</v>
      </c>
      <c r="R1317" s="6" t="s">
        <v>257</v>
      </c>
      <c r="S1317" s="6" t="s">
        <v>147</v>
      </c>
      <c r="T1317" s="6" t="s">
        <v>250</v>
      </c>
      <c r="U1317" s="6" t="s">
        <v>686</v>
      </c>
      <c r="V1317" s="6" t="s">
        <v>246</v>
      </c>
      <c r="W1317" s="6" t="s">
        <v>158</v>
      </c>
      <c r="X1317" s="6" t="s">
        <v>257</v>
      </c>
      <c r="Y1317" s="6" t="s">
        <v>162</v>
      </c>
      <c r="Z1317" s="6" t="s">
        <v>165</v>
      </c>
      <c r="AA1317" s="6" t="s">
        <v>262</v>
      </c>
      <c r="AB1317" s="6" t="s">
        <v>171</v>
      </c>
      <c r="AC1317" s="6" t="s">
        <v>174</v>
      </c>
      <c r="AD1317" s="6" t="s">
        <v>635</v>
      </c>
      <c r="AE1317" s="6" t="s">
        <v>271</v>
      </c>
      <c r="AF1317" s="6" t="s">
        <v>811</v>
      </c>
      <c r="AG1317" s="6" t="s">
        <v>182</v>
      </c>
      <c r="AH1317" s="7"/>
      <c r="AI1317" s="7"/>
      <c r="AJ1317" s="7"/>
      <c r="AK1317" s="7"/>
      <c r="AL1317" s="7"/>
      <c r="AM1317" s="7"/>
      <c r="AN1317" s="7"/>
      <c r="AO1317" s="7"/>
      <c r="AP1317" s="7"/>
      <c r="AQ1317" s="7"/>
      <c r="AR1317" s="7"/>
      <c r="AS1317" s="7"/>
      <c r="AT1317" s="7"/>
      <c r="AU1317" s="7"/>
      <c r="AV1317" s="7"/>
      <c r="AW1317" s="7"/>
      <c r="AX1317" s="7"/>
      <c r="AY1317" s="7"/>
      <c r="AZ1317" s="7"/>
      <c r="BA1317" s="7"/>
      <c r="BB1317" s="7"/>
      <c r="BC1317" s="7"/>
      <c r="BD1317" s="7"/>
      <c r="BE1317" s="7"/>
      <c r="BF1317" s="7"/>
      <c r="BG1317" s="7"/>
      <c r="BH1317" s="7"/>
      <c r="BI1317" s="7"/>
      <c r="BJ1317" s="7"/>
      <c r="BK1317" s="7"/>
    </row>
    <row r="1318" ht="22.5" customHeight="1">
      <c r="A1318" s="4">
        <v>46229.829846099536</v>
      </c>
      <c r="B1318" s="5">
        <v>0.0</v>
      </c>
      <c r="C1318" s="6" t="s">
        <v>3296</v>
      </c>
      <c r="D1318" s="7"/>
      <c r="E1318" s="7"/>
      <c r="F1318" s="7"/>
      <c r="G1318" s="7"/>
      <c r="H1318" s="7"/>
      <c r="I1318" s="7"/>
      <c r="J1318" s="7"/>
      <c r="K1318" s="7"/>
      <c r="L1318" s="7"/>
      <c r="M1318" s="7"/>
      <c r="N1318" s="7"/>
      <c r="O1318" s="7"/>
      <c r="P1318" s="7"/>
      <c r="Q1318" s="7"/>
      <c r="R1318" s="7"/>
      <c r="S1318" s="7"/>
      <c r="T1318" s="7"/>
      <c r="U1318" s="7"/>
      <c r="V1318" s="7"/>
      <c r="W1318" s="7"/>
      <c r="X1318" s="7"/>
      <c r="Y1318" s="7"/>
      <c r="Z1318" s="7"/>
      <c r="AA1318" s="7"/>
      <c r="AB1318" s="7"/>
      <c r="AC1318" s="7"/>
      <c r="AD1318" s="7"/>
      <c r="AE1318" s="7"/>
      <c r="AF1318" s="7"/>
      <c r="AG1318" s="7"/>
      <c r="AH1318" s="6" t="s">
        <v>3027</v>
      </c>
      <c r="AI1318" s="6" t="s">
        <v>3028</v>
      </c>
      <c r="AJ1318" s="6">
        <v>6.907050321E10</v>
      </c>
      <c r="AK1318" s="6" t="s">
        <v>9323</v>
      </c>
      <c r="AL1318" s="7"/>
      <c r="AM1318" s="6" t="s">
        <v>12442</v>
      </c>
      <c r="AN1318" s="6" t="s">
        <v>12443</v>
      </c>
      <c r="AO1318" s="6" t="s">
        <v>12444</v>
      </c>
      <c r="AP1318" s="6" t="s">
        <v>12445</v>
      </c>
      <c r="AQ1318" s="6" t="s">
        <v>12446</v>
      </c>
      <c r="AR1318" s="6" t="s">
        <v>12447</v>
      </c>
      <c r="AS1318" s="6" t="s">
        <v>12448</v>
      </c>
      <c r="AT1318" s="6" t="s">
        <v>12449</v>
      </c>
      <c r="AU1318" s="6" t="s">
        <v>12450</v>
      </c>
      <c r="AV1318" s="6" t="s">
        <v>3306</v>
      </c>
      <c r="AW1318" s="6" t="s">
        <v>3307</v>
      </c>
      <c r="AX1318" s="6" t="s">
        <v>3887</v>
      </c>
      <c r="AY1318" s="6" t="s">
        <v>4067</v>
      </c>
      <c r="AZ1318" s="6" t="s">
        <v>3306</v>
      </c>
      <c r="BA1318" s="6" t="s">
        <v>3311</v>
      </c>
      <c r="BB1318" s="6" t="s">
        <v>4693</v>
      </c>
      <c r="BC1318" s="6" t="s">
        <v>3313</v>
      </c>
      <c r="BD1318" s="6" t="s">
        <v>165</v>
      </c>
      <c r="BE1318" s="6" t="s">
        <v>3888</v>
      </c>
      <c r="BF1318" s="6" t="s">
        <v>3889</v>
      </c>
      <c r="BG1318" s="6" t="s">
        <v>4068</v>
      </c>
      <c r="BH1318" s="6" t="s">
        <v>3317</v>
      </c>
      <c r="BI1318" s="6" t="s">
        <v>271</v>
      </c>
      <c r="BJ1318" s="6" t="s">
        <v>3318</v>
      </c>
      <c r="BK1318" s="6" t="s">
        <v>3319</v>
      </c>
    </row>
    <row r="1319" ht="22.5" customHeight="1">
      <c r="A1319" s="4">
        <v>46229.82986067129</v>
      </c>
      <c r="B1319" s="5">
        <v>0.0</v>
      </c>
      <c r="C1319" s="6" t="s">
        <v>114</v>
      </c>
      <c r="D1319" s="6" t="s">
        <v>2568</v>
      </c>
      <c r="E1319" s="6" t="s">
        <v>2569</v>
      </c>
      <c r="F1319" s="6">
        <v>6.9070502455E10</v>
      </c>
      <c r="G1319" s="6" t="s">
        <v>122</v>
      </c>
      <c r="H1319" s="6" t="s">
        <v>12451</v>
      </c>
      <c r="I1319" s="6" t="s">
        <v>12452</v>
      </c>
      <c r="J1319" s="6" t="s">
        <v>12453</v>
      </c>
      <c r="K1319" s="6" t="s">
        <v>10167</v>
      </c>
      <c r="L1319" s="6" t="s">
        <v>12454</v>
      </c>
      <c r="M1319" s="6" t="s">
        <v>12455</v>
      </c>
      <c r="N1319" s="6" t="s">
        <v>12456</v>
      </c>
      <c r="O1319" s="6" t="s">
        <v>12457</v>
      </c>
      <c r="P1319" s="6" t="s">
        <v>12458</v>
      </c>
      <c r="Q1319" s="6" t="s">
        <v>12459</v>
      </c>
      <c r="R1319" s="6" t="s">
        <v>246</v>
      </c>
      <c r="S1319" s="6" t="s">
        <v>147</v>
      </c>
      <c r="T1319" s="6" t="s">
        <v>250</v>
      </c>
      <c r="U1319" s="6" t="s">
        <v>560</v>
      </c>
      <c r="V1319" s="6" t="s">
        <v>246</v>
      </c>
      <c r="W1319" s="6" t="s">
        <v>158</v>
      </c>
      <c r="X1319" s="6" t="s">
        <v>257</v>
      </c>
      <c r="Y1319" s="6" t="s">
        <v>162</v>
      </c>
      <c r="Z1319" s="6" t="s">
        <v>165</v>
      </c>
      <c r="AA1319" s="6" t="s">
        <v>262</v>
      </c>
      <c r="AB1319" s="6" t="s">
        <v>171</v>
      </c>
      <c r="AC1319" s="6" t="s">
        <v>174</v>
      </c>
      <c r="AD1319" s="6" t="s">
        <v>175</v>
      </c>
      <c r="AE1319" s="6" t="s">
        <v>271</v>
      </c>
      <c r="AF1319" s="6" t="s">
        <v>181</v>
      </c>
      <c r="AG1319" s="6" t="s">
        <v>182</v>
      </c>
      <c r="AH1319" s="7"/>
      <c r="AI1319" s="7"/>
      <c r="AJ1319" s="7"/>
      <c r="AK1319" s="7"/>
      <c r="AL1319" s="7"/>
      <c r="AM1319" s="7"/>
      <c r="AN1319" s="7"/>
      <c r="AO1319" s="7"/>
      <c r="AP1319" s="7"/>
      <c r="AQ1319" s="7"/>
      <c r="AR1319" s="7"/>
      <c r="AS1319" s="7"/>
      <c r="AT1319" s="7"/>
      <c r="AU1319" s="7"/>
      <c r="AV1319" s="7"/>
      <c r="AW1319" s="7"/>
      <c r="AX1319" s="7"/>
      <c r="AY1319" s="7"/>
      <c r="AZ1319" s="7"/>
      <c r="BA1319" s="7"/>
      <c r="BB1319" s="7"/>
      <c r="BC1319" s="7"/>
      <c r="BD1319" s="7"/>
      <c r="BE1319" s="7"/>
      <c r="BF1319" s="7"/>
      <c r="BG1319" s="7"/>
      <c r="BH1319" s="7"/>
      <c r="BI1319" s="7"/>
      <c r="BJ1319" s="7"/>
      <c r="BK1319" s="7"/>
    </row>
    <row r="1320" ht="22.5" customHeight="1">
      <c r="A1320" s="4">
        <v>46229.83018430555</v>
      </c>
      <c r="B1320" s="5">
        <v>0.0</v>
      </c>
      <c r="C1320" s="6" t="s">
        <v>3296</v>
      </c>
      <c r="D1320" s="7"/>
      <c r="E1320" s="7"/>
      <c r="F1320" s="7"/>
      <c r="G1320" s="7"/>
      <c r="H1320" s="7"/>
      <c r="I1320" s="7"/>
      <c r="J1320" s="7"/>
      <c r="K1320" s="7"/>
      <c r="L1320" s="7"/>
      <c r="M1320" s="7"/>
      <c r="N1320" s="7"/>
      <c r="O1320" s="7"/>
      <c r="P1320" s="7"/>
      <c r="Q1320" s="7"/>
      <c r="R1320" s="7"/>
      <c r="S1320" s="7"/>
      <c r="T1320" s="7"/>
      <c r="U1320" s="7"/>
      <c r="V1320" s="7"/>
      <c r="W1320" s="7"/>
      <c r="X1320" s="7"/>
      <c r="Y1320" s="7"/>
      <c r="Z1320" s="7"/>
      <c r="AA1320" s="7"/>
      <c r="AB1320" s="7"/>
      <c r="AC1320" s="7"/>
      <c r="AD1320" s="7"/>
      <c r="AE1320" s="7"/>
      <c r="AF1320" s="7"/>
      <c r="AG1320" s="7"/>
      <c r="AH1320" s="6" t="s">
        <v>3029</v>
      </c>
      <c r="AI1320" s="6" t="s">
        <v>3030</v>
      </c>
      <c r="AJ1320" s="6">
        <v>6.9070503218E10</v>
      </c>
      <c r="AK1320" s="6" t="s">
        <v>9323</v>
      </c>
      <c r="AL1320" s="7"/>
      <c r="AM1320" s="6" t="s">
        <v>12453</v>
      </c>
      <c r="AN1320" s="6" t="s">
        <v>10167</v>
      </c>
      <c r="AO1320" s="6" t="s">
        <v>6912</v>
      </c>
      <c r="AP1320" s="6" t="s">
        <v>10166</v>
      </c>
      <c r="AQ1320" s="6" t="s">
        <v>11995</v>
      </c>
      <c r="AR1320" s="7"/>
      <c r="AS1320" s="6" t="s">
        <v>12460</v>
      </c>
      <c r="AT1320" s="6" t="s">
        <v>12461</v>
      </c>
      <c r="AU1320" s="6" t="s">
        <v>12462</v>
      </c>
      <c r="AV1320" s="6" t="s">
        <v>3312</v>
      </c>
      <c r="AW1320" s="6" t="s">
        <v>9070</v>
      </c>
      <c r="AX1320" s="6" t="s">
        <v>3312</v>
      </c>
      <c r="AY1320" s="6" t="s">
        <v>5759</v>
      </c>
      <c r="AZ1320" s="6" t="s">
        <v>3310</v>
      </c>
      <c r="BA1320" s="6" t="s">
        <v>3311</v>
      </c>
      <c r="BB1320" s="6" t="s">
        <v>6098</v>
      </c>
      <c r="BC1320" s="6" t="s">
        <v>3313</v>
      </c>
      <c r="BD1320" s="6" t="s">
        <v>165</v>
      </c>
      <c r="BE1320" s="6" t="s">
        <v>3888</v>
      </c>
      <c r="BF1320" s="6" t="s">
        <v>3315</v>
      </c>
      <c r="BG1320" s="6" t="s">
        <v>5760</v>
      </c>
      <c r="BH1320" s="6" t="s">
        <v>5246</v>
      </c>
      <c r="BI1320" s="6" t="s">
        <v>3105</v>
      </c>
      <c r="BJ1320" s="6" t="s">
        <v>3318</v>
      </c>
      <c r="BK1320" s="6" t="s">
        <v>4695</v>
      </c>
    </row>
    <row r="1321" ht="22.5" customHeight="1">
      <c r="A1321" s="4">
        <v>46229.834502314814</v>
      </c>
      <c r="B1321" s="5">
        <v>0.0</v>
      </c>
      <c r="C1321" s="6" t="s">
        <v>114</v>
      </c>
      <c r="D1321" s="6" t="s">
        <v>2570</v>
      </c>
      <c r="E1321" s="6" t="s">
        <v>2571</v>
      </c>
      <c r="F1321" s="6">
        <v>6.9070500063E10</v>
      </c>
      <c r="G1321" s="6" t="s">
        <v>4580</v>
      </c>
      <c r="H1321" s="7"/>
      <c r="I1321" s="6" t="s">
        <v>12463</v>
      </c>
      <c r="J1321" s="6" t="s">
        <v>12464</v>
      </c>
      <c r="K1321" s="6" t="s">
        <v>12465</v>
      </c>
      <c r="L1321" s="6" t="s">
        <v>12466</v>
      </c>
      <c r="M1321" s="6" t="s">
        <v>12467</v>
      </c>
      <c r="N1321" s="7"/>
      <c r="O1321" s="6" t="s">
        <v>12468</v>
      </c>
      <c r="P1321" s="6" t="s">
        <v>12469</v>
      </c>
      <c r="Q1321" s="6" t="s">
        <v>12470</v>
      </c>
      <c r="R1321" s="6" t="s">
        <v>246</v>
      </c>
      <c r="S1321" s="6" t="s">
        <v>147</v>
      </c>
      <c r="T1321" s="6" t="s">
        <v>250</v>
      </c>
      <c r="U1321" s="6" t="s">
        <v>152</v>
      </c>
      <c r="V1321" s="6" t="s">
        <v>246</v>
      </c>
      <c r="W1321" s="6" t="s">
        <v>158</v>
      </c>
      <c r="X1321" s="6" t="s">
        <v>257</v>
      </c>
      <c r="Y1321" s="6" t="s">
        <v>162</v>
      </c>
      <c r="Z1321" s="6" t="s">
        <v>165</v>
      </c>
      <c r="AA1321" s="6" t="s">
        <v>262</v>
      </c>
      <c r="AB1321" s="6" t="s">
        <v>171</v>
      </c>
      <c r="AC1321" s="6" t="s">
        <v>174</v>
      </c>
      <c r="AD1321" s="6" t="s">
        <v>175</v>
      </c>
      <c r="AE1321" s="6" t="s">
        <v>178</v>
      </c>
      <c r="AF1321" s="6" t="s">
        <v>181</v>
      </c>
      <c r="AG1321" s="6" t="s">
        <v>182</v>
      </c>
      <c r="AH1321" s="7"/>
      <c r="AI1321" s="7"/>
      <c r="AJ1321" s="7"/>
      <c r="AK1321" s="7"/>
      <c r="AL1321" s="7"/>
      <c r="AM1321" s="7"/>
      <c r="AN1321" s="7"/>
      <c r="AO1321" s="7"/>
      <c r="AP1321" s="7"/>
      <c r="AQ1321" s="7"/>
      <c r="AR1321" s="7"/>
      <c r="AS1321" s="7"/>
      <c r="AT1321" s="7"/>
      <c r="AU1321" s="7"/>
      <c r="AV1321" s="7"/>
      <c r="AW1321" s="7"/>
      <c r="AX1321" s="7"/>
      <c r="AY1321" s="7"/>
      <c r="AZ1321" s="7"/>
      <c r="BA1321" s="7"/>
      <c r="BB1321" s="7"/>
      <c r="BC1321" s="7"/>
      <c r="BD1321" s="7"/>
      <c r="BE1321" s="7"/>
      <c r="BF1321" s="7"/>
      <c r="BG1321" s="7"/>
      <c r="BH1321" s="7"/>
      <c r="BI1321" s="7"/>
      <c r="BJ1321" s="7"/>
      <c r="BK1321" s="7"/>
    </row>
    <row r="1322" ht="22.5" customHeight="1">
      <c r="A1322" s="4">
        <v>46229.834699178246</v>
      </c>
      <c r="B1322" s="5">
        <v>0.0</v>
      </c>
      <c r="C1322" s="6" t="s">
        <v>114</v>
      </c>
      <c r="D1322" s="6" t="s">
        <v>2572</v>
      </c>
      <c r="E1322" s="6" t="s">
        <v>2573</v>
      </c>
      <c r="F1322" s="6">
        <v>6.9070500075E10</v>
      </c>
      <c r="G1322" s="6" t="s">
        <v>4580</v>
      </c>
      <c r="H1322" s="6" t="s">
        <v>12471</v>
      </c>
      <c r="I1322" s="6" t="s">
        <v>12472</v>
      </c>
      <c r="J1322" s="6" t="s">
        <v>12473</v>
      </c>
      <c r="K1322" s="6" t="s">
        <v>12474</v>
      </c>
      <c r="L1322" s="6" t="s">
        <v>12475</v>
      </c>
      <c r="M1322" s="6" t="s">
        <v>12476</v>
      </c>
      <c r="N1322" s="6" t="s">
        <v>12477</v>
      </c>
      <c r="O1322" s="6" t="s">
        <v>12478</v>
      </c>
      <c r="P1322" s="6" t="s">
        <v>12479</v>
      </c>
      <c r="Q1322" s="6" t="s">
        <v>12480</v>
      </c>
      <c r="R1322" s="6" t="s">
        <v>246</v>
      </c>
      <c r="S1322" s="6" t="s">
        <v>147</v>
      </c>
      <c r="T1322" s="6" t="s">
        <v>250</v>
      </c>
      <c r="U1322" s="6" t="s">
        <v>686</v>
      </c>
      <c r="V1322" s="6" t="s">
        <v>246</v>
      </c>
      <c r="W1322" s="6" t="s">
        <v>158</v>
      </c>
      <c r="X1322" s="6" t="s">
        <v>257</v>
      </c>
      <c r="Y1322" s="6" t="s">
        <v>162</v>
      </c>
      <c r="Z1322" s="6" t="s">
        <v>165</v>
      </c>
      <c r="AA1322" s="6" t="s">
        <v>262</v>
      </c>
      <c r="AB1322" s="6" t="s">
        <v>171</v>
      </c>
      <c r="AC1322" s="6" t="s">
        <v>174</v>
      </c>
      <c r="AD1322" s="6" t="s">
        <v>175</v>
      </c>
      <c r="AE1322" s="6" t="s">
        <v>271</v>
      </c>
      <c r="AF1322" s="6" t="s">
        <v>181</v>
      </c>
      <c r="AG1322" s="6" t="s">
        <v>182</v>
      </c>
      <c r="AH1322" s="7"/>
      <c r="AI1322" s="7"/>
      <c r="AJ1322" s="7"/>
      <c r="AK1322" s="7"/>
      <c r="AL1322" s="7"/>
      <c r="AM1322" s="7"/>
      <c r="AN1322" s="7"/>
      <c r="AO1322" s="7"/>
      <c r="AP1322" s="7"/>
      <c r="AQ1322" s="7"/>
      <c r="AR1322" s="7"/>
      <c r="AS1322" s="7"/>
      <c r="AT1322" s="7"/>
      <c r="AU1322" s="7"/>
      <c r="AV1322" s="7"/>
      <c r="AW1322" s="7"/>
      <c r="AX1322" s="7"/>
      <c r="AY1322" s="7"/>
      <c r="AZ1322" s="7"/>
      <c r="BA1322" s="7"/>
      <c r="BB1322" s="7"/>
      <c r="BC1322" s="7"/>
      <c r="BD1322" s="7"/>
      <c r="BE1322" s="7"/>
      <c r="BF1322" s="7"/>
      <c r="BG1322" s="7"/>
      <c r="BH1322" s="7"/>
      <c r="BI1322" s="7"/>
      <c r="BJ1322" s="7"/>
      <c r="BK1322" s="7"/>
    </row>
    <row r="1323" ht="22.5" customHeight="1">
      <c r="A1323" s="4">
        <v>46229.835123564815</v>
      </c>
      <c r="B1323" s="5">
        <v>0.0</v>
      </c>
      <c r="C1323" s="6" t="s">
        <v>114</v>
      </c>
      <c r="D1323" s="6" t="s">
        <v>2276</v>
      </c>
      <c r="E1323" s="6" t="s">
        <v>2574</v>
      </c>
      <c r="F1323" s="6">
        <v>6.9070500029E10</v>
      </c>
      <c r="G1323" s="6" t="s">
        <v>4580</v>
      </c>
      <c r="H1323" s="7"/>
      <c r="I1323" s="6" t="s">
        <v>12481</v>
      </c>
      <c r="J1323" s="6" t="s">
        <v>12482</v>
      </c>
      <c r="K1323" s="6" t="s">
        <v>12483</v>
      </c>
      <c r="L1323" s="6" t="s">
        <v>12484</v>
      </c>
      <c r="M1323" s="6" t="s">
        <v>12485</v>
      </c>
      <c r="N1323" s="6" t="s">
        <v>12486</v>
      </c>
      <c r="O1323" s="6" t="s">
        <v>12487</v>
      </c>
      <c r="P1323" s="6" t="s">
        <v>12488</v>
      </c>
      <c r="Q1323" s="6" t="s">
        <v>12489</v>
      </c>
      <c r="R1323" s="6" t="s">
        <v>246</v>
      </c>
      <c r="S1323" s="6" t="s">
        <v>147</v>
      </c>
      <c r="T1323" s="6" t="s">
        <v>250</v>
      </c>
      <c r="U1323" s="6" t="s">
        <v>152</v>
      </c>
      <c r="V1323" s="6" t="s">
        <v>246</v>
      </c>
      <c r="W1323" s="6" t="s">
        <v>158</v>
      </c>
      <c r="X1323" s="6" t="s">
        <v>257</v>
      </c>
      <c r="Y1323" s="6" t="s">
        <v>162</v>
      </c>
      <c r="Z1323" s="6" t="s">
        <v>165</v>
      </c>
      <c r="AA1323" s="6" t="s">
        <v>262</v>
      </c>
      <c r="AB1323" s="6" t="s">
        <v>171</v>
      </c>
      <c r="AC1323" s="6" t="s">
        <v>174</v>
      </c>
      <c r="AD1323" s="6" t="s">
        <v>175</v>
      </c>
      <c r="AE1323" s="6" t="s">
        <v>271</v>
      </c>
      <c r="AF1323" s="6" t="s">
        <v>181</v>
      </c>
      <c r="AG1323" s="6" t="s">
        <v>182</v>
      </c>
      <c r="AH1323" s="7"/>
      <c r="AI1323" s="7"/>
      <c r="AJ1323" s="7"/>
      <c r="AK1323" s="7"/>
      <c r="AL1323" s="7"/>
      <c r="AM1323" s="7"/>
      <c r="AN1323" s="7"/>
      <c r="AO1323" s="7"/>
      <c r="AP1323" s="7"/>
      <c r="AQ1323" s="7"/>
      <c r="AR1323" s="7"/>
      <c r="AS1323" s="7"/>
      <c r="AT1323" s="7"/>
      <c r="AU1323" s="7"/>
      <c r="AV1323" s="7"/>
      <c r="AW1323" s="7"/>
      <c r="AX1323" s="7"/>
      <c r="AY1323" s="7"/>
      <c r="AZ1323" s="7"/>
      <c r="BA1323" s="7"/>
      <c r="BB1323" s="7"/>
      <c r="BC1323" s="7"/>
      <c r="BD1323" s="7"/>
      <c r="BE1323" s="7"/>
      <c r="BF1323" s="7"/>
      <c r="BG1323" s="7"/>
      <c r="BH1323" s="7"/>
      <c r="BI1323" s="7"/>
      <c r="BJ1323" s="7"/>
      <c r="BK1323" s="7"/>
    </row>
    <row r="1324" ht="22.5" customHeight="1">
      <c r="A1324" s="4">
        <v>46229.83578274306</v>
      </c>
      <c r="B1324" s="5">
        <v>0.0</v>
      </c>
      <c r="C1324" s="6" t="s">
        <v>114</v>
      </c>
      <c r="D1324" s="6" t="s">
        <v>2575</v>
      </c>
      <c r="E1324" s="6" t="s">
        <v>2576</v>
      </c>
      <c r="F1324" s="6">
        <v>6.907050647E10</v>
      </c>
      <c r="G1324" s="6" t="s">
        <v>599</v>
      </c>
      <c r="H1324" s="7"/>
      <c r="I1324" s="6" t="s">
        <v>12490</v>
      </c>
      <c r="J1324" s="6" t="s">
        <v>232</v>
      </c>
      <c r="K1324" s="6" t="s">
        <v>12491</v>
      </c>
      <c r="L1324" s="6" t="s">
        <v>12492</v>
      </c>
      <c r="M1324" s="6" t="s">
        <v>12493</v>
      </c>
      <c r="N1324" s="7"/>
      <c r="O1324" s="6" t="s">
        <v>12494</v>
      </c>
      <c r="P1324" s="6" t="s">
        <v>12495</v>
      </c>
      <c r="Q1324" s="6" t="s">
        <v>12496</v>
      </c>
      <c r="R1324" s="6" t="s">
        <v>246</v>
      </c>
      <c r="S1324" s="6" t="s">
        <v>147</v>
      </c>
      <c r="T1324" s="6" t="s">
        <v>250</v>
      </c>
      <c r="U1324" s="6" t="s">
        <v>252</v>
      </c>
      <c r="V1324" s="6" t="s">
        <v>246</v>
      </c>
      <c r="W1324" s="6" t="s">
        <v>158</v>
      </c>
      <c r="X1324" s="6" t="s">
        <v>257</v>
      </c>
      <c r="Y1324" s="6" t="s">
        <v>162</v>
      </c>
      <c r="Z1324" s="6" t="s">
        <v>165</v>
      </c>
      <c r="AA1324" s="6" t="s">
        <v>262</v>
      </c>
      <c r="AB1324" s="6" t="s">
        <v>171</v>
      </c>
      <c r="AC1324" s="6" t="s">
        <v>2718</v>
      </c>
      <c r="AD1324" s="6" t="s">
        <v>175</v>
      </c>
      <c r="AE1324" s="6" t="s">
        <v>271</v>
      </c>
      <c r="AF1324" s="6" t="s">
        <v>181</v>
      </c>
      <c r="AG1324" s="6" t="s">
        <v>182</v>
      </c>
      <c r="AH1324" s="7"/>
      <c r="AI1324" s="7"/>
      <c r="AJ1324" s="7"/>
      <c r="AK1324" s="7"/>
      <c r="AL1324" s="7"/>
      <c r="AM1324" s="7"/>
      <c r="AN1324" s="7"/>
      <c r="AO1324" s="7"/>
      <c r="AP1324" s="7"/>
      <c r="AQ1324" s="7"/>
      <c r="AR1324" s="7"/>
      <c r="AS1324" s="7"/>
      <c r="AT1324" s="7"/>
      <c r="AU1324" s="7"/>
      <c r="AV1324" s="7"/>
      <c r="AW1324" s="7"/>
      <c r="AX1324" s="7"/>
      <c r="AY1324" s="7"/>
      <c r="AZ1324" s="7"/>
      <c r="BA1324" s="7"/>
      <c r="BB1324" s="7"/>
      <c r="BC1324" s="7"/>
      <c r="BD1324" s="7"/>
      <c r="BE1324" s="7"/>
      <c r="BF1324" s="7"/>
      <c r="BG1324" s="7"/>
      <c r="BH1324" s="7"/>
      <c r="BI1324" s="7"/>
      <c r="BJ1324" s="7"/>
      <c r="BK1324" s="7"/>
    </row>
    <row r="1325" ht="22.5" customHeight="1">
      <c r="A1325" s="4">
        <v>46229.845842511575</v>
      </c>
      <c r="B1325" s="5">
        <v>0.0</v>
      </c>
      <c r="C1325" s="6" t="s">
        <v>3296</v>
      </c>
      <c r="D1325" s="7"/>
      <c r="E1325" s="7"/>
      <c r="F1325" s="7"/>
      <c r="G1325" s="7"/>
      <c r="H1325" s="7"/>
      <c r="I1325" s="7"/>
      <c r="J1325" s="7"/>
      <c r="K1325" s="7"/>
      <c r="L1325" s="7"/>
      <c r="M1325" s="7"/>
      <c r="N1325" s="7"/>
      <c r="O1325" s="7"/>
      <c r="P1325" s="7"/>
      <c r="Q1325" s="7"/>
      <c r="R1325" s="7"/>
      <c r="S1325" s="7"/>
      <c r="T1325" s="7"/>
      <c r="U1325" s="7"/>
      <c r="V1325" s="7"/>
      <c r="W1325" s="7"/>
      <c r="X1325" s="7"/>
      <c r="Y1325" s="7"/>
      <c r="Z1325" s="7"/>
      <c r="AA1325" s="7"/>
      <c r="AB1325" s="7"/>
      <c r="AC1325" s="7"/>
      <c r="AD1325" s="7"/>
      <c r="AE1325" s="7"/>
      <c r="AF1325" s="7"/>
      <c r="AG1325" s="7"/>
      <c r="AH1325" s="6" t="s">
        <v>3031</v>
      </c>
      <c r="AI1325" s="6" t="s">
        <v>3032</v>
      </c>
      <c r="AJ1325" s="6">
        <v>6.9070503263E10</v>
      </c>
      <c r="AK1325" s="6" t="s">
        <v>9323</v>
      </c>
      <c r="AL1325" s="7"/>
      <c r="AM1325" s="6" t="s">
        <v>12497</v>
      </c>
      <c r="AN1325" s="6" t="s">
        <v>12498</v>
      </c>
      <c r="AO1325" s="6" t="s">
        <v>12499</v>
      </c>
      <c r="AP1325" s="6" t="s">
        <v>12500</v>
      </c>
      <c r="AQ1325" s="6" t="s">
        <v>12501</v>
      </c>
      <c r="AR1325" s="7"/>
      <c r="AS1325" s="6" t="s">
        <v>12502</v>
      </c>
      <c r="AT1325" s="6" t="s">
        <v>12502</v>
      </c>
      <c r="AU1325" s="6" t="s">
        <v>12502</v>
      </c>
      <c r="AV1325" s="6" t="s">
        <v>3306</v>
      </c>
      <c r="AW1325" s="6" t="s">
        <v>3307</v>
      </c>
      <c r="AX1325" s="6" t="s">
        <v>3308</v>
      </c>
      <c r="AY1325" s="6" t="s">
        <v>4067</v>
      </c>
      <c r="AZ1325" s="6" t="s">
        <v>3310</v>
      </c>
      <c r="BA1325" s="6" t="s">
        <v>3311</v>
      </c>
      <c r="BB1325" s="6" t="s">
        <v>3312</v>
      </c>
      <c r="BC1325" s="6" t="s">
        <v>3313</v>
      </c>
      <c r="BD1325" s="6" t="s">
        <v>165</v>
      </c>
      <c r="BE1325" s="6" t="s">
        <v>5761</v>
      </c>
      <c r="BF1325" s="6" t="s">
        <v>3889</v>
      </c>
      <c r="BG1325" s="6" t="s">
        <v>4068</v>
      </c>
      <c r="BH1325" s="6" t="s">
        <v>3317</v>
      </c>
      <c r="BI1325" s="6" t="s">
        <v>271</v>
      </c>
      <c r="BJ1325" s="6" t="s">
        <v>3318</v>
      </c>
      <c r="BK1325" s="6" t="s">
        <v>7178</v>
      </c>
    </row>
    <row r="1326" ht="22.5" customHeight="1">
      <c r="A1326" s="4">
        <v>46229.850357233794</v>
      </c>
      <c r="B1326" s="5">
        <v>0.0</v>
      </c>
      <c r="C1326" s="6" t="s">
        <v>114</v>
      </c>
      <c r="D1326" s="6" t="s">
        <v>2577</v>
      </c>
      <c r="E1326" s="6" t="s">
        <v>2578</v>
      </c>
      <c r="F1326" s="6">
        <v>6.9070501081E10</v>
      </c>
      <c r="G1326" s="6" t="s">
        <v>1470</v>
      </c>
      <c r="H1326" s="7"/>
      <c r="I1326" s="6" t="s">
        <v>12503</v>
      </c>
      <c r="J1326" s="6" t="s">
        <v>12504</v>
      </c>
      <c r="K1326" s="6" t="s">
        <v>12505</v>
      </c>
      <c r="L1326" s="6" t="s">
        <v>12506</v>
      </c>
      <c r="M1326" s="6" t="s">
        <v>12507</v>
      </c>
      <c r="N1326" s="7"/>
      <c r="O1326" s="6" t="s">
        <v>12508</v>
      </c>
      <c r="P1326" s="6" t="s">
        <v>12509</v>
      </c>
      <c r="Q1326" s="6" t="s">
        <v>12510</v>
      </c>
      <c r="R1326" s="6" t="s">
        <v>246</v>
      </c>
      <c r="S1326" s="6" t="s">
        <v>147</v>
      </c>
      <c r="T1326" s="6" t="s">
        <v>250</v>
      </c>
      <c r="U1326" s="6" t="s">
        <v>152</v>
      </c>
      <c r="V1326" s="6" t="s">
        <v>246</v>
      </c>
      <c r="W1326" s="6" t="s">
        <v>158</v>
      </c>
      <c r="X1326" s="6" t="s">
        <v>257</v>
      </c>
      <c r="Y1326" s="6" t="s">
        <v>162</v>
      </c>
      <c r="Z1326" s="6" t="s">
        <v>165</v>
      </c>
      <c r="AA1326" s="6" t="s">
        <v>262</v>
      </c>
      <c r="AB1326" s="6" t="s">
        <v>171</v>
      </c>
      <c r="AC1326" s="6" t="s">
        <v>174</v>
      </c>
      <c r="AD1326" s="6" t="s">
        <v>175</v>
      </c>
      <c r="AE1326" s="6" t="s">
        <v>271</v>
      </c>
      <c r="AF1326" s="6" t="s">
        <v>181</v>
      </c>
      <c r="AG1326" s="6" t="s">
        <v>182</v>
      </c>
      <c r="AH1326" s="7"/>
      <c r="AI1326" s="7"/>
      <c r="AJ1326" s="7"/>
      <c r="AK1326" s="7"/>
      <c r="AL1326" s="7"/>
      <c r="AM1326" s="7"/>
      <c r="AN1326" s="7"/>
      <c r="AO1326" s="7"/>
      <c r="AP1326" s="7"/>
      <c r="AQ1326" s="7"/>
      <c r="AR1326" s="7"/>
      <c r="AS1326" s="7"/>
      <c r="AT1326" s="7"/>
      <c r="AU1326" s="7"/>
      <c r="AV1326" s="7"/>
      <c r="AW1326" s="7"/>
      <c r="AX1326" s="7"/>
      <c r="AY1326" s="7"/>
      <c r="AZ1326" s="7"/>
      <c r="BA1326" s="7"/>
      <c r="BB1326" s="7"/>
      <c r="BC1326" s="7"/>
      <c r="BD1326" s="7"/>
      <c r="BE1326" s="7"/>
      <c r="BF1326" s="7"/>
      <c r="BG1326" s="7"/>
      <c r="BH1326" s="7"/>
      <c r="BI1326" s="7"/>
      <c r="BJ1326" s="7"/>
      <c r="BK1326" s="7"/>
    </row>
    <row r="1327" ht="22.5" customHeight="1">
      <c r="A1327" s="4">
        <v>46229.85457966435</v>
      </c>
      <c r="B1327" s="5">
        <v>0.0</v>
      </c>
      <c r="C1327" s="6" t="s">
        <v>114</v>
      </c>
      <c r="D1327" s="6" t="s">
        <v>2579</v>
      </c>
      <c r="E1327" s="6" t="s">
        <v>2580</v>
      </c>
      <c r="F1327" s="6">
        <v>6.9070500245E10</v>
      </c>
      <c r="G1327" s="6" t="s">
        <v>599</v>
      </c>
      <c r="H1327" s="7"/>
      <c r="I1327" s="6" t="s">
        <v>1364</v>
      </c>
      <c r="J1327" s="6" t="s">
        <v>12511</v>
      </c>
      <c r="K1327" s="6" t="s">
        <v>12512</v>
      </c>
      <c r="L1327" s="6" t="s">
        <v>4775</v>
      </c>
      <c r="M1327" s="6" t="s">
        <v>12513</v>
      </c>
      <c r="N1327" s="7"/>
      <c r="O1327" s="6" t="s">
        <v>12514</v>
      </c>
      <c r="P1327" s="6" t="s">
        <v>12515</v>
      </c>
      <c r="Q1327" s="6" t="s">
        <v>12516</v>
      </c>
      <c r="R1327" s="6" t="s">
        <v>257</v>
      </c>
      <c r="S1327" s="6" t="s">
        <v>147</v>
      </c>
      <c r="T1327" s="6" t="s">
        <v>250</v>
      </c>
      <c r="U1327" s="6" t="s">
        <v>560</v>
      </c>
      <c r="V1327" s="6" t="s">
        <v>246</v>
      </c>
      <c r="W1327" s="6" t="s">
        <v>158</v>
      </c>
      <c r="X1327" s="6" t="s">
        <v>257</v>
      </c>
      <c r="Y1327" s="6" t="s">
        <v>162</v>
      </c>
      <c r="Z1327" s="6" t="s">
        <v>165</v>
      </c>
      <c r="AA1327" s="6" t="s">
        <v>262</v>
      </c>
      <c r="AB1327" s="6" t="s">
        <v>171</v>
      </c>
      <c r="AC1327" s="6" t="s">
        <v>174</v>
      </c>
      <c r="AD1327" s="6" t="s">
        <v>175</v>
      </c>
      <c r="AE1327" s="6" t="s">
        <v>271</v>
      </c>
      <c r="AF1327" s="6" t="s">
        <v>181</v>
      </c>
      <c r="AG1327" s="6" t="s">
        <v>182</v>
      </c>
      <c r="AH1327" s="7"/>
      <c r="AI1327" s="7"/>
      <c r="AJ1327" s="7"/>
      <c r="AK1327" s="7"/>
      <c r="AL1327" s="7"/>
      <c r="AM1327" s="7"/>
      <c r="AN1327" s="7"/>
      <c r="AO1327" s="7"/>
      <c r="AP1327" s="7"/>
      <c r="AQ1327" s="7"/>
      <c r="AR1327" s="7"/>
      <c r="AS1327" s="7"/>
      <c r="AT1327" s="7"/>
      <c r="AU1327" s="7"/>
      <c r="AV1327" s="7"/>
      <c r="AW1327" s="7"/>
      <c r="AX1327" s="7"/>
      <c r="AY1327" s="7"/>
      <c r="AZ1327" s="7"/>
      <c r="BA1327" s="7"/>
      <c r="BB1327" s="7"/>
      <c r="BC1327" s="7"/>
      <c r="BD1327" s="7"/>
      <c r="BE1327" s="7"/>
      <c r="BF1327" s="7"/>
      <c r="BG1327" s="7"/>
      <c r="BH1327" s="7"/>
      <c r="BI1327" s="7"/>
      <c r="BJ1327" s="7"/>
      <c r="BK1327" s="7"/>
    </row>
    <row r="1328" ht="22.5" customHeight="1">
      <c r="A1328" s="4">
        <v>46229.855511851856</v>
      </c>
      <c r="B1328" s="5">
        <v>0.0</v>
      </c>
      <c r="C1328" s="6" t="s">
        <v>114</v>
      </c>
      <c r="D1328" s="6" t="s">
        <v>2581</v>
      </c>
      <c r="E1328" s="6" t="s">
        <v>2582</v>
      </c>
      <c r="F1328" s="6">
        <v>6.907050223E10</v>
      </c>
      <c r="G1328" s="6" t="s">
        <v>496</v>
      </c>
      <c r="H1328" s="7"/>
      <c r="I1328" s="6" t="s">
        <v>12517</v>
      </c>
      <c r="J1328" s="6" t="s">
        <v>12518</v>
      </c>
      <c r="K1328" s="6" t="s">
        <v>12519</v>
      </c>
      <c r="L1328" s="6" t="s">
        <v>12520</v>
      </c>
      <c r="M1328" s="6" t="s">
        <v>12521</v>
      </c>
      <c r="N1328" s="7"/>
      <c r="O1328" s="6" t="s">
        <v>12522</v>
      </c>
      <c r="P1328" s="6" t="s">
        <v>12523</v>
      </c>
      <c r="Q1328" s="6" t="s">
        <v>12524</v>
      </c>
      <c r="R1328" s="6" t="s">
        <v>246</v>
      </c>
      <c r="S1328" s="6" t="s">
        <v>147</v>
      </c>
      <c r="T1328" s="6" t="s">
        <v>250</v>
      </c>
      <c r="U1328" s="6" t="s">
        <v>560</v>
      </c>
      <c r="V1328" s="6" t="s">
        <v>246</v>
      </c>
      <c r="W1328" s="6" t="s">
        <v>158</v>
      </c>
      <c r="X1328" s="6" t="s">
        <v>257</v>
      </c>
      <c r="Y1328" s="6" t="s">
        <v>162</v>
      </c>
      <c r="Z1328" s="6" t="s">
        <v>165</v>
      </c>
      <c r="AA1328" s="6" t="s">
        <v>262</v>
      </c>
      <c r="AB1328" s="6" t="s">
        <v>171</v>
      </c>
      <c r="AC1328" s="6" t="s">
        <v>174</v>
      </c>
      <c r="AD1328" s="6" t="s">
        <v>175</v>
      </c>
      <c r="AE1328" s="6" t="s">
        <v>271</v>
      </c>
      <c r="AF1328" s="6" t="s">
        <v>181</v>
      </c>
      <c r="AG1328" s="6" t="s">
        <v>182</v>
      </c>
      <c r="AH1328" s="7"/>
      <c r="AI1328" s="7"/>
      <c r="AJ1328" s="7"/>
      <c r="AK1328" s="7"/>
      <c r="AL1328" s="7"/>
      <c r="AM1328" s="7"/>
      <c r="AN1328" s="7"/>
      <c r="AO1328" s="7"/>
      <c r="AP1328" s="7"/>
      <c r="AQ1328" s="7"/>
      <c r="AR1328" s="7"/>
      <c r="AS1328" s="7"/>
      <c r="AT1328" s="7"/>
      <c r="AU1328" s="7"/>
      <c r="AV1328" s="7"/>
      <c r="AW1328" s="7"/>
      <c r="AX1328" s="7"/>
      <c r="AY1328" s="7"/>
      <c r="AZ1328" s="7"/>
      <c r="BA1328" s="7"/>
      <c r="BB1328" s="7"/>
      <c r="BC1328" s="7"/>
      <c r="BD1328" s="7"/>
      <c r="BE1328" s="7"/>
      <c r="BF1328" s="7"/>
      <c r="BG1328" s="7"/>
      <c r="BH1328" s="7"/>
      <c r="BI1328" s="7"/>
      <c r="BJ1328" s="7"/>
      <c r="BK1328" s="7"/>
    </row>
    <row r="1329" ht="22.5" customHeight="1">
      <c r="A1329" s="4">
        <v>46229.86512248842</v>
      </c>
      <c r="B1329" s="5">
        <v>0.0</v>
      </c>
      <c r="C1329" s="6" t="s">
        <v>3296</v>
      </c>
      <c r="D1329" s="7"/>
      <c r="E1329" s="7"/>
      <c r="F1329" s="7"/>
      <c r="G1329" s="7"/>
      <c r="H1329" s="7"/>
      <c r="I1329" s="7"/>
      <c r="J1329" s="7"/>
      <c r="K1329" s="7"/>
      <c r="L1329" s="7"/>
      <c r="M1329" s="7"/>
      <c r="N1329" s="7"/>
      <c r="O1329" s="7"/>
      <c r="P1329" s="7"/>
      <c r="Q1329" s="7"/>
      <c r="R1329" s="7"/>
      <c r="S1329" s="7"/>
      <c r="T1329" s="7"/>
      <c r="U1329" s="7"/>
      <c r="V1329" s="7"/>
      <c r="W1329" s="7"/>
      <c r="X1329" s="7"/>
      <c r="Y1329" s="7"/>
      <c r="Z1329" s="7"/>
      <c r="AA1329" s="7"/>
      <c r="AB1329" s="7"/>
      <c r="AC1329" s="7"/>
      <c r="AD1329" s="7"/>
      <c r="AE1329" s="7"/>
      <c r="AF1329" s="7"/>
      <c r="AG1329" s="7"/>
      <c r="AH1329" s="6" t="s">
        <v>3034</v>
      </c>
      <c r="AI1329" s="6" t="s">
        <v>3036</v>
      </c>
      <c r="AJ1329" s="6">
        <v>6.9070509014E10</v>
      </c>
      <c r="AK1329" s="6" t="s">
        <v>5042</v>
      </c>
      <c r="AL1329" s="7"/>
      <c r="AM1329" s="6" t="s">
        <v>8531</v>
      </c>
      <c r="AN1329" s="6" t="s">
        <v>12525</v>
      </c>
      <c r="AO1329" s="6" t="s">
        <v>12526</v>
      </c>
      <c r="AP1329" s="6" t="s">
        <v>12527</v>
      </c>
      <c r="AQ1329" s="6" t="s">
        <v>12528</v>
      </c>
      <c r="AR1329" s="7"/>
      <c r="AS1329" s="6" t="s">
        <v>12529</v>
      </c>
      <c r="AT1329" s="6" t="s">
        <v>12530</v>
      </c>
      <c r="AU1329" s="6" t="s">
        <v>12531</v>
      </c>
      <c r="AV1329" s="6" t="s">
        <v>3306</v>
      </c>
      <c r="AW1329" s="6" t="s">
        <v>3307</v>
      </c>
      <c r="AX1329" s="6" t="s">
        <v>3887</v>
      </c>
      <c r="AY1329" s="6" t="s">
        <v>3309</v>
      </c>
      <c r="AZ1329" s="6" t="s">
        <v>3306</v>
      </c>
      <c r="BA1329" s="6" t="s">
        <v>3311</v>
      </c>
      <c r="BB1329" s="6" t="s">
        <v>3312</v>
      </c>
      <c r="BC1329" s="6" t="s">
        <v>3313</v>
      </c>
      <c r="BD1329" s="6" t="s">
        <v>165</v>
      </c>
      <c r="BE1329" s="6" t="s">
        <v>3888</v>
      </c>
      <c r="BF1329" s="6" t="s">
        <v>3889</v>
      </c>
      <c r="BG1329" s="6" t="s">
        <v>4068</v>
      </c>
      <c r="BH1329" s="6" t="s">
        <v>3317</v>
      </c>
      <c r="BI1329" s="6" t="s">
        <v>271</v>
      </c>
      <c r="BJ1329" s="6" t="s">
        <v>3318</v>
      </c>
      <c r="BK1329" s="6" t="s">
        <v>3319</v>
      </c>
    </row>
    <row r="1330" ht="22.5" customHeight="1">
      <c r="A1330" s="4">
        <v>46229.8689719213</v>
      </c>
      <c r="B1330" s="5">
        <v>0.0</v>
      </c>
      <c r="C1330" s="6" t="s">
        <v>3296</v>
      </c>
      <c r="D1330" s="7"/>
      <c r="E1330" s="7"/>
      <c r="F1330" s="7"/>
      <c r="G1330" s="7"/>
      <c r="H1330" s="7"/>
      <c r="I1330" s="7"/>
      <c r="J1330" s="7"/>
      <c r="K1330" s="7"/>
      <c r="L1330" s="7"/>
      <c r="M1330" s="7"/>
      <c r="N1330" s="7"/>
      <c r="O1330" s="7"/>
      <c r="P1330" s="7"/>
      <c r="Q1330" s="7"/>
      <c r="R1330" s="7"/>
      <c r="S1330" s="7"/>
      <c r="T1330" s="7"/>
      <c r="U1330" s="7"/>
      <c r="V1330" s="7"/>
      <c r="W1330" s="7"/>
      <c r="X1330" s="7"/>
      <c r="Y1330" s="7"/>
      <c r="Z1330" s="7"/>
      <c r="AA1330" s="7"/>
      <c r="AB1330" s="7"/>
      <c r="AC1330" s="7"/>
      <c r="AD1330" s="7"/>
      <c r="AE1330" s="7"/>
      <c r="AF1330" s="7"/>
      <c r="AG1330" s="7"/>
      <c r="AH1330" s="6" t="s">
        <v>3038</v>
      </c>
      <c r="AI1330" s="6" t="s">
        <v>3039</v>
      </c>
      <c r="AJ1330" s="6">
        <v>6.9070509005E10</v>
      </c>
      <c r="AK1330" s="6" t="s">
        <v>5042</v>
      </c>
      <c r="AL1330" s="7"/>
      <c r="AM1330" s="6" t="s">
        <v>12532</v>
      </c>
      <c r="AN1330" s="6" t="s">
        <v>12533</v>
      </c>
      <c r="AO1330" s="6" t="s">
        <v>12534</v>
      </c>
      <c r="AP1330" s="6" t="s">
        <v>12535</v>
      </c>
      <c r="AQ1330" s="6" t="s">
        <v>12536</v>
      </c>
      <c r="AR1330" s="7"/>
      <c r="AS1330" s="6" t="s">
        <v>12537</v>
      </c>
      <c r="AT1330" s="6" t="s">
        <v>12538</v>
      </c>
      <c r="AU1330" s="6" t="s">
        <v>12539</v>
      </c>
      <c r="AV1330" s="6" t="s">
        <v>3306</v>
      </c>
      <c r="AW1330" s="6" t="s">
        <v>3307</v>
      </c>
      <c r="AX1330" s="6" t="s">
        <v>3887</v>
      </c>
      <c r="AY1330" s="6" t="s">
        <v>5759</v>
      </c>
      <c r="AZ1330" s="6" t="s">
        <v>3306</v>
      </c>
      <c r="BA1330" s="6" t="s">
        <v>8593</v>
      </c>
      <c r="BB1330" s="6" t="s">
        <v>4693</v>
      </c>
      <c r="BC1330" s="6" t="s">
        <v>3313</v>
      </c>
      <c r="BD1330" s="6" t="s">
        <v>165</v>
      </c>
      <c r="BE1330" s="6" t="s">
        <v>3314</v>
      </c>
      <c r="BF1330" s="6" t="s">
        <v>3315</v>
      </c>
      <c r="BG1330" s="6" t="s">
        <v>4694</v>
      </c>
      <c r="BH1330" s="6" t="s">
        <v>3317</v>
      </c>
      <c r="BI1330" s="6" t="s">
        <v>271</v>
      </c>
      <c r="BJ1330" s="6" t="s">
        <v>3318</v>
      </c>
      <c r="BK1330" s="6" t="s">
        <v>3319</v>
      </c>
    </row>
    <row r="1331" ht="22.5" customHeight="1">
      <c r="A1331" s="4">
        <v>46229.88253751157</v>
      </c>
      <c r="B1331" s="5">
        <v>0.0</v>
      </c>
      <c r="C1331" s="6" t="s">
        <v>3296</v>
      </c>
      <c r="D1331" s="7"/>
      <c r="E1331" s="7"/>
      <c r="F1331" s="7"/>
      <c r="G1331" s="7"/>
      <c r="H1331" s="7"/>
      <c r="I1331" s="7"/>
      <c r="J1331" s="7"/>
      <c r="K1331" s="7"/>
      <c r="L1331" s="7"/>
      <c r="M1331" s="7"/>
      <c r="N1331" s="7"/>
      <c r="O1331" s="7"/>
      <c r="P1331" s="7"/>
      <c r="Q1331" s="7"/>
      <c r="R1331" s="7"/>
      <c r="S1331" s="7"/>
      <c r="T1331" s="7"/>
      <c r="U1331" s="7"/>
      <c r="V1331" s="7"/>
      <c r="W1331" s="7"/>
      <c r="X1331" s="7"/>
      <c r="Y1331" s="7"/>
      <c r="Z1331" s="7"/>
      <c r="AA1331" s="7"/>
      <c r="AB1331" s="7"/>
      <c r="AC1331" s="7"/>
      <c r="AD1331" s="7"/>
      <c r="AE1331" s="7"/>
      <c r="AF1331" s="7"/>
      <c r="AG1331" s="7"/>
      <c r="AH1331" s="6" t="s">
        <v>3041</v>
      </c>
      <c r="AI1331" s="6" t="s">
        <v>3043</v>
      </c>
      <c r="AJ1331" s="6">
        <v>6.9070509012E10</v>
      </c>
      <c r="AK1331" s="6" t="s">
        <v>5042</v>
      </c>
      <c r="AL1331" s="7"/>
      <c r="AM1331" s="6" t="s">
        <v>12540</v>
      </c>
      <c r="AN1331" s="6" t="s">
        <v>12541</v>
      </c>
      <c r="AO1331" s="6" t="s">
        <v>12542</v>
      </c>
      <c r="AP1331" s="6" t="s">
        <v>12543</v>
      </c>
      <c r="AQ1331" s="6" t="s">
        <v>12544</v>
      </c>
      <c r="AR1331" s="6" t="s">
        <v>2633</v>
      </c>
      <c r="AS1331" s="6" t="s">
        <v>12540</v>
      </c>
      <c r="AT1331" s="6" t="s">
        <v>12545</v>
      </c>
      <c r="AU1331" s="6" t="s">
        <v>12546</v>
      </c>
      <c r="AV1331" s="6" t="s">
        <v>3306</v>
      </c>
      <c r="AW1331" s="6" t="s">
        <v>3307</v>
      </c>
      <c r="AX1331" s="6" t="s">
        <v>3887</v>
      </c>
      <c r="AY1331" s="6" t="s">
        <v>3309</v>
      </c>
      <c r="AZ1331" s="6" t="s">
        <v>3306</v>
      </c>
      <c r="BA1331" s="6" t="s">
        <v>3311</v>
      </c>
      <c r="BB1331" s="6" t="s">
        <v>3312</v>
      </c>
      <c r="BC1331" s="6" t="s">
        <v>3313</v>
      </c>
      <c r="BD1331" s="6" t="s">
        <v>165</v>
      </c>
      <c r="BE1331" s="6" t="s">
        <v>3888</v>
      </c>
      <c r="BF1331" s="6" t="s">
        <v>3889</v>
      </c>
      <c r="BG1331" s="6" t="s">
        <v>4068</v>
      </c>
      <c r="BH1331" s="6" t="s">
        <v>3317</v>
      </c>
      <c r="BI1331" s="6" t="s">
        <v>271</v>
      </c>
      <c r="BJ1331" s="6" t="s">
        <v>3318</v>
      </c>
      <c r="BK1331" s="6" t="s">
        <v>3319</v>
      </c>
    </row>
    <row r="1332" ht="22.5" customHeight="1">
      <c r="A1332" s="4">
        <v>46229.88431336806</v>
      </c>
      <c r="B1332" s="5">
        <v>0.0</v>
      </c>
      <c r="C1332" s="6" t="s">
        <v>114</v>
      </c>
      <c r="D1332" s="6" t="s">
        <v>2583</v>
      </c>
      <c r="E1332" s="6" t="s">
        <v>2584</v>
      </c>
      <c r="F1332" s="6">
        <v>6.9070500062E10</v>
      </c>
      <c r="G1332" s="6" t="s">
        <v>4580</v>
      </c>
      <c r="H1332" s="7"/>
      <c r="I1332" s="6" t="s">
        <v>7106</v>
      </c>
      <c r="J1332" s="6" t="s">
        <v>7104</v>
      </c>
      <c r="K1332" s="6" t="s">
        <v>12547</v>
      </c>
      <c r="L1332" s="6" t="s">
        <v>12548</v>
      </c>
      <c r="M1332" s="6" t="s">
        <v>12549</v>
      </c>
      <c r="N1332" s="7"/>
      <c r="O1332" s="6" t="s">
        <v>12550</v>
      </c>
      <c r="P1332" s="6" t="s">
        <v>12551</v>
      </c>
      <c r="Q1332" s="6" t="s">
        <v>12552</v>
      </c>
      <c r="R1332" s="6" t="s">
        <v>257</v>
      </c>
      <c r="S1332" s="6" t="s">
        <v>147</v>
      </c>
      <c r="T1332" s="6" t="s">
        <v>250</v>
      </c>
      <c r="U1332" s="6" t="s">
        <v>252</v>
      </c>
      <c r="V1332" s="6" t="s">
        <v>246</v>
      </c>
      <c r="W1332" s="6" t="s">
        <v>158</v>
      </c>
      <c r="X1332" s="6" t="s">
        <v>161</v>
      </c>
      <c r="Y1332" s="6" t="s">
        <v>162</v>
      </c>
      <c r="Z1332" s="6" t="s">
        <v>165</v>
      </c>
      <c r="AA1332" s="6" t="s">
        <v>262</v>
      </c>
      <c r="AB1332" s="6" t="s">
        <v>171</v>
      </c>
      <c r="AC1332" s="6" t="s">
        <v>174</v>
      </c>
      <c r="AD1332" s="6" t="s">
        <v>1723</v>
      </c>
      <c r="AE1332" s="6" t="s">
        <v>178</v>
      </c>
      <c r="AF1332" s="6" t="s">
        <v>174</v>
      </c>
      <c r="AG1332" s="6" t="s">
        <v>182</v>
      </c>
      <c r="AH1332" s="7"/>
      <c r="AI1332" s="7"/>
      <c r="AJ1332" s="7"/>
      <c r="AK1332" s="7"/>
      <c r="AL1332" s="7"/>
      <c r="AM1332" s="7"/>
      <c r="AN1332" s="7"/>
      <c r="AO1332" s="7"/>
      <c r="AP1332" s="7"/>
      <c r="AQ1332" s="7"/>
      <c r="AR1332" s="7"/>
      <c r="AS1332" s="7"/>
      <c r="AT1332" s="7"/>
      <c r="AU1332" s="7"/>
      <c r="AV1332" s="7"/>
      <c r="AW1332" s="7"/>
      <c r="AX1332" s="7"/>
      <c r="AY1332" s="7"/>
      <c r="AZ1332" s="7"/>
      <c r="BA1332" s="7"/>
      <c r="BB1332" s="7"/>
      <c r="BC1332" s="7"/>
      <c r="BD1332" s="7"/>
      <c r="BE1332" s="7"/>
      <c r="BF1332" s="7"/>
      <c r="BG1332" s="7"/>
      <c r="BH1332" s="7"/>
      <c r="BI1332" s="7"/>
      <c r="BJ1332" s="7"/>
      <c r="BK1332" s="7"/>
    </row>
    <row r="1333" ht="22.5" customHeight="1">
      <c r="A1333" s="4">
        <v>46229.89014177083</v>
      </c>
      <c r="B1333" s="5">
        <v>0.0</v>
      </c>
      <c r="C1333" s="6" t="s">
        <v>114</v>
      </c>
      <c r="D1333" s="6" t="s">
        <v>2585</v>
      </c>
      <c r="E1333" s="6" t="s">
        <v>2586</v>
      </c>
      <c r="F1333" s="6">
        <v>6.9070508817E10</v>
      </c>
      <c r="G1333" s="6" t="s">
        <v>5399</v>
      </c>
      <c r="H1333" s="7"/>
      <c r="I1333" s="6" t="s">
        <v>12553</v>
      </c>
      <c r="J1333" s="6" t="s">
        <v>8830</v>
      </c>
      <c r="K1333" s="6" t="s">
        <v>12554</v>
      </c>
      <c r="L1333" s="6" t="s">
        <v>12555</v>
      </c>
      <c r="M1333" s="6" t="s">
        <v>5337</v>
      </c>
      <c r="N1333" s="7"/>
      <c r="O1333" s="6" t="s">
        <v>12556</v>
      </c>
      <c r="P1333" s="6" t="s">
        <v>12557</v>
      </c>
      <c r="Q1333" s="6" t="s">
        <v>12558</v>
      </c>
      <c r="R1333" s="6" t="s">
        <v>246</v>
      </c>
      <c r="S1333" s="6" t="s">
        <v>147</v>
      </c>
      <c r="T1333" s="6" t="s">
        <v>516</v>
      </c>
      <c r="U1333" s="6" t="s">
        <v>560</v>
      </c>
      <c r="V1333" s="6" t="s">
        <v>155</v>
      </c>
      <c r="W1333" s="6" t="s">
        <v>158</v>
      </c>
      <c r="X1333" s="6" t="s">
        <v>458</v>
      </c>
      <c r="Y1333" s="6" t="s">
        <v>162</v>
      </c>
      <c r="Z1333" s="6" t="s">
        <v>165</v>
      </c>
      <c r="AA1333" s="6" t="s">
        <v>641</v>
      </c>
      <c r="AB1333" s="6" t="s">
        <v>171</v>
      </c>
      <c r="AC1333" s="6" t="s">
        <v>633</v>
      </c>
      <c r="AD1333" s="6" t="s">
        <v>1723</v>
      </c>
      <c r="AE1333" s="6" t="s">
        <v>3105</v>
      </c>
      <c r="AF1333" s="6" t="s">
        <v>638</v>
      </c>
      <c r="AG1333" s="6" t="s">
        <v>182</v>
      </c>
      <c r="AH1333" s="7"/>
      <c r="AI1333" s="7"/>
      <c r="AJ1333" s="7"/>
      <c r="AK1333" s="7"/>
      <c r="AL1333" s="7"/>
      <c r="AM1333" s="7"/>
      <c r="AN1333" s="7"/>
      <c r="AO1333" s="7"/>
      <c r="AP1333" s="7"/>
      <c r="AQ1333" s="7"/>
      <c r="AR1333" s="7"/>
      <c r="AS1333" s="7"/>
      <c r="AT1333" s="7"/>
      <c r="AU1333" s="7"/>
      <c r="AV1333" s="7"/>
      <c r="AW1333" s="7"/>
      <c r="AX1333" s="7"/>
      <c r="AY1333" s="7"/>
      <c r="AZ1333" s="7"/>
      <c r="BA1333" s="7"/>
      <c r="BB1333" s="7"/>
      <c r="BC1333" s="7"/>
      <c r="BD1333" s="7"/>
      <c r="BE1333" s="7"/>
      <c r="BF1333" s="7"/>
      <c r="BG1333" s="7"/>
      <c r="BH1333" s="7"/>
      <c r="BI1333" s="7"/>
      <c r="BJ1333" s="7"/>
      <c r="BK1333" s="7"/>
    </row>
    <row r="1334" ht="22.5" customHeight="1">
      <c r="A1334" s="4">
        <v>46229.89503817129</v>
      </c>
      <c r="B1334" s="5">
        <v>0.0</v>
      </c>
      <c r="C1334" s="6" t="s">
        <v>114</v>
      </c>
      <c r="D1334" s="6" t="s">
        <v>600</v>
      </c>
      <c r="E1334" s="6" t="s">
        <v>2587</v>
      </c>
      <c r="F1334" s="6">
        <v>6.9070505232E10</v>
      </c>
      <c r="G1334" s="6" t="s">
        <v>1470</v>
      </c>
      <c r="H1334" s="7"/>
      <c r="I1334" s="6" t="s">
        <v>3207</v>
      </c>
      <c r="J1334" s="6" t="s">
        <v>12559</v>
      </c>
      <c r="K1334" s="6" t="s">
        <v>12560</v>
      </c>
      <c r="L1334" s="6" t="s">
        <v>6046</v>
      </c>
      <c r="M1334" s="6" t="s">
        <v>9771</v>
      </c>
      <c r="N1334" s="7"/>
      <c r="O1334" s="6" t="s">
        <v>12561</v>
      </c>
      <c r="P1334" s="6" t="s">
        <v>12562</v>
      </c>
      <c r="Q1334" s="6" t="s">
        <v>12563</v>
      </c>
      <c r="R1334" s="6" t="s">
        <v>246</v>
      </c>
      <c r="S1334" s="6" t="s">
        <v>147</v>
      </c>
      <c r="T1334" s="6" t="s">
        <v>149</v>
      </c>
      <c r="U1334" s="6" t="s">
        <v>252</v>
      </c>
      <c r="V1334" s="6" t="s">
        <v>246</v>
      </c>
      <c r="W1334" s="6" t="s">
        <v>158</v>
      </c>
      <c r="X1334" s="6" t="s">
        <v>257</v>
      </c>
      <c r="Y1334" s="6" t="s">
        <v>162</v>
      </c>
      <c r="Z1334" s="6" t="s">
        <v>165</v>
      </c>
      <c r="AA1334" s="6" t="s">
        <v>262</v>
      </c>
      <c r="AB1334" s="6" t="s">
        <v>171</v>
      </c>
      <c r="AC1334" s="6" t="s">
        <v>2718</v>
      </c>
      <c r="AD1334" s="6" t="s">
        <v>175</v>
      </c>
      <c r="AE1334" s="6" t="s">
        <v>524</v>
      </c>
      <c r="AF1334" s="6" t="s">
        <v>181</v>
      </c>
      <c r="AG1334" s="6" t="s">
        <v>182</v>
      </c>
      <c r="AH1334" s="7"/>
      <c r="AI1334" s="7"/>
      <c r="AJ1334" s="7"/>
      <c r="AK1334" s="7"/>
      <c r="AL1334" s="7"/>
      <c r="AM1334" s="7"/>
      <c r="AN1334" s="7"/>
      <c r="AO1334" s="7"/>
      <c r="AP1334" s="7"/>
      <c r="AQ1334" s="7"/>
      <c r="AR1334" s="7"/>
      <c r="AS1334" s="7"/>
      <c r="AT1334" s="7"/>
      <c r="AU1334" s="7"/>
      <c r="AV1334" s="7"/>
      <c r="AW1334" s="7"/>
      <c r="AX1334" s="7"/>
      <c r="AY1334" s="7"/>
      <c r="AZ1334" s="7"/>
      <c r="BA1334" s="7"/>
      <c r="BB1334" s="7"/>
      <c r="BC1334" s="7"/>
      <c r="BD1334" s="7"/>
      <c r="BE1334" s="7"/>
      <c r="BF1334" s="7"/>
      <c r="BG1334" s="7"/>
      <c r="BH1334" s="7"/>
      <c r="BI1334" s="7"/>
      <c r="BJ1334" s="7"/>
      <c r="BK1334" s="7"/>
    </row>
    <row r="1335" ht="22.5" customHeight="1">
      <c r="A1335" s="4">
        <v>46229.9105810301</v>
      </c>
      <c r="B1335" s="5">
        <v>0.0</v>
      </c>
      <c r="C1335" s="6" t="s">
        <v>114</v>
      </c>
      <c r="D1335" s="6" t="s">
        <v>2588</v>
      </c>
      <c r="E1335" s="6" t="s">
        <v>2589</v>
      </c>
      <c r="F1335" s="6">
        <v>6.9070500056E10</v>
      </c>
      <c r="G1335" s="6" t="s">
        <v>4580</v>
      </c>
      <c r="H1335" s="6" t="s">
        <v>12564</v>
      </c>
      <c r="I1335" s="6" t="s">
        <v>12565</v>
      </c>
      <c r="J1335" s="6" t="s">
        <v>12566</v>
      </c>
      <c r="K1335" s="6" t="s">
        <v>7089</v>
      </c>
      <c r="L1335" s="6" t="s">
        <v>12567</v>
      </c>
      <c r="M1335" s="6" t="s">
        <v>6159</v>
      </c>
      <c r="N1335" s="7"/>
      <c r="O1335" s="6" t="s">
        <v>12568</v>
      </c>
      <c r="P1335" s="6" t="s">
        <v>12569</v>
      </c>
      <c r="Q1335" s="6" t="s">
        <v>12570</v>
      </c>
      <c r="R1335" s="6" t="s">
        <v>246</v>
      </c>
      <c r="S1335" s="6" t="s">
        <v>147</v>
      </c>
      <c r="T1335" s="6" t="s">
        <v>516</v>
      </c>
      <c r="U1335" s="6" t="s">
        <v>686</v>
      </c>
      <c r="V1335" s="6" t="s">
        <v>246</v>
      </c>
      <c r="W1335" s="6" t="s">
        <v>158</v>
      </c>
      <c r="X1335" s="6" t="s">
        <v>257</v>
      </c>
      <c r="Y1335" s="6" t="s">
        <v>162</v>
      </c>
      <c r="Z1335" s="6" t="s">
        <v>165</v>
      </c>
      <c r="AA1335" s="6" t="s">
        <v>641</v>
      </c>
      <c r="AB1335" s="6" t="s">
        <v>521</v>
      </c>
      <c r="AC1335" s="6" t="s">
        <v>174</v>
      </c>
      <c r="AD1335" s="6" t="s">
        <v>175</v>
      </c>
      <c r="AE1335" s="6" t="s">
        <v>271</v>
      </c>
      <c r="AF1335" s="6" t="s">
        <v>181</v>
      </c>
      <c r="AG1335" s="6" t="s">
        <v>182</v>
      </c>
      <c r="AH1335" s="7"/>
      <c r="AI1335" s="7"/>
      <c r="AJ1335" s="7"/>
      <c r="AK1335" s="7"/>
      <c r="AL1335" s="7"/>
      <c r="AM1335" s="7"/>
      <c r="AN1335" s="7"/>
      <c r="AO1335" s="7"/>
      <c r="AP1335" s="7"/>
      <c r="AQ1335" s="7"/>
      <c r="AR1335" s="7"/>
      <c r="AS1335" s="7"/>
      <c r="AT1335" s="7"/>
      <c r="AU1335" s="7"/>
      <c r="AV1335" s="7"/>
      <c r="AW1335" s="7"/>
      <c r="AX1335" s="7"/>
      <c r="AY1335" s="7"/>
      <c r="AZ1335" s="7"/>
      <c r="BA1335" s="7"/>
      <c r="BB1335" s="7"/>
      <c r="BC1335" s="7"/>
      <c r="BD1335" s="7"/>
      <c r="BE1335" s="7"/>
      <c r="BF1335" s="7"/>
      <c r="BG1335" s="7"/>
      <c r="BH1335" s="7"/>
      <c r="BI1335" s="7"/>
      <c r="BJ1335" s="7"/>
      <c r="BK1335" s="7"/>
    </row>
    <row r="1336" ht="22.5" customHeight="1">
      <c r="A1336" s="4">
        <v>46229.915463831014</v>
      </c>
      <c r="B1336" s="5">
        <v>0.0</v>
      </c>
      <c r="C1336" s="6" t="s">
        <v>114</v>
      </c>
      <c r="D1336" s="6" t="s">
        <v>2590</v>
      </c>
      <c r="E1336" s="6" t="s">
        <v>2591</v>
      </c>
      <c r="F1336" s="6">
        <v>6.9070500649E10</v>
      </c>
      <c r="G1336" s="6" t="s">
        <v>6140</v>
      </c>
      <c r="H1336" s="7"/>
      <c r="I1336" s="6" t="s">
        <v>12571</v>
      </c>
      <c r="J1336" s="6" t="s">
        <v>12572</v>
      </c>
      <c r="K1336" s="6" t="s">
        <v>12573</v>
      </c>
      <c r="L1336" s="6" t="s">
        <v>12574</v>
      </c>
      <c r="M1336" s="6" t="s">
        <v>12575</v>
      </c>
      <c r="N1336" s="7"/>
      <c r="O1336" s="6" t="s">
        <v>12576</v>
      </c>
      <c r="P1336" s="6" t="s">
        <v>12577</v>
      </c>
      <c r="Q1336" s="6" t="s">
        <v>12578</v>
      </c>
      <c r="R1336" s="6" t="s">
        <v>246</v>
      </c>
      <c r="S1336" s="6" t="s">
        <v>147</v>
      </c>
      <c r="T1336" s="6" t="s">
        <v>250</v>
      </c>
      <c r="U1336" s="6" t="s">
        <v>686</v>
      </c>
      <c r="V1336" s="6" t="s">
        <v>246</v>
      </c>
      <c r="W1336" s="6" t="s">
        <v>158</v>
      </c>
      <c r="X1336" s="6" t="s">
        <v>257</v>
      </c>
      <c r="Y1336" s="6" t="s">
        <v>162</v>
      </c>
      <c r="Z1336" s="6" t="s">
        <v>165</v>
      </c>
      <c r="AA1336" s="6" t="s">
        <v>262</v>
      </c>
      <c r="AB1336" s="6" t="s">
        <v>171</v>
      </c>
      <c r="AC1336" s="6" t="s">
        <v>174</v>
      </c>
      <c r="AD1336" s="6" t="s">
        <v>175</v>
      </c>
      <c r="AE1336" s="6" t="s">
        <v>271</v>
      </c>
      <c r="AF1336" s="6" t="s">
        <v>181</v>
      </c>
      <c r="AG1336" s="6" t="s">
        <v>182</v>
      </c>
      <c r="AH1336" s="7"/>
      <c r="AI1336" s="7"/>
      <c r="AJ1336" s="7"/>
      <c r="AK1336" s="7"/>
      <c r="AL1336" s="7"/>
      <c r="AM1336" s="7"/>
      <c r="AN1336" s="7"/>
      <c r="AO1336" s="7"/>
      <c r="AP1336" s="7"/>
      <c r="AQ1336" s="7"/>
      <c r="AR1336" s="7"/>
      <c r="AS1336" s="7"/>
      <c r="AT1336" s="7"/>
      <c r="AU1336" s="7"/>
      <c r="AV1336" s="7"/>
      <c r="AW1336" s="7"/>
      <c r="AX1336" s="7"/>
      <c r="AY1336" s="7"/>
      <c r="AZ1336" s="7"/>
      <c r="BA1336" s="7"/>
      <c r="BB1336" s="7"/>
      <c r="BC1336" s="7"/>
      <c r="BD1336" s="7"/>
      <c r="BE1336" s="7"/>
      <c r="BF1336" s="7"/>
      <c r="BG1336" s="7"/>
      <c r="BH1336" s="7"/>
      <c r="BI1336" s="7"/>
      <c r="BJ1336" s="7"/>
      <c r="BK1336" s="7"/>
    </row>
    <row r="1337" ht="22.5" customHeight="1">
      <c r="A1337" s="4">
        <v>46229.93625878472</v>
      </c>
      <c r="B1337" s="5">
        <v>0.0</v>
      </c>
      <c r="C1337" s="6" t="s">
        <v>114</v>
      </c>
      <c r="D1337" s="6" t="s">
        <v>661</v>
      </c>
      <c r="E1337" s="6" t="s">
        <v>2592</v>
      </c>
      <c r="F1337" s="6">
        <v>6.9070500015E10</v>
      </c>
      <c r="G1337" s="6" t="s">
        <v>4580</v>
      </c>
      <c r="H1337" s="7"/>
      <c r="I1337" s="6" t="s">
        <v>3735</v>
      </c>
      <c r="J1337" s="6" t="s">
        <v>12579</v>
      </c>
      <c r="K1337" s="6" t="s">
        <v>12580</v>
      </c>
      <c r="L1337" s="6" t="s">
        <v>12581</v>
      </c>
      <c r="M1337" s="6" t="s">
        <v>12582</v>
      </c>
      <c r="N1337" s="7"/>
      <c r="O1337" s="6" t="s">
        <v>12583</v>
      </c>
      <c r="P1337" s="6" t="s">
        <v>12348</v>
      </c>
      <c r="Q1337" s="6" t="s">
        <v>12584</v>
      </c>
      <c r="R1337" s="6" t="s">
        <v>246</v>
      </c>
      <c r="S1337" s="6" t="s">
        <v>147</v>
      </c>
      <c r="T1337" s="6" t="s">
        <v>250</v>
      </c>
      <c r="U1337" s="6" t="s">
        <v>560</v>
      </c>
      <c r="V1337" s="6" t="s">
        <v>246</v>
      </c>
      <c r="W1337" s="6" t="s">
        <v>158</v>
      </c>
      <c r="X1337" s="6" t="s">
        <v>257</v>
      </c>
      <c r="Y1337" s="6" t="s">
        <v>162</v>
      </c>
      <c r="Z1337" s="6" t="s">
        <v>165</v>
      </c>
      <c r="AA1337" s="6" t="s">
        <v>262</v>
      </c>
      <c r="AB1337" s="6" t="s">
        <v>171</v>
      </c>
      <c r="AC1337" s="6" t="s">
        <v>174</v>
      </c>
      <c r="AD1337" s="6" t="s">
        <v>175</v>
      </c>
      <c r="AE1337" s="6" t="s">
        <v>271</v>
      </c>
      <c r="AF1337" s="6" t="s">
        <v>181</v>
      </c>
      <c r="AG1337" s="6" t="s">
        <v>182</v>
      </c>
      <c r="AH1337" s="7"/>
      <c r="AI1337" s="7"/>
      <c r="AJ1337" s="7"/>
      <c r="AK1337" s="7"/>
      <c r="AL1337" s="7"/>
      <c r="AM1337" s="7"/>
      <c r="AN1337" s="7"/>
      <c r="AO1337" s="7"/>
      <c r="AP1337" s="7"/>
      <c r="AQ1337" s="7"/>
      <c r="AR1337" s="7"/>
      <c r="AS1337" s="7"/>
      <c r="AT1337" s="7"/>
      <c r="AU1337" s="7"/>
      <c r="AV1337" s="7"/>
      <c r="AW1337" s="7"/>
      <c r="AX1337" s="7"/>
      <c r="AY1337" s="7"/>
      <c r="AZ1337" s="7"/>
      <c r="BA1337" s="7"/>
      <c r="BB1337" s="7"/>
      <c r="BC1337" s="7"/>
      <c r="BD1337" s="7"/>
      <c r="BE1337" s="7"/>
      <c r="BF1337" s="7"/>
      <c r="BG1337" s="7"/>
      <c r="BH1337" s="7"/>
      <c r="BI1337" s="7"/>
      <c r="BJ1337" s="7"/>
      <c r="BK1337" s="7"/>
    </row>
    <row r="1338" ht="22.5" customHeight="1">
      <c r="A1338" s="4">
        <v>46229.936507418985</v>
      </c>
      <c r="B1338" s="5">
        <v>0.0</v>
      </c>
      <c r="C1338" s="6" t="s">
        <v>114</v>
      </c>
      <c r="D1338" s="6" t="s">
        <v>2593</v>
      </c>
      <c r="E1338" s="6" t="s">
        <v>2594</v>
      </c>
      <c r="F1338" s="6">
        <v>6.9070500832E10</v>
      </c>
      <c r="G1338" s="6" t="s">
        <v>496</v>
      </c>
      <c r="H1338" s="7"/>
      <c r="I1338" s="6" t="s">
        <v>12585</v>
      </c>
      <c r="J1338" s="6" t="s">
        <v>7121</v>
      </c>
      <c r="K1338" s="6" t="s">
        <v>12586</v>
      </c>
      <c r="L1338" s="6" t="s">
        <v>10804</v>
      </c>
      <c r="M1338" s="6" t="s">
        <v>12587</v>
      </c>
      <c r="N1338" s="7"/>
      <c r="O1338" s="6" t="s">
        <v>12588</v>
      </c>
      <c r="P1338" s="6" t="s">
        <v>12589</v>
      </c>
      <c r="Q1338" s="6" t="s">
        <v>12590</v>
      </c>
      <c r="R1338" s="6" t="s">
        <v>246</v>
      </c>
      <c r="S1338" s="6" t="s">
        <v>147</v>
      </c>
      <c r="T1338" s="6" t="s">
        <v>250</v>
      </c>
      <c r="U1338" s="6" t="s">
        <v>560</v>
      </c>
      <c r="V1338" s="6" t="s">
        <v>246</v>
      </c>
      <c r="W1338" s="6" t="s">
        <v>158</v>
      </c>
      <c r="X1338" s="6" t="s">
        <v>257</v>
      </c>
      <c r="Y1338" s="6" t="s">
        <v>162</v>
      </c>
      <c r="Z1338" s="6" t="s">
        <v>165</v>
      </c>
      <c r="AA1338" s="6" t="s">
        <v>262</v>
      </c>
      <c r="AB1338" s="6" t="s">
        <v>521</v>
      </c>
      <c r="AC1338" s="6" t="s">
        <v>174</v>
      </c>
      <c r="AD1338" s="6" t="s">
        <v>175</v>
      </c>
      <c r="AE1338" s="6" t="s">
        <v>178</v>
      </c>
      <c r="AF1338" s="6" t="s">
        <v>181</v>
      </c>
      <c r="AG1338" s="6" t="s">
        <v>182</v>
      </c>
      <c r="AH1338" s="7"/>
      <c r="AI1338" s="7"/>
      <c r="AJ1338" s="7"/>
      <c r="AK1338" s="7"/>
      <c r="AL1338" s="7"/>
      <c r="AM1338" s="7"/>
      <c r="AN1338" s="7"/>
      <c r="AO1338" s="7"/>
      <c r="AP1338" s="7"/>
      <c r="AQ1338" s="7"/>
      <c r="AR1338" s="7"/>
      <c r="AS1338" s="7"/>
      <c r="AT1338" s="7"/>
      <c r="AU1338" s="7"/>
      <c r="AV1338" s="7"/>
      <c r="AW1338" s="7"/>
      <c r="AX1338" s="7"/>
      <c r="AY1338" s="7"/>
      <c r="AZ1338" s="7"/>
      <c r="BA1338" s="7"/>
      <c r="BB1338" s="7"/>
      <c r="BC1338" s="7"/>
      <c r="BD1338" s="7"/>
      <c r="BE1338" s="7"/>
      <c r="BF1338" s="7"/>
      <c r="BG1338" s="7"/>
      <c r="BH1338" s="7"/>
      <c r="BI1338" s="7"/>
      <c r="BJ1338" s="7"/>
      <c r="BK1338" s="7"/>
    </row>
    <row r="1339" ht="22.5" customHeight="1">
      <c r="A1339" s="4">
        <v>46229.937177581014</v>
      </c>
      <c r="B1339" s="5">
        <v>0.0</v>
      </c>
      <c r="C1339" s="6" t="s">
        <v>114</v>
      </c>
      <c r="D1339" s="6" t="s">
        <v>2595</v>
      </c>
      <c r="E1339" s="6" t="s">
        <v>2596</v>
      </c>
      <c r="F1339" s="6">
        <v>6.9070509636E10</v>
      </c>
      <c r="G1339" s="6" t="s">
        <v>730</v>
      </c>
      <c r="H1339" s="7"/>
      <c r="I1339" s="6" t="s">
        <v>12591</v>
      </c>
      <c r="J1339" s="6" t="s">
        <v>12592</v>
      </c>
      <c r="K1339" s="6" t="s">
        <v>12593</v>
      </c>
      <c r="L1339" s="6" t="s">
        <v>12594</v>
      </c>
      <c r="M1339" s="6" t="s">
        <v>12595</v>
      </c>
      <c r="N1339" s="7"/>
      <c r="O1339" s="6" t="s">
        <v>12596</v>
      </c>
      <c r="P1339" s="6" t="s">
        <v>12597</v>
      </c>
      <c r="Q1339" s="6" t="s">
        <v>12598</v>
      </c>
      <c r="R1339" s="6" t="s">
        <v>246</v>
      </c>
      <c r="S1339" s="6" t="s">
        <v>147</v>
      </c>
      <c r="T1339" s="6" t="s">
        <v>250</v>
      </c>
      <c r="U1339" s="6" t="s">
        <v>560</v>
      </c>
      <c r="V1339" s="6" t="s">
        <v>155</v>
      </c>
      <c r="W1339" s="6" t="s">
        <v>158</v>
      </c>
      <c r="X1339" s="6" t="s">
        <v>257</v>
      </c>
      <c r="Y1339" s="6" t="s">
        <v>162</v>
      </c>
      <c r="Z1339" s="6" t="s">
        <v>165</v>
      </c>
      <c r="AA1339" s="6" t="s">
        <v>262</v>
      </c>
      <c r="AB1339" s="6" t="s">
        <v>171</v>
      </c>
      <c r="AC1339" s="6" t="s">
        <v>174</v>
      </c>
      <c r="AD1339" s="6" t="s">
        <v>175</v>
      </c>
      <c r="AE1339" s="6" t="s">
        <v>271</v>
      </c>
      <c r="AF1339" s="6" t="s">
        <v>181</v>
      </c>
      <c r="AG1339" s="6" t="s">
        <v>182</v>
      </c>
      <c r="AH1339" s="7"/>
      <c r="AI1339" s="7"/>
      <c r="AJ1339" s="7"/>
      <c r="AK1339" s="7"/>
      <c r="AL1339" s="7"/>
      <c r="AM1339" s="7"/>
      <c r="AN1339" s="7"/>
      <c r="AO1339" s="7"/>
      <c r="AP1339" s="7"/>
      <c r="AQ1339" s="7"/>
      <c r="AR1339" s="7"/>
      <c r="AS1339" s="7"/>
      <c r="AT1339" s="7"/>
      <c r="AU1339" s="7"/>
      <c r="AV1339" s="7"/>
      <c r="AW1339" s="7"/>
      <c r="AX1339" s="7"/>
      <c r="AY1339" s="7"/>
      <c r="AZ1339" s="7"/>
      <c r="BA1339" s="7"/>
      <c r="BB1339" s="7"/>
      <c r="BC1339" s="7"/>
      <c r="BD1339" s="7"/>
      <c r="BE1339" s="7"/>
      <c r="BF1339" s="7"/>
      <c r="BG1339" s="7"/>
      <c r="BH1339" s="7"/>
      <c r="BI1339" s="7"/>
      <c r="BJ1339" s="7"/>
      <c r="BK1339" s="7"/>
    </row>
    <row r="1340" ht="22.5" customHeight="1">
      <c r="A1340" s="4">
        <v>46229.94674133102</v>
      </c>
      <c r="B1340" s="5">
        <v>0.0</v>
      </c>
      <c r="C1340" s="6" t="s">
        <v>114</v>
      </c>
      <c r="D1340" s="6" t="s">
        <v>1214</v>
      </c>
      <c r="E1340" s="6" t="s">
        <v>2597</v>
      </c>
      <c r="F1340" s="6">
        <v>6.9070500048E10</v>
      </c>
      <c r="G1340" s="6" t="s">
        <v>4580</v>
      </c>
      <c r="H1340" s="7"/>
      <c r="I1340" s="6" t="s">
        <v>12599</v>
      </c>
      <c r="J1340" s="6" t="s">
        <v>12600</v>
      </c>
      <c r="K1340" s="6" t="s">
        <v>12601</v>
      </c>
      <c r="L1340" s="6" t="s">
        <v>6343</v>
      </c>
      <c r="M1340" s="6" t="s">
        <v>7820</v>
      </c>
      <c r="N1340" s="7"/>
      <c r="O1340" s="6" t="s">
        <v>12602</v>
      </c>
      <c r="P1340" s="6" t="s">
        <v>12603</v>
      </c>
      <c r="Q1340" s="6" t="s">
        <v>12604</v>
      </c>
      <c r="R1340" s="6" t="s">
        <v>257</v>
      </c>
      <c r="S1340" s="6" t="s">
        <v>147</v>
      </c>
      <c r="T1340" s="6" t="s">
        <v>246</v>
      </c>
      <c r="U1340" s="6" t="s">
        <v>152</v>
      </c>
      <c r="V1340" s="6" t="s">
        <v>246</v>
      </c>
      <c r="W1340" s="6" t="s">
        <v>158</v>
      </c>
      <c r="X1340" s="6" t="s">
        <v>257</v>
      </c>
      <c r="Y1340" s="6" t="s">
        <v>162</v>
      </c>
      <c r="Z1340" s="6" t="s">
        <v>165</v>
      </c>
      <c r="AA1340" s="6" t="s">
        <v>262</v>
      </c>
      <c r="AB1340" s="6" t="s">
        <v>171</v>
      </c>
      <c r="AC1340" s="6" t="s">
        <v>174</v>
      </c>
      <c r="AD1340" s="6" t="s">
        <v>1723</v>
      </c>
      <c r="AE1340" s="6" t="s">
        <v>271</v>
      </c>
      <c r="AF1340" s="6" t="s">
        <v>181</v>
      </c>
      <c r="AG1340" s="6" t="s">
        <v>182</v>
      </c>
      <c r="AH1340" s="7"/>
      <c r="AI1340" s="7"/>
      <c r="AJ1340" s="7"/>
      <c r="AK1340" s="7"/>
      <c r="AL1340" s="7"/>
      <c r="AM1340" s="7"/>
      <c r="AN1340" s="7"/>
      <c r="AO1340" s="7"/>
      <c r="AP1340" s="7"/>
      <c r="AQ1340" s="7"/>
      <c r="AR1340" s="7"/>
      <c r="AS1340" s="7"/>
      <c r="AT1340" s="7"/>
      <c r="AU1340" s="7"/>
      <c r="AV1340" s="7"/>
      <c r="AW1340" s="7"/>
      <c r="AX1340" s="7"/>
      <c r="AY1340" s="7"/>
      <c r="AZ1340" s="7"/>
      <c r="BA1340" s="7"/>
      <c r="BB1340" s="7"/>
      <c r="BC1340" s="7"/>
      <c r="BD1340" s="7"/>
      <c r="BE1340" s="7"/>
      <c r="BF1340" s="7"/>
      <c r="BG1340" s="7"/>
      <c r="BH1340" s="7"/>
      <c r="BI1340" s="7"/>
      <c r="BJ1340" s="7"/>
      <c r="BK1340" s="7"/>
    </row>
    <row r="1341" ht="22.5" customHeight="1">
      <c r="A1341" s="4">
        <v>46229.95255012732</v>
      </c>
      <c r="B1341" s="5">
        <v>0.0</v>
      </c>
      <c r="C1341" s="6" t="s">
        <v>114</v>
      </c>
      <c r="D1341" s="6" t="s">
        <v>2312</v>
      </c>
      <c r="E1341" s="6" t="s">
        <v>360</v>
      </c>
      <c r="F1341" s="6">
        <v>6.9070500086E10</v>
      </c>
      <c r="G1341" s="6" t="s">
        <v>4580</v>
      </c>
      <c r="H1341" s="7"/>
      <c r="I1341" s="6" t="s">
        <v>12605</v>
      </c>
      <c r="J1341" s="6" t="s">
        <v>12606</v>
      </c>
      <c r="K1341" s="6" t="s">
        <v>12607</v>
      </c>
      <c r="L1341" s="6" t="s">
        <v>12608</v>
      </c>
      <c r="M1341" s="6" t="s">
        <v>12609</v>
      </c>
      <c r="N1341" s="6" t="s">
        <v>12610</v>
      </c>
      <c r="O1341" s="6" t="s">
        <v>12611</v>
      </c>
      <c r="P1341" s="6" t="s">
        <v>12612</v>
      </c>
      <c r="Q1341" s="6" t="s">
        <v>12613</v>
      </c>
      <c r="R1341" s="6" t="s">
        <v>246</v>
      </c>
      <c r="S1341" s="6" t="s">
        <v>147</v>
      </c>
      <c r="T1341" s="6" t="s">
        <v>250</v>
      </c>
      <c r="U1341" s="6" t="s">
        <v>252</v>
      </c>
      <c r="V1341" s="6" t="s">
        <v>246</v>
      </c>
      <c r="W1341" s="6" t="s">
        <v>158</v>
      </c>
      <c r="X1341" s="6" t="s">
        <v>246</v>
      </c>
      <c r="Y1341" s="6" t="s">
        <v>162</v>
      </c>
      <c r="Z1341" s="6" t="s">
        <v>165</v>
      </c>
      <c r="AA1341" s="6" t="s">
        <v>262</v>
      </c>
      <c r="AB1341" s="6" t="s">
        <v>521</v>
      </c>
      <c r="AC1341" s="6" t="s">
        <v>174</v>
      </c>
      <c r="AD1341" s="6" t="s">
        <v>175</v>
      </c>
      <c r="AE1341" s="6" t="s">
        <v>271</v>
      </c>
      <c r="AF1341" s="6" t="s">
        <v>181</v>
      </c>
      <c r="AG1341" s="6" t="s">
        <v>182</v>
      </c>
      <c r="AH1341" s="7"/>
      <c r="AI1341" s="7"/>
      <c r="AJ1341" s="7"/>
      <c r="AK1341" s="7"/>
      <c r="AL1341" s="7"/>
      <c r="AM1341" s="7"/>
      <c r="AN1341" s="7"/>
      <c r="AO1341" s="7"/>
      <c r="AP1341" s="7"/>
      <c r="AQ1341" s="7"/>
      <c r="AR1341" s="7"/>
      <c r="AS1341" s="7"/>
      <c r="AT1341" s="7"/>
      <c r="AU1341" s="7"/>
      <c r="AV1341" s="7"/>
      <c r="AW1341" s="7"/>
      <c r="AX1341" s="7"/>
      <c r="AY1341" s="7"/>
      <c r="AZ1341" s="7"/>
      <c r="BA1341" s="7"/>
      <c r="BB1341" s="7"/>
      <c r="BC1341" s="7"/>
      <c r="BD1341" s="7"/>
      <c r="BE1341" s="7"/>
      <c r="BF1341" s="7"/>
      <c r="BG1341" s="7"/>
      <c r="BH1341" s="7"/>
      <c r="BI1341" s="7"/>
      <c r="BJ1341" s="7"/>
      <c r="BK1341" s="7"/>
    </row>
    <row r="1342" ht="22.5" customHeight="1">
      <c r="A1342" s="4">
        <v>46229.954379710645</v>
      </c>
      <c r="B1342" s="5">
        <v>0.0</v>
      </c>
      <c r="C1342" s="6" t="s">
        <v>114</v>
      </c>
      <c r="D1342" s="6" t="s">
        <v>2257</v>
      </c>
      <c r="E1342" s="6" t="s">
        <v>2598</v>
      </c>
      <c r="F1342" s="6">
        <v>6.9070508407E10</v>
      </c>
      <c r="G1342" s="6" t="s">
        <v>4580</v>
      </c>
      <c r="H1342" s="7"/>
      <c r="I1342" s="6" t="s">
        <v>12614</v>
      </c>
      <c r="J1342" s="6" t="s">
        <v>9671</v>
      </c>
      <c r="K1342" s="6" t="s">
        <v>12615</v>
      </c>
      <c r="L1342" s="6" t="s">
        <v>12616</v>
      </c>
      <c r="M1342" s="6" t="s">
        <v>12617</v>
      </c>
      <c r="N1342" s="7"/>
      <c r="O1342" s="6" t="s">
        <v>12618</v>
      </c>
      <c r="P1342" s="6" t="s">
        <v>12619</v>
      </c>
      <c r="Q1342" s="6" t="s">
        <v>12620</v>
      </c>
      <c r="R1342" s="6" t="s">
        <v>246</v>
      </c>
      <c r="S1342" s="6" t="s">
        <v>147</v>
      </c>
      <c r="T1342" s="6" t="s">
        <v>250</v>
      </c>
      <c r="U1342" s="6" t="s">
        <v>686</v>
      </c>
      <c r="V1342" s="6" t="s">
        <v>246</v>
      </c>
      <c r="W1342" s="6" t="s">
        <v>158</v>
      </c>
      <c r="X1342" s="6" t="s">
        <v>257</v>
      </c>
      <c r="Y1342" s="6" t="s">
        <v>162</v>
      </c>
      <c r="Z1342" s="6" t="s">
        <v>165</v>
      </c>
      <c r="AA1342" s="6" t="s">
        <v>262</v>
      </c>
      <c r="AB1342" s="6" t="s">
        <v>171</v>
      </c>
      <c r="AC1342" s="6" t="s">
        <v>174</v>
      </c>
      <c r="AD1342" s="6" t="s">
        <v>175</v>
      </c>
      <c r="AE1342" s="6" t="s">
        <v>3105</v>
      </c>
      <c r="AF1342" s="6" t="s">
        <v>181</v>
      </c>
      <c r="AG1342" s="6" t="s">
        <v>182</v>
      </c>
      <c r="AH1342" s="7"/>
      <c r="AI1342" s="7"/>
      <c r="AJ1342" s="7"/>
      <c r="AK1342" s="7"/>
      <c r="AL1342" s="7"/>
      <c r="AM1342" s="7"/>
      <c r="AN1342" s="7"/>
      <c r="AO1342" s="7"/>
      <c r="AP1342" s="7"/>
      <c r="AQ1342" s="7"/>
      <c r="AR1342" s="7"/>
      <c r="AS1342" s="7"/>
      <c r="AT1342" s="7"/>
      <c r="AU1342" s="7"/>
      <c r="AV1342" s="7"/>
      <c r="AW1342" s="7"/>
      <c r="AX1342" s="7"/>
      <c r="AY1342" s="7"/>
      <c r="AZ1342" s="7"/>
      <c r="BA1342" s="7"/>
      <c r="BB1342" s="7"/>
      <c r="BC1342" s="7"/>
      <c r="BD1342" s="7"/>
      <c r="BE1342" s="7"/>
      <c r="BF1342" s="7"/>
      <c r="BG1342" s="7"/>
      <c r="BH1342" s="7"/>
      <c r="BI1342" s="7"/>
      <c r="BJ1342" s="7"/>
      <c r="BK1342" s="7"/>
    </row>
    <row r="1343" ht="22.5" customHeight="1">
      <c r="A1343" s="4">
        <v>46229.958577812504</v>
      </c>
      <c r="B1343" s="5">
        <v>0.0</v>
      </c>
      <c r="C1343" s="6" t="s">
        <v>114</v>
      </c>
      <c r="D1343" s="6" t="s">
        <v>2599</v>
      </c>
      <c r="E1343" s="6" t="s">
        <v>2600</v>
      </c>
      <c r="F1343" s="6">
        <v>6.9070500613E10</v>
      </c>
      <c r="G1343" s="6" t="s">
        <v>6140</v>
      </c>
      <c r="H1343" s="6" t="s">
        <v>12621</v>
      </c>
      <c r="I1343" s="6" t="s">
        <v>12622</v>
      </c>
      <c r="J1343" s="6" t="s">
        <v>12623</v>
      </c>
      <c r="K1343" s="6" t="s">
        <v>6345</v>
      </c>
      <c r="L1343" s="6" t="s">
        <v>12624</v>
      </c>
      <c r="M1343" s="6" t="s">
        <v>12625</v>
      </c>
      <c r="N1343" s="6" t="s">
        <v>11013</v>
      </c>
      <c r="O1343" s="6" t="s">
        <v>12626</v>
      </c>
      <c r="P1343" s="6" t="s">
        <v>12627</v>
      </c>
      <c r="Q1343" s="6" t="s">
        <v>12628</v>
      </c>
      <c r="R1343" s="6" t="s">
        <v>246</v>
      </c>
      <c r="S1343" s="6" t="s">
        <v>147</v>
      </c>
      <c r="T1343" s="6" t="s">
        <v>250</v>
      </c>
      <c r="U1343" s="6" t="s">
        <v>152</v>
      </c>
      <c r="V1343" s="6" t="s">
        <v>155</v>
      </c>
      <c r="W1343" s="6" t="s">
        <v>158</v>
      </c>
      <c r="X1343" s="6" t="s">
        <v>257</v>
      </c>
      <c r="Y1343" s="6" t="s">
        <v>162</v>
      </c>
      <c r="Z1343" s="6" t="s">
        <v>165</v>
      </c>
      <c r="AA1343" s="6" t="s">
        <v>262</v>
      </c>
      <c r="AB1343" s="6" t="s">
        <v>4010</v>
      </c>
      <c r="AC1343" s="6" t="s">
        <v>174</v>
      </c>
      <c r="AD1343" s="6" t="s">
        <v>175</v>
      </c>
      <c r="AE1343" s="6" t="s">
        <v>271</v>
      </c>
      <c r="AF1343" s="6" t="s">
        <v>181</v>
      </c>
      <c r="AG1343" s="6" t="s">
        <v>182</v>
      </c>
      <c r="AH1343" s="7"/>
      <c r="AI1343" s="7"/>
      <c r="AJ1343" s="7"/>
      <c r="AK1343" s="7"/>
      <c r="AL1343" s="7"/>
      <c r="AM1343" s="7"/>
      <c r="AN1343" s="7"/>
      <c r="AO1343" s="7"/>
      <c r="AP1343" s="7"/>
      <c r="AQ1343" s="7"/>
      <c r="AR1343" s="7"/>
      <c r="AS1343" s="7"/>
      <c r="AT1343" s="7"/>
      <c r="AU1343" s="7"/>
      <c r="AV1343" s="7"/>
      <c r="AW1343" s="7"/>
      <c r="AX1343" s="7"/>
      <c r="AY1343" s="7"/>
      <c r="AZ1343" s="7"/>
      <c r="BA1343" s="7"/>
      <c r="BB1343" s="7"/>
      <c r="BC1343" s="7"/>
      <c r="BD1343" s="7"/>
      <c r="BE1343" s="7"/>
      <c r="BF1343" s="7"/>
      <c r="BG1343" s="7"/>
      <c r="BH1343" s="7"/>
      <c r="BI1343" s="7"/>
      <c r="BJ1343" s="7"/>
      <c r="BK1343" s="7"/>
    </row>
    <row r="1344" ht="22.5" customHeight="1">
      <c r="A1344" s="4">
        <v>46229.97167053241</v>
      </c>
      <c r="B1344" s="5">
        <v>0.0</v>
      </c>
      <c r="C1344" s="6" t="s">
        <v>114</v>
      </c>
      <c r="D1344" s="6" t="s">
        <v>2602</v>
      </c>
      <c r="E1344" s="6" t="s">
        <v>2603</v>
      </c>
      <c r="F1344" s="6">
        <v>6.9070501841E10</v>
      </c>
      <c r="G1344" s="6" t="s">
        <v>730</v>
      </c>
      <c r="H1344" s="7"/>
      <c r="I1344" s="6" t="s">
        <v>12629</v>
      </c>
      <c r="J1344" s="6" t="s">
        <v>12630</v>
      </c>
      <c r="K1344" s="6" t="s">
        <v>12631</v>
      </c>
      <c r="L1344" s="6" t="s">
        <v>12632</v>
      </c>
      <c r="M1344" s="6" t="s">
        <v>6196</v>
      </c>
      <c r="N1344" s="7"/>
      <c r="O1344" s="6" t="s">
        <v>12633</v>
      </c>
      <c r="P1344" s="6" t="s">
        <v>12634</v>
      </c>
      <c r="Q1344" s="6" t="s">
        <v>12635</v>
      </c>
      <c r="R1344" s="6" t="s">
        <v>246</v>
      </c>
      <c r="S1344" s="6" t="s">
        <v>147</v>
      </c>
      <c r="T1344" s="6" t="s">
        <v>250</v>
      </c>
      <c r="U1344" s="6" t="s">
        <v>560</v>
      </c>
      <c r="V1344" s="6" t="s">
        <v>155</v>
      </c>
      <c r="W1344" s="6" t="s">
        <v>158</v>
      </c>
      <c r="X1344" s="6" t="s">
        <v>257</v>
      </c>
      <c r="Y1344" s="6" t="s">
        <v>162</v>
      </c>
      <c r="Z1344" s="6" t="s">
        <v>165</v>
      </c>
      <c r="AA1344" s="6" t="s">
        <v>262</v>
      </c>
      <c r="AB1344" s="6" t="s">
        <v>171</v>
      </c>
      <c r="AC1344" s="6" t="s">
        <v>174</v>
      </c>
      <c r="AD1344" s="6" t="s">
        <v>175</v>
      </c>
      <c r="AE1344" s="6" t="s">
        <v>271</v>
      </c>
      <c r="AF1344" s="6" t="s">
        <v>181</v>
      </c>
      <c r="AG1344" s="6" t="s">
        <v>182</v>
      </c>
      <c r="AH1344" s="7"/>
      <c r="AI1344" s="7"/>
      <c r="AJ1344" s="7"/>
      <c r="AK1344" s="7"/>
      <c r="AL1344" s="7"/>
      <c r="AM1344" s="7"/>
      <c r="AN1344" s="7"/>
      <c r="AO1344" s="7"/>
      <c r="AP1344" s="7"/>
      <c r="AQ1344" s="7"/>
      <c r="AR1344" s="7"/>
      <c r="AS1344" s="7"/>
      <c r="AT1344" s="7"/>
      <c r="AU1344" s="7"/>
      <c r="AV1344" s="7"/>
      <c r="AW1344" s="7"/>
      <c r="AX1344" s="7"/>
      <c r="AY1344" s="7"/>
      <c r="AZ1344" s="7"/>
      <c r="BA1344" s="7"/>
      <c r="BB1344" s="7"/>
      <c r="BC1344" s="7"/>
      <c r="BD1344" s="7"/>
      <c r="BE1344" s="7"/>
      <c r="BF1344" s="7"/>
      <c r="BG1344" s="7"/>
      <c r="BH1344" s="7"/>
      <c r="BI1344" s="7"/>
      <c r="BJ1344" s="7"/>
      <c r="BK1344" s="7"/>
    </row>
    <row r="1345" ht="22.5" customHeight="1">
      <c r="A1345" s="4">
        <v>46229.973355381946</v>
      </c>
      <c r="B1345" s="5">
        <v>0.0</v>
      </c>
      <c r="C1345" s="6" t="s">
        <v>114</v>
      </c>
      <c r="D1345" s="6" t="s">
        <v>2607</v>
      </c>
      <c r="E1345" s="6" t="s">
        <v>2608</v>
      </c>
      <c r="F1345" s="6">
        <v>6.9070500022E10</v>
      </c>
      <c r="G1345" s="6" t="s">
        <v>4580</v>
      </c>
      <c r="H1345" s="7"/>
      <c r="I1345" s="6" t="s">
        <v>12636</v>
      </c>
      <c r="J1345" s="6" t="s">
        <v>9036</v>
      </c>
      <c r="K1345" s="6" t="s">
        <v>12637</v>
      </c>
      <c r="L1345" s="6" t="s">
        <v>12638</v>
      </c>
      <c r="M1345" s="6" t="s">
        <v>12639</v>
      </c>
      <c r="N1345" s="7"/>
      <c r="O1345" s="6" t="s">
        <v>12640</v>
      </c>
      <c r="P1345" s="6" t="s">
        <v>12641</v>
      </c>
      <c r="Q1345" s="6" t="s">
        <v>12642</v>
      </c>
      <c r="R1345" s="6" t="s">
        <v>257</v>
      </c>
      <c r="S1345" s="6" t="s">
        <v>147</v>
      </c>
      <c r="T1345" s="6" t="s">
        <v>516</v>
      </c>
      <c r="U1345" s="6" t="s">
        <v>686</v>
      </c>
      <c r="V1345" s="6" t="s">
        <v>246</v>
      </c>
      <c r="W1345" s="6" t="s">
        <v>158</v>
      </c>
      <c r="X1345" s="6" t="s">
        <v>250</v>
      </c>
      <c r="Y1345" s="6" t="s">
        <v>9427</v>
      </c>
      <c r="Z1345" s="6" t="s">
        <v>152</v>
      </c>
      <c r="AA1345" s="6" t="s">
        <v>641</v>
      </c>
      <c r="AB1345" s="6" t="s">
        <v>1266</v>
      </c>
      <c r="AC1345" s="6" t="s">
        <v>174</v>
      </c>
      <c r="AD1345" s="6" t="s">
        <v>641</v>
      </c>
      <c r="AE1345" s="6" t="s">
        <v>1211</v>
      </c>
      <c r="AF1345" s="6" t="s">
        <v>174</v>
      </c>
      <c r="AG1345" s="6" t="s">
        <v>182</v>
      </c>
      <c r="AH1345" s="7"/>
      <c r="AI1345" s="7"/>
      <c r="AJ1345" s="7"/>
      <c r="AK1345" s="7"/>
      <c r="AL1345" s="7"/>
      <c r="AM1345" s="7"/>
      <c r="AN1345" s="7"/>
      <c r="AO1345" s="7"/>
      <c r="AP1345" s="7"/>
      <c r="AQ1345" s="7"/>
      <c r="AR1345" s="7"/>
      <c r="AS1345" s="7"/>
      <c r="AT1345" s="7"/>
      <c r="AU1345" s="7"/>
      <c r="AV1345" s="7"/>
      <c r="AW1345" s="7"/>
      <c r="AX1345" s="7"/>
      <c r="AY1345" s="7"/>
      <c r="AZ1345" s="7"/>
      <c r="BA1345" s="7"/>
      <c r="BB1345" s="7"/>
      <c r="BC1345" s="7"/>
      <c r="BD1345" s="7"/>
      <c r="BE1345" s="7"/>
      <c r="BF1345" s="7"/>
      <c r="BG1345" s="7"/>
      <c r="BH1345" s="7"/>
      <c r="BI1345" s="7"/>
      <c r="BJ1345" s="7"/>
      <c r="BK1345" s="7"/>
    </row>
    <row r="1346" ht="22.5" customHeight="1">
      <c r="A1346" s="4">
        <v>46229.99768313658</v>
      </c>
      <c r="B1346" s="5">
        <v>0.0</v>
      </c>
      <c r="C1346" s="6" t="s">
        <v>114</v>
      </c>
      <c r="D1346" s="6" t="s">
        <v>2611</v>
      </c>
      <c r="E1346" s="6" t="s">
        <v>2613</v>
      </c>
      <c r="F1346" s="6">
        <v>6.9070500489E10</v>
      </c>
      <c r="G1346" s="6" t="s">
        <v>310</v>
      </c>
      <c r="H1346" s="7"/>
      <c r="I1346" s="6" t="s">
        <v>3066</v>
      </c>
      <c r="J1346" s="6" t="s">
        <v>12643</v>
      </c>
      <c r="K1346" s="6" t="s">
        <v>12644</v>
      </c>
      <c r="L1346" s="6" t="s">
        <v>12645</v>
      </c>
      <c r="M1346" s="6" t="s">
        <v>3265</v>
      </c>
      <c r="N1346" s="7"/>
      <c r="O1346" s="6" t="s">
        <v>12646</v>
      </c>
      <c r="P1346" s="6" t="s">
        <v>12647</v>
      </c>
      <c r="Q1346" s="6" t="s">
        <v>12648</v>
      </c>
      <c r="R1346" s="6" t="s">
        <v>257</v>
      </c>
      <c r="S1346" s="6" t="s">
        <v>147</v>
      </c>
      <c r="T1346" s="6" t="s">
        <v>257</v>
      </c>
      <c r="U1346" s="6" t="s">
        <v>252</v>
      </c>
      <c r="V1346" s="6" t="s">
        <v>246</v>
      </c>
      <c r="W1346" s="6" t="s">
        <v>158</v>
      </c>
      <c r="X1346" s="6" t="s">
        <v>458</v>
      </c>
      <c r="Y1346" s="6" t="s">
        <v>162</v>
      </c>
      <c r="Z1346" s="6" t="s">
        <v>165</v>
      </c>
      <c r="AA1346" s="6" t="s">
        <v>262</v>
      </c>
      <c r="AB1346" s="6" t="s">
        <v>171</v>
      </c>
      <c r="AC1346" s="6" t="s">
        <v>1210</v>
      </c>
      <c r="AD1346" s="6" t="s">
        <v>1723</v>
      </c>
      <c r="AE1346" s="6" t="s">
        <v>271</v>
      </c>
      <c r="AF1346" s="6" t="s">
        <v>181</v>
      </c>
      <c r="AG1346" s="6" t="s">
        <v>182</v>
      </c>
      <c r="AH1346" s="7"/>
      <c r="AI1346" s="7"/>
      <c r="AJ1346" s="7"/>
      <c r="AK1346" s="7"/>
      <c r="AL1346" s="7"/>
      <c r="AM1346" s="7"/>
      <c r="AN1346" s="7"/>
      <c r="AO1346" s="7"/>
      <c r="AP1346" s="7"/>
      <c r="AQ1346" s="7"/>
      <c r="AR1346" s="7"/>
      <c r="AS1346" s="7"/>
      <c r="AT1346" s="7"/>
      <c r="AU1346" s="7"/>
      <c r="AV1346" s="7"/>
      <c r="AW1346" s="7"/>
      <c r="AX1346" s="7"/>
      <c r="AY1346" s="7"/>
      <c r="AZ1346" s="7"/>
      <c r="BA1346" s="7"/>
      <c r="BB1346" s="7"/>
      <c r="BC1346" s="7"/>
      <c r="BD1346" s="7"/>
      <c r="BE1346" s="7"/>
      <c r="BF1346" s="7"/>
      <c r="BG1346" s="7"/>
      <c r="BH1346" s="7"/>
      <c r="BI1346" s="7"/>
      <c r="BJ1346" s="7"/>
      <c r="BK1346" s="7"/>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9.0"/>
    <col customWidth="1" min="3" max="3" width="14.63"/>
    <col customWidth="1" min="4" max="4" width="12.0"/>
    <col customWidth="1" min="5" max="5" width="12.13"/>
    <col customWidth="1" min="6" max="6" width="8.75"/>
    <col customWidth="1" min="7" max="7" width="9.88"/>
    <col customWidth="1" min="8" max="8" width="15.88"/>
  </cols>
  <sheetData>
    <row r="1">
      <c r="A1" s="1" t="s">
        <v>0</v>
      </c>
      <c r="B1" s="1" t="s">
        <v>1</v>
      </c>
      <c r="C1" s="1" t="s">
        <v>2</v>
      </c>
      <c r="D1" s="1" t="s">
        <v>3</v>
      </c>
      <c r="E1" s="1" t="s">
        <v>4</v>
      </c>
      <c r="F1" s="1" t="s">
        <v>5</v>
      </c>
      <c r="G1" s="1" t="s">
        <v>6</v>
      </c>
      <c r="H1" s="1" t="s">
        <v>7</v>
      </c>
    </row>
    <row r="2">
      <c r="A2" s="2">
        <f t="array" ref="A2:A1346">TOCOL({D2:D1640; E2:E1640}, 1)</f>
        <v>69070509428</v>
      </c>
      <c r="B2" s="2" t="str">
        <f t="array" ref="B2:B1640">IF(A2:A1640="", "", IFERROR(VLOOKUP(A2:A1640, {'การตอบแบบฟอร์ม 1'!F:F, 'การตอบแบบฟอร์ม 1'!D:D}, 2, FALSE), IFERROR(VLOOKUP(A2:A1640, {'การตอบแบบฟอร์ม 1'!AJ:AJ, 'การตอบแบบฟอร์ม 1'!AH:AH}, 2, FALSE), "")))</f>
        <v>ชนาภัทร</v>
      </c>
      <c r="C2" s="2" t="str">
        <f t="array" ref="C2:C1640">IF(A2:A1640="", "", IFERROR(VLOOKUP(A2:A1640, {'การตอบแบบฟอร์ม 1'!F:F, 'การตอบแบบฟอร์ม 1'!E:E}, 2, FALSE), IFERROR(VLOOKUP(A2:A1640, {'การตอบแบบฟอร์ม 1'!AJ:AJ, 'การตอบแบบฟอร์ม 1'!AI:AI}, 2, FALSE), "")))</f>
        <v>บุญสมสวัสดิ์</v>
      </c>
      <c r="D2" s="2">
        <f>IFERROR(__xludf.DUMMYFUNCTION("FILTER('การตอบแบบฟอร์ม 1'!F2:F1640, 'การตอบแบบฟอร์ม 1'!F2:F1640 &lt;&gt; """")"),6.9070509428E10)</f>
        <v>69070509428</v>
      </c>
      <c r="E2" s="2">
        <f>IFERROR(__xludf.DUMMYFUNCTION("FILTER('การตอบแบบฟอร์ม 1'!AJ2:AJ1640, 'การตอบแบบฟอร์ม 1'!AJ2:AJ1640 &lt;&gt; """")"),6.9070503473E10)</f>
        <v>69070503473</v>
      </c>
      <c r="F2" s="2">
        <f t="shared" ref="F2:G2" si="1">COUNTA(D2:D1640)</f>
        <v>1139</v>
      </c>
      <c r="G2" s="2">
        <f t="shared" si="1"/>
        <v>206</v>
      </c>
      <c r="H2" s="2">
        <f>COUNTIF(D2:E1640, "69070500000")</f>
        <v>0</v>
      </c>
    </row>
    <row r="3">
      <c r="A3" s="2">
        <v>6.9070501257E10</v>
      </c>
      <c r="B3" s="2" t="s">
        <v>35</v>
      </c>
      <c r="C3" s="2" t="s">
        <v>36</v>
      </c>
      <c r="D3" s="2">
        <f>IFERROR(__xludf.DUMMYFUNCTION("""COMPUTED_VALUE"""),6.9070501257E10)</f>
        <v>69070501257</v>
      </c>
      <c r="E3" s="2">
        <f>IFERROR(__xludf.DUMMYFUNCTION("""COMPUTED_VALUE"""),6.9070503421E10)</f>
        <v>69070503421</v>
      </c>
    </row>
    <row r="4">
      <c r="A4" s="2">
        <v>6.9070500438E10</v>
      </c>
      <c r="B4" s="2" t="s">
        <v>39</v>
      </c>
      <c r="C4" s="2" t="s">
        <v>41</v>
      </c>
      <c r="D4" s="2">
        <f>IFERROR(__xludf.DUMMYFUNCTION("""COMPUTED_VALUE"""),6.9070500438E10)</f>
        <v>69070500438</v>
      </c>
      <c r="E4" s="2">
        <f>IFERROR(__xludf.DUMMYFUNCTION("""COMPUTED_VALUE"""),6.9070503437E10)</f>
        <v>69070503437</v>
      </c>
    </row>
    <row r="5">
      <c r="A5" s="2">
        <v>6.9070500488E10</v>
      </c>
      <c r="B5" s="2" t="s">
        <v>44</v>
      </c>
      <c r="C5" s="2" t="s">
        <v>45</v>
      </c>
      <c r="D5" s="2">
        <f>IFERROR(__xludf.DUMMYFUNCTION("""COMPUTED_VALUE"""),6.9070500488E10)</f>
        <v>69070500488</v>
      </c>
      <c r="E5" s="2">
        <f>IFERROR(__xludf.DUMMYFUNCTION("""COMPUTED_VALUE"""),6.9070509214E10)</f>
        <v>69070509214</v>
      </c>
    </row>
    <row r="6">
      <c r="A6" s="2">
        <v>6.9070500473E10</v>
      </c>
      <c r="B6" s="2" t="s">
        <v>48</v>
      </c>
      <c r="C6" s="2" t="s">
        <v>49</v>
      </c>
      <c r="D6" s="2">
        <f>IFERROR(__xludf.DUMMYFUNCTION("""COMPUTED_VALUE"""),6.9070500473E10)</f>
        <v>69070500473</v>
      </c>
      <c r="E6" s="2">
        <f>IFERROR(__xludf.DUMMYFUNCTION("""COMPUTED_VALUE"""),6.9070503486E10)</f>
        <v>69070503486</v>
      </c>
    </row>
    <row r="7">
      <c r="A7" s="2">
        <v>6.9070509831E10</v>
      </c>
      <c r="B7" s="2" t="s">
        <v>52</v>
      </c>
      <c r="C7" s="2" t="s">
        <v>53</v>
      </c>
      <c r="D7" s="2">
        <f>IFERROR(__xludf.DUMMYFUNCTION("""COMPUTED_VALUE"""),6.9070509831E10)</f>
        <v>69070509831</v>
      </c>
      <c r="E7" s="2">
        <f>IFERROR(__xludf.DUMMYFUNCTION("""COMPUTED_VALUE"""),6.9070503422E10)</f>
        <v>69070503422</v>
      </c>
    </row>
    <row r="8">
      <c r="A8" s="2">
        <v>6.907050047E10</v>
      </c>
      <c r="B8" s="2" t="s">
        <v>56</v>
      </c>
      <c r="C8" s="2" t="s">
        <v>57</v>
      </c>
      <c r="D8" s="2">
        <f>IFERROR(__xludf.DUMMYFUNCTION("""COMPUTED_VALUE"""),6.907050047E10)</f>
        <v>69070500470</v>
      </c>
      <c r="E8" s="2">
        <f>IFERROR(__xludf.DUMMYFUNCTION("""COMPUTED_VALUE"""),6.9070503408E10)</f>
        <v>69070503408</v>
      </c>
    </row>
    <row r="9">
      <c r="A9" s="2">
        <v>6.9070506445E10</v>
      </c>
      <c r="B9" s="2" t="s">
        <v>60</v>
      </c>
      <c r="C9" s="2" t="s">
        <v>61</v>
      </c>
      <c r="D9" s="2">
        <f>IFERROR(__xludf.DUMMYFUNCTION("""COMPUTED_VALUE"""),6.9070506445E10)</f>
        <v>69070506445</v>
      </c>
      <c r="E9" s="2">
        <f>IFERROR(__xludf.DUMMYFUNCTION("""COMPUTED_VALUE"""),6.9070503426E10)</f>
        <v>69070503426</v>
      </c>
    </row>
    <row r="10">
      <c r="A10" s="2">
        <v>6.9070502818E10</v>
      </c>
      <c r="B10" s="2" t="s">
        <v>64</v>
      </c>
      <c r="C10" s="2" t="s">
        <v>65</v>
      </c>
      <c r="D10" s="2">
        <f>IFERROR(__xludf.DUMMYFUNCTION("""COMPUTED_VALUE"""),6.9070502818E10)</f>
        <v>69070502818</v>
      </c>
      <c r="E10" s="2">
        <f>IFERROR(__xludf.DUMMYFUNCTION("""COMPUTED_VALUE"""),6.9070503495E10)</f>
        <v>69070503495</v>
      </c>
    </row>
    <row r="11">
      <c r="A11" s="2">
        <v>6.9070508217E10</v>
      </c>
      <c r="B11" s="2" t="s">
        <v>68</v>
      </c>
      <c r="C11" s="2" t="s">
        <v>69</v>
      </c>
      <c r="D11" s="2">
        <f>IFERROR(__xludf.DUMMYFUNCTION("""COMPUTED_VALUE"""),6.9070508217E10)</f>
        <v>69070508217</v>
      </c>
      <c r="E11" s="2">
        <f>IFERROR(__xludf.DUMMYFUNCTION("""COMPUTED_VALUE"""),6.907050901E10)</f>
        <v>69070509010</v>
      </c>
    </row>
    <row r="12">
      <c r="A12" s="2">
        <v>6.9070500881E10</v>
      </c>
      <c r="B12" s="2" t="s">
        <v>71</v>
      </c>
      <c r="C12" s="2" t="s">
        <v>73</v>
      </c>
      <c r="D12" s="2">
        <f>IFERROR(__xludf.DUMMYFUNCTION("""COMPUTED_VALUE"""),6.9070500881E10)</f>
        <v>69070500881</v>
      </c>
      <c r="E12" s="2">
        <f>IFERROR(__xludf.DUMMYFUNCTION("""COMPUTED_VALUE"""),6.9070503413E10)</f>
        <v>69070503413</v>
      </c>
    </row>
    <row r="13">
      <c r="A13" s="2">
        <v>6.9070502406E10</v>
      </c>
      <c r="B13" s="2" t="s">
        <v>75</v>
      </c>
      <c r="C13" s="2" t="s">
        <v>76</v>
      </c>
      <c r="D13" s="2">
        <f>IFERROR(__xludf.DUMMYFUNCTION("""COMPUTED_VALUE"""),6.9070502406E10)</f>
        <v>69070502406</v>
      </c>
      <c r="E13" s="2">
        <f>IFERROR(__xludf.DUMMYFUNCTION("""COMPUTED_VALUE"""),6.9070507846E10)</f>
        <v>69070507846</v>
      </c>
    </row>
    <row r="14">
      <c r="A14" s="2">
        <v>6.9070509451E10</v>
      </c>
      <c r="B14" s="2" t="s">
        <v>79</v>
      </c>
      <c r="C14" s="2" t="s">
        <v>80</v>
      </c>
      <c r="D14" s="2">
        <f>IFERROR(__xludf.DUMMYFUNCTION("""COMPUTED_VALUE"""),6.9070509451E10)</f>
        <v>69070509451</v>
      </c>
      <c r="E14" s="2">
        <f>IFERROR(__xludf.DUMMYFUNCTION("""COMPUTED_VALUE"""),6.9070503487E10)</f>
        <v>69070503487</v>
      </c>
    </row>
    <row r="15">
      <c r="A15" s="2">
        <v>6.9070500471E10</v>
      </c>
      <c r="B15" s="2" t="s">
        <v>83</v>
      </c>
      <c r="C15" s="2" t="s">
        <v>84</v>
      </c>
      <c r="D15" s="2">
        <f>IFERROR(__xludf.DUMMYFUNCTION("""COMPUTED_VALUE"""),6.9070500471E10)</f>
        <v>69070500471</v>
      </c>
      <c r="E15" s="2">
        <f>IFERROR(__xludf.DUMMYFUNCTION("""COMPUTED_VALUE"""),6.907050341E10)</f>
        <v>69070503410</v>
      </c>
    </row>
    <row r="16">
      <c r="A16" s="2">
        <v>6.9070502207E10</v>
      </c>
      <c r="B16" s="2" t="s">
        <v>86</v>
      </c>
      <c r="C16" s="2" t="s">
        <v>88</v>
      </c>
      <c r="D16" s="2">
        <f>IFERROR(__xludf.DUMMYFUNCTION("""COMPUTED_VALUE"""),6.9070502207E10)</f>
        <v>69070502207</v>
      </c>
      <c r="E16" s="2">
        <f>IFERROR(__xludf.DUMMYFUNCTION("""COMPUTED_VALUE"""),6.9070503456E10)</f>
        <v>69070503456</v>
      </c>
    </row>
    <row r="17">
      <c r="A17" s="2">
        <v>6.9070500292E10</v>
      </c>
      <c r="B17" s="2" t="s">
        <v>90</v>
      </c>
      <c r="C17" s="2" t="s">
        <v>91</v>
      </c>
      <c r="D17" s="2">
        <f>IFERROR(__xludf.DUMMYFUNCTION("""COMPUTED_VALUE"""),6.9070500292E10)</f>
        <v>69070500292</v>
      </c>
      <c r="E17" s="2">
        <f>IFERROR(__xludf.DUMMYFUNCTION("""COMPUTED_VALUE"""),6.9070509008E10)</f>
        <v>69070509008</v>
      </c>
    </row>
    <row r="18">
      <c r="A18" s="2">
        <v>6.9070502212E10</v>
      </c>
      <c r="B18" s="2" t="s">
        <v>94</v>
      </c>
      <c r="C18" s="2" t="s">
        <v>95</v>
      </c>
      <c r="D18" s="2">
        <f>IFERROR(__xludf.DUMMYFUNCTION("""COMPUTED_VALUE"""),6.9070502212E10)</f>
        <v>69070502212</v>
      </c>
      <c r="E18" s="2">
        <f>IFERROR(__xludf.DUMMYFUNCTION("""COMPUTED_VALUE"""),6.9070503438E10)</f>
        <v>69070503438</v>
      </c>
    </row>
    <row r="19">
      <c r="A19" s="2">
        <v>6.907050251E10</v>
      </c>
      <c r="B19" s="2" t="s">
        <v>97</v>
      </c>
      <c r="C19" s="2" t="s">
        <v>98</v>
      </c>
      <c r="D19" s="2">
        <f>IFERROR(__xludf.DUMMYFUNCTION("""COMPUTED_VALUE"""),6.907050251E10)</f>
        <v>69070502510</v>
      </c>
      <c r="E19" s="2">
        <f>IFERROR(__xludf.DUMMYFUNCTION("""COMPUTED_VALUE"""),6.9070507811E10)</f>
        <v>69070507811</v>
      </c>
    </row>
    <row r="20">
      <c r="A20" s="2">
        <v>6.9070500311E10</v>
      </c>
      <c r="B20" s="2" t="s">
        <v>101</v>
      </c>
      <c r="C20" s="2" t="s">
        <v>102</v>
      </c>
      <c r="D20" s="2">
        <f>IFERROR(__xludf.DUMMYFUNCTION("""COMPUTED_VALUE"""),6.9070500311E10)</f>
        <v>69070500311</v>
      </c>
      <c r="E20" s="2">
        <f>IFERROR(__xludf.DUMMYFUNCTION("""COMPUTED_VALUE"""),6.9070503403E10)</f>
        <v>69070503403</v>
      </c>
    </row>
    <row r="21">
      <c r="A21" s="2">
        <v>6.9070502801E10</v>
      </c>
      <c r="B21" s="2" t="s">
        <v>104</v>
      </c>
      <c r="C21" s="2" t="s">
        <v>105</v>
      </c>
      <c r="D21" s="2">
        <f>IFERROR(__xludf.DUMMYFUNCTION("""COMPUTED_VALUE"""),6.9070502801E10)</f>
        <v>69070502801</v>
      </c>
      <c r="E21" s="2">
        <f>IFERROR(__xludf.DUMMYFUNCTION("""COMPUTED_VALUE"""),6.907050343E10)</f>
        <v>69070503430</v>
      </c>
    </row>
    <row r="22">
      <c r="A22" s="2">
        <v>6.9070500835E10</v>
      </c>
      <c r="B22" s="2" t="s">
        <v>107</v>
      </c>
      <c r="C22" s="2" t="s">
        <v>108</v>
      </c>
      <c r="D22" s="2">
        <f>IFERROR(__xludf.DUMMYFUNCTION("""COMPUTED_VALUE"""),6.9070500835E10)</f>
        <v>69070500835</v>
      </c>
      <c r="E22" s="2">
        <f>IFERROR(__xludf.DUMMYFUNCTION("""COMPUTED_VALUE"""),6.9070509007E10)</f>
        <v>69070509007</v>
      </c>
    </row>
    <row r="23">
      <c r="A23" s="2">
        <v>6.9070502814E10</v>
      </c>
      <c r="B23" s="2" t="s">
        <v>109</v>
      </c>
      <c r="C23" s="2" t="s">
        <v>110</v>
      </c>
      <c r="D23" s="2">
        <f>IFERROR(__xludf.DUMMYFUNCTION("""COMPUTED_VALUE"""),6.9070502814E10)</f>
        <v>69070502814</v>
      </c>
      <c r="E23" s="2">
        <f>IFERROR(__xludf.DUMMYFUNCTION("""COMPUTED_VALUE"""),6.9070503468E10)</f>
        <v>69070503468</v>
      </c>
    </row>
    <row r="24">
      <c r="A24" s="2">
        <v>6.9070501033E10</v>
      </c>
      <c r="B24" s="2" t="s">
        <v>111</v>
      </c>
      <c r="C24" s="2" t="s">
        <v>112</v>
      </c>
      <c r="D24" s="2">
        <f>IFERROR(__xludf.DUMMYFUNCTION("""COMPUTED_VALUE"""),6.9070501033E10)</f>
        <v>69070501033</v>
      </c>
      <c r="E24" s="2">
        <f>IFERROR(__xludf.DUMMYFUNCTION("""COMPUTED_VALUE"""),6.9070507838E10)</f>
        <v>69070507838</v>
      </c>
    </row>
    <row r="25">
      <c r="A25" s="2">
        <v>6.9070500457E10</v>
      </c>
      <c r="B25" s="2" t="s">
        <v>113</v>
      </c>
      <c r="C25" s="2" t="s">
        <v>115</v>
      </c>
      <c r="D25" s="2">
        <f>IFERROR(__xludf.DUMMYFUNCTION("""COMPUTED_VALUE"""),6.9070500457E10)</f>
        <v>69070500457</v>
      </c>
      <c r="E25" s="2">
        <f>IFERROR(__xludf.DUMMYFUNCTION("""COMPUTED_VALUE"""),6.9070503451E10)</f>
        <v>69070503451</v>
      </c>
    </row>
    <row r="26">
      <c r="A26" s="2">
        <v>6.9070505237E10</v>
      </c>
      <c r="B26" s="2" t="s">
        <v>117</v>
      </c>
      <c r="C26" s="2" t="s">
        <v>118</v>
      </c>
      <c r="D26" s="2">
        <f>IFERROR(__xludf.DUMMYFUNCTION("""COMPUTED_VALUE"""),6.9070505237E10)</f>
        <v>69070505237</v>
      </c>
      <c r="E26" s="2">
        <f>IFERROR(__xludf.DUMMYFUNCTION("""COMPUTED_VALUE"""),6.9070503476E10)</f>
        <v>69070503476</v>
      </c>
    </row>
    <row r="27">
      <c r="A27" s="2">
        <v>6.9070500414E10</v>
      </c>
      <c r="B27" s="2" t="s">
        <v>120</v>
      </c>
      <c r="C27" s="2" t="s">
        <v>121</v>
      </c>
      <c r="D27" s="2">
        <f>IFERROR(__xludf.DUMMYFUNCTION("""COMPUTED_VALUE"""),6.9070500414E10)</f>
        <v>69070500414</v>
      </c>
      <c r="E27" s="2">
        <f>IFERROR(__xludf.DUMMYFUNCTION("""COMPUTED_VALUE"""),6.9070509218E10)</f>
        <v>69070509218</v>
      </c>
    </row>
    <row r="28">
      <c r="A28" s="2">
        <v>6.907050644E10</v>
      </c>
      <c r="B28" s="2" t="s">
        <v>123</v>
      </c>
      <c r="C28" s="2" t="s">
        <v>124</v>
      </c>
      <c r="D28" s="2">
        <f>IFERROR(__xludf.DUMMYFUNCTION("""COMPUTED_VALUE"""),6.907050644E10)</f>
        <v>69070506440</v>
      </c>
      <c r="E28" s="2">
        <f>IFERROR(__xludf.DUMMYFUNCTION("""COMPUTED_VALUE"""),6.9070503474E10)</f>
        <v>69070503474</v>
      </c>
    </row>
    <row r="29">
      <c r="A29" s="2">
        <v>6.9070505215E10</v>
      </c>
      <c r="B29" s="2" t="s">
        <v>126</v>
      </c>
      <c r="C29" s="2" t="s">
        <v>127</v>
      </c>
      <c r="D29" s="2">
        <f>IFERROR(__xludf.DUMMYFUNCTION("""COMPUTED_VALUE"""),6.9070505215E10)</f>
        <v>69070505215</v>
      </c>
      <c r="E29" s="2">
        <f>IFERROR(__xludf.DUMMYFUNCTION("""COMPUTED_VALUE"""),6.9070509212E10)</f>
        <v>69070509212</v>
      </c>
    </row>
    <row r="30">
      <c r="A30" s="2">
        <v>6.9070502844E10</v>
      </c>
      <c r="B30" s="2" t="s">
        <v>129</v>
      </c>
      <c r="C30" s="2" t="s">
        <v>130</v>
      </c>
      <c r="D30" s="2">
        <f>IFERROR(__xludf.DUMMYFUNCTION("""COMPUTED_VALUE"""),6.9070502844E10)</f>
        <v>69070502844</v>
      </c>
      <c r="E30" s="2">
        <f>IFERROR(__xludf.DUMMYFUNCTION("""COMPUTED_VALUE"""),6.9070507827E10)</f>
        <v>69070507827</v>
      </c>
    </row>
    <row r="31">
      <c r="A31" s="2">
        <v>6.9070502503E10</v>
      </c>
      <c r="B31" s="2" t="s">
        <v>134</v>
      </c>
      <c r="C31" s="2" t="s">
        <v>135</v>
      </c>
      <c r="D31" s="2">
        <f>IFERROR(__xludf.DUMMYFUNCTION("""COMPUTED_VALUE"""),6.9070502503E10)</f>
        <v>69070502503</v>
      </c>
      <c r="E31" s="2">
        <f>IFERROR(__xludf.DUMMYFUNCTION("""COMPUTED_VALUE"""),6.9070503482E10)</f>
        <v>69070503482</v>
      </c>
    </row>
    <row r="32">
      <c r="A32" s="2">
        <v>6.9070506433E10</v>
      </c>
      <c r="B32" s="2" t="s">
        <v>136</v>
      </c>
      <c r="C32" s="2" t="s">
        <v>137</v>
      </c>
      <c r="D32" s="2">
        <f>IFERROR(__xludf.DUMMYFUNCTION("""COMPUTED_VALUE"""),6.9070506433E10)</f>
        <v>69070506433</v>
      </c>
      <c r="E32" s="2">
        <f>IFERROR(__xludf.DUMMYFUNCTION("""COMPUTED_VALUE"""),6.9070509217E10)</f>
        <v>69070509217</v>
      </c>
    </row>
    <row r="33">
      <c r="A33" s="2">
        <v>6.9070502522E10</v>
      </c>
      <c r="B33" s="2" t="s">
        <v>140</v>
      </c>
      <c r="C33" s="2" t="s">
        <v>141</v>
      </c>
      <c r="D33" s="2">
        <f>IFERROR(__xludf.DUMMYFUNCTION("""COMPUTED_VALUE"""),6.9070502522E10)</f>
        <v>69070502522</v>
      </c>
      <c r="E33" s="2">
        <f>IFERROR(__xludf.DUMMYFUNCTION("""COMPUTED_VALUE"""),6.9070504006E10)</f>
        <v>69070504006</v>
      </c>
    </row>
    <row r="34">
      <c r="A34" s="2">
        <v>6.9070508229E10</v>
      </c>
      <c r="B34" s="2" t="s">
        <v>143</v>
      </c>
      <c r="C34" s="2" t="s">
        <v>144</v>
      </c>
      <c r="D34" s="2">
        <f>IFERROR(__xludf.DUMMYFUNCTION("""COMPUTED_VALUE"""),6.9070508229E10)</f>
        <v>69070508229</v>
      </c>
      <c r="E34" s="2">
        <f>IFERROR(__xludf.DUMMYFUNCTION("""COMPUTED_VALUE"""),6.9070509045E10)</f>
        <v>69070509045</v>
      </c>
    </row>
    <row r="35">
      <c r="A35" s="2">
        <v>6.9070500465E10</v>
      </c>
      <c r="B35" s="2" t="s">
        <v>146</v>
      </c>
      <c r="C35" s="2" t="s">
        <v>148</v>
      </c>
      <c r="D35" s="2">
        <f>IFERROR(__xludf.DUMMYFUNCTION("""COMPUTED_VALUE"""),6.9070500465E10)</f>
        <v>69070500465</v>
      </c>
      <c r="E35" s="2">
        <f>IFERROR(__xludf.DUMMYFUNCTION("""COMPUTED_VALUE"""),6.9070507826E10)</f>
        <v>69070507826</v>
      </c>
    </row>
    <row r="36">
      <c r="A36" s="2">
        <v>6.9070500405E10</v>
      </c>
      <c r="B36" s="2" t="s">
        <v>150</v>
      </c>
      <c r="C36" s="2" t="s">
        <v>151</v>
      </c>
      <c r="D36" s="2">
        <f>IFERROR(__xludf.DUMMYFUNCTION("""COMPUTED_VALUE"""),6.9070500405E10)</f>
        <v>69070500405</v>
      </c>
      <c r="E36" s="2">
        <f>IFERROR(__xludf.DUMMYFUNCTION("""COMPUTED_VALUE"""),6.9070503471E10)</f>
        <v>69070503471</v>
      </c>
    </row>
    <row r="37">
      <c r="A37" s="2">
        <v>6.9070501018E10</v>
      </c>
      <c r="B37" s="2" t="s">
        <v>153</v>
      </c>
      <c r="C37" s="2" t="s">
        <v>154</v>
      </c>
      <c r="D37" s="2">
        <f>IFERROR(__xludf.DUMMYFUNCTION("""COMPUTED_VALUE"""),6.9070501018E10)</f>
        <v>69070501018</v>
      </c>
      <c r="E37" s="2">
        <f>IFERROR(__xludf.DUMMYFUNCTION("""COMPUTED_VALUE"""),6.9070509026E10)</f>
        <v>69070509026</v>
      </c>
    </row>
    <row r="38">
      <c r="A38" s="2">
        <v>6.9070500455E10</v>
      </c>
      <c r="B38" s="2" t="s">
        <v>156</v>
      </c>
      <c r="C38" s="2" t="s">
        <v>157</v>
      </c>
      <c r="D38" s="2">
        <f>IFERROR(__xludf.DUMMYFUNCTION("""COMPUTED_VALUE"""),6.9070500455E10)</f>
        <v>69070500455</v>
      </c>
      <c r="E38" s="2">
        <f>IFERROR(__xludf.DUMMYFUNCTION("""COMPUTED_VALUE"""),6.9070507822E10)</f>
        <v>69070507822</v>
      </c>
    </row>
    <row r="39">
      <c r="A39" s="2">
        <v>6.9070509456E10</v>
      </c>
      <c r="B39" s="2" t="s">
        <v>159</v>
      </c>
      <c r="C39" s="2" t="s">
        <v>160</v>
      </c>
      <c r="D39" s="2">
        <f>IFERROR(__xludf.DUMMYFUNCTION("""COMPUTED_VALUE"""),6.9070509456E10)</f>
        <v>69070509456</v>
      </c>
      <c r="E39" s="2">
        <f>IFERROR(__xludf.DUMMYFUNCTION("""COMPUTED_VALUE"""),6.9070503429E10)</f>
        <v>69070503429</v>
      </c>
    </row>
    <row r="40">
      <c r="A40" s="2">
        <v>6.9070500285E10</v>
      </c>
      <c r="B40" s="2" t="s">
        <v>163</v>
      </c>
      <c r="C40" s="2" t="s">
        <v>164</v>
      </c>
      <c r="D40" s="2">
        <f>IFERROR(__xludf.DUMMYFUNCTION("""COMPUTED_VALUE"""),6.9070500285E10)</f>
        <v>69070500285</v>
      </c>
      <c r="E40" s="2">
        <f>IFERROR(__xludf.DUMMYFUNCTION("""COMPUTED_VALUE"""),6.9070503484E10)</f>
        <v>69070503484</v>
      </c>
    </row>
    <row r="41">
      <c r="A41" s="2">
        <v>6.9070500822E10</v>
      </c>
      <c r="B41" s="2" t="s">
        <v>166</v>
      </c>
      <c r="C41" s="2" t="s">
        <v>167</v>
      </c>
      <c r="D41" s="2">
        <f>IFERROR(__xludf.DUMMYFUNCTION("""COMPUTED_VALUE"""),6.9070500822E10)</f>
        <v>69070500822</v>
      </c>
      <c r="E41" s="2">
        <f>IFERROR(__xludf.DUMMYFUNCTION("""COMPUTED_VALUE"""),6.9070509047E10)</f>
        <v>69070509047</v>
      </c>
    </row>
    <row r="42">
      <c r="A42" s="2">
        <v>6.9070505238E10</v>
      </c>
      <c r="B42" s="2" t="s">
        <v>169</v>
      </c>
      <c r="C42" s="2" t="s">
        <v>170</v>
      </c>
      <c r="D42" s="2">
        <f>IFERROR(__xludf.DUMMYFUNCTION("""COMPUTED_VALUE"""),6.9070505238E10)</f>
        <v>69070505238</v>
      </c>
      <c r="E42" s="2">
        <f>IFERROR(__xludf.DUMMYFUNCTION("""COMPUTED_VALUE"""),6.9070503448E10)</f>
        <v>69070503448</v>
      </c>
    </row>
    <row r="43">
      <c r="A43" s="2">
        <v>6.9070501061E10</v>
      </c>
      <c r="B43" s="2" t="s">
        <v>172</v>
      </c>
      <c r="C43" s="2" t="s">
        <v>173</v>
      </c>
      <c r="D43" s="2">
        <f>IFERROR(__xludf.DUMMYFUNCTION("""COMPUTED_VALUE"""),6.9070501061E10)</f>
        <v>69070501061</v>
      </c>
      <c r="E43" s="2">
        <f>IFERROR(__xludf.DUMMYFUNCTION("""COMPUTED_VALUE"""),6.9070507824E10)</f>
        <v>69070507824</v>
      </c>
    </row>
    <row r="44">
      <c r="A44" s="2">
        <v>6.9070509616E10</v>
      </c>
      <c r="B44" s="2" t="s">
        <v>176</v>
      </c>
      <c r="C44" s="2" t="s">
        <v>177</v>
      </c>
      <c r="D44" s="2">
        <f>IFERROR(__xludf.DUMMYFUNCTION("""COMPUTED_VALUE"""),6.9070509616E10)</f>
        <v>69070509616</v>
      </c>
      <c r="E44" s="2">
        <f>IFERROR(__xludf.DUMMYFUNCTION("""COMPUTED_VALUE"""),6.9070503432E10)</f>
        <v>69070503432</v>
      </c>
    </row>
    <row r="45">
      <c r="A45" s="2">
        <v>6.907050281E10</v>
      </c>
      <c r="B45" s="2" t="s">
        <v>179</v>
      </c>
      <c r="C45" s="2" t="s">
        <v>180</v>
      </c>
      <c r="D45" s="2">
        <f>IFERROR(__xludf.DUMMYFUNCTION("""COMPUTED_VALUE"""),6.907050281E10)</f>
        <v>69070502810</v>
      </c>
      <c r="E45" s="2">
        <f>IFERROR(__xludf.DUMMYFUNCTION("""COMPUTED_VALUE"""),6.9070503435E10)</f>
        <v>69070503435</v>
      </c>
    </row>
    <row r="46">
      <c r="A46" s="2">
        <v>6.9070508232E10</v>
      </c>
      <c r="B46" s="2" t="s">
        <v>183</v>
      </c>
      <c r="C46" s="2" t="s">
        <v>184</v>
      </c>
      <c r="D46" s="2">
        <f>IFERROR(__xludf.DUMMYFUNCTION("""COMPUTED_VALUE"""),6.9070508232E10)</f>
        <v>69070508232</v>
      </c>
      <c r="E46" s="2">
        <f>IFERROR(__xludf.DUMMYFUNCTION("""COMPUTED_VALUE"""),6.9070503414E10)</f>
        <v>69070503414</v>
      </c>
    </row>
    <row r="47">
      <c r="A47" s="2">
        <v>6.9070501816E10</v>
      </c>
      <c r="B47" s="2" t="s">
        <v>185</v>
      </c>
      <c r="C47" s="2" t="s">
        <v>186</v>
      </c>
      <c r="D47" s="2">
        <f>IFERROR(__xludf.DUMMYFUNCTION("""COMPUTED_VALUE"""),6.9070501816E10)</f>
        <v>69070501816</v>
      </c>
      <c r="E47" s="2">
        <f>IFERROR(__xludf.DUMMYFUNCTION("""COMPUTED_VALUE"""),6.9070503461E10)</f>
        <v>69070503461</v>
      </c>
    </row>
    <row r="48">
      <c r="A48" s="2">
        <v>6.9070509814E10</v>
      </c>
      <c r="B48" s="2" t="s">
        <v>187</v>
      </c>
      <c r="C48" s="2" t="s">
        <v>188</v>
      </c>
      <c r="D48" s="2">
        <f>IFERROR(__xludf.DUMMYFUNCTION("""COMPUTED_VALUE"""),6.9070509814E10)</f>
        <v>69070509814</v>
      </c>
      <c r="E48" s="2">
        <f>IFERROR(__xludf.DUMMYFUNCTION("""COMPUTED_VALUE"""),6.9070504007E10)</f>
        <v>69070504007</v>
      </c>
    </row>
    <row r="49">
      <c r="A49" s="2">
        <v>6.9070500844E10</v>
      </c>
      <c r="B49" s="2" t="s">
        <v>189</v>
      </c>
      <c r="C49" s="2" t="s">
        <v>190</v>
      </c>
      <c r="D49" s="2">
        <f>IFERROR(__xludf.DUMMYFUNCTION("""COMPUTED_VALUE"""),6.9070500844E10)</f>
        <v>69070500844</v>
      </c>
      <c r="E49" s="2">
        <f>IFERROR(__xludf.DUMMYFUNCTION("""COMPUTED_VALUE"""),6.9070503463E10)</f>
        <v>69070503463</v>
      </c>
    </row>
    <row r="50">
      <c r="A50" s="2">
        <v>6.9070500216E10</v>
      </c>
      <c r="B50" s="2" t="s">
        <v>191</v>
      </c>
      <c r="C50" s="2" t="s">
        <v>192</v>
      </c>
      <c r="D50" s="2">
        <f>IFERROR(__xludf.DUMMYFUNCTION("""COMPUTED_VALUE"""),6.9070500216E10)</f>
        <v>69070500216</v>
      </c>
      <c r="E50" s="2">
        <f>IFERROR(__xludf.DUMMYFUNCTION("""COMPUTED_VALUE"""),6.9070503423E10)</f>
        <v>69070503423</v>
      </c>
    </row>
    <row r="51">
      <c r="A51" s="2">
        <v>6.9070506401E10</v>
      </c>
      <c r="B51" s="2" t="s">
        <v>193</v>
      </c>
      <c r="C51" s="2" t="s">
        <v>194</v>
      </c>
      <c r="D51" s="2">
        <f>IFERROR(__xludf.DUMMYFUNCTION("""COMPUTED_VALUE"""),6.9070506401E10)</f>
        <v>69070506401</v>
      </c>
      <c r="E51" s="2">
        <f>IFERROR(__xludf.DUMMYFUNCTION("""COMPUTED_VALUE"""),6.9070507842E10)</f>
        <v>69070507842</v>
      </c>
    </row>
    <row r="52">
      <c r="A52" s="2">
        <v>6.9070502458E10</v>
      </c>
      <c r="B52" s="2" t="s">
        <v>195</v>
      </c>
      <c r="C52" s="2" t="s">
        <v>196</v>
      </c>
      <c r="D52" s="2">
        <f>IFERROR(__xludf.DUMMYFUNCTION("""COMPUTED_VALUE"""),6.9070502458E10)</f>
        <v>69070502458</v>
      </c>
      <c r="E52" s="2">
        <f>IFERROR(__xludf.DUMMYFUNCTION("""COMPUTED_VALUE"""),6.907050929E10)</f>
        <v>69070509290</v>
      </c>
    </row>
    <row r="53">
      <c r="A53" s="2">
        <v>6.9070500459E10</v>
      </c>
      <c r="B53" s="2" t="s">
        <v>197</v>
      </c>
      <c r="C53" s="2" t="s">
        <v>198</v>
      </c>
      <c r="D53" s="2">
        <f>IFERROR(__xludf.DUMMYFUNCTION("""COMPUTED_VALUE"""),6.9070500459E10)</f>
        <v>69070500459</v>
      </c>
      <c r="E53" s="2">
        <f>IFERROR(__xludf.DUMMYFUNCTION("""COMPUTED_VALUE"""),6.9070503436E10)</f>
        <v>69070503436</v>
      </c>
    </row>
    <row r="54">
      <c r="A54" s="2">
        <v>6.9070505207E10</v>
      </c>
      <c r="B54" s="2" t="s">
        <v>199</v>
      </c>
      <c r="C54" s="2" t="s">
        <v>200</v>
      </c>
      <c r="D54" s="2">
        <f>IFERROR(__xludf.DUMMYFUNCTION("""COMPUTED_VALUE"""),6.9070505207E10)</f>
        <v>69070505207</v>
      </c>
      <c r="E54" s="2">
        <f>IFERROR(__xludf.DUMMYFUNCTION("""COMPUTED_VALUE"""),6.907050348E10)</f>
        <v>69070503480</v>
      </c>
    </row>
    <row r="55">
      <c r="A55" s="2">
        <v>6.9070502201E10</v>
      </c>
      <c r="B55" s="2" t="s">
        <v>201</v>
      </c>
      <c r="C55" s="2" t="s">
        <v>202</v>
      </c>
      <c r="D55" s="2">
        <f>IFERROR(__xludf.DUMMYFUNCTION("""COMPUTED_VALUE"""),6.9070502201E10)</f>
        <v>69070502201</v>
      </c>
      <c r="E55" s="2">
        <f>IFERROR(__xludf.DUMMYFUNCTION("""COMPUTED_VALUE"""),6.9070503411E10)</f>
        <v>69070503411</v>
      </c>
    </row>
    <row r="56">
      <c r="A56" s="2">
        <v>6.9070509813E10</v>
      </c>
      <c r="B56" s="2" t="s">
        <v>203</v>
      </c>
      <c r="C56" s="2" t="s">
        <v>204</v>
      </c>
      <c r="D56" s="2">
        <f>IFERROR(__xludf.DUMMYFUNCTION("""COMPUTED_VALUE"""),6.9070509813E10)</f>
        <v>69070509813</v>
      </c>
      <c r="E56" s="2">
        <f>IFERROR(__xludf.DUMMYFUNCTION("""COMPUTED_VALUE"""),6.9070507848E10)</f>
        <v>69070507848</v>
      </c>
    </row>
    <row r="57">
      <c r="A57" s="2">
        <v>6.9070502507E10</v>
      </c>
      <c r="B57" s="2" t="s">
        <v>205</v>
      </c>
      <c r="C57" s="2" t="s">
        <v>206</v>
      </c>
      <c r="D57" s="2">
        <f>IFERROR(__xludf.DUMMYFUNCTION("""COMPUTED_VALUE"""),6.9070502507E10)</f>
        <v>69070502507</v>
      </c>
      <c r="E57" s="2">
        <f>IFERROR(__xludf.DUMMYFUNCTION("""COMPUTED_VALUE"""),6.907050783E10)</f>
        <v>69070507830</v>
      </c>
    </row>
    <row r="58">
      <c r="A58" s="2">
        <v>6.9070501005E10</v>
      </c>
      <c r="B58" s="2" t="s">
        <v>207</v>
      </c>
      <c r="C58" s="2" t="s">
        <v>208</v>
      </c>
      <c r="D58" s="2">
        <f>IFERROR(__xludf.DUMMYFUNCTION("""COMPUTED_VALUE"""),6.9070501005E10)</f>
        <v>69070501005</v>
      </c>
      <c r="E58" s="2">
        <f>IFERROR(__xludf.DUMMYFUNCTION("""COMPUTED_VALUE"""),6.9070503454E10)</f>
        <v>69070503454</v>
      </c>
    </row>
    <row r="59">
      <c r="A59" s="2">
        <v>6.9070500877E10</v>
      </c>
      <c r="B59" s="2" t="s">
        <v>209</v>
      </c>
      <c r="C59" s="2" t="s">
        <v>210</v>
      </c>
      <c r="D59" s="2">
        <f>IFERROR(__xludf.DUMMYFUNCTION("""COMPUTED_VALUE"""),6.9070500877E10)</f>
        <v>69070500877</v>
      </c>
      <c r="E59" s="2">
        <f>IFERROR(__xludf.DUMMYFUNCTION("""COMPUTED_VALUE"""),6.9070507825E10)</f>
        <v>69070507825</v>
      </c>
    </row>
    <row r="60">
      <c r="A60" s="2">
        <v>6.907050245E10</v>
      </c>
      <c r="B60" s="2" t="s">
        <v>211</v>
      </c>
      <c r="C60" s="2" t="s">
        <v>212</v>
      </c>
      <c r="D60" s="2">
        <f>IFERROR(__xludf.DUMMYFUNCTION("""COMPUTED_VALUE"""),6.907050245E10)</f>
        <v>69070502450</v>
      </c>
      <c r="E60" s="2">
        <f>IFERROR(__xludf.DUMMYFUNCTION("""COMPUTED_VALUE"""),6.9070507832E10)</f>
        <v>69070507832</v>
      </c>
    </row>
    <row r="61">
      <c r="A61" s="2">
        <v>6.9070502236E10</v>
      </c>
      <c r="B61" s="2" t="s">
        <v>213</v>
      </c>
      <c r="C61" s="2" t="s">
        <v>214</v>
      </c>
      <c r="D61" s="2">
        <f>IFERROR(__xludf.DUMMYFUNCTION("""COMPUTED_VALUE"""),6.9070502236E10)</f>
        <v>69070502236</v>
      </c>
      <c r="E61" s="2">
        <f>IFERROR(__xludf.DUMMYFUNCTION("""COMPUTED_VALUE"""),6.9070507835E10)</f>
        <v>69070507835</v>
      </c>
    </row>
    <row r="62">
      <c r="A62" s="2">
        <v>6.9070509819E10</v>
      </c>
      <c r="B62" s="2" t="s">
        <v>215</v>
      </c>
      <c r="C62" s="2" t="s">
        <v>216</v>
      </c>
      <c r="D62" s="2">
        <f>IFERROR(__xludf.DUMMYFUNCTION("""COMPUTED_VALUE"""),6.9070509819E10)</f>
        <v>69070509819</v>
      </c>
      <c r="E62" s="2">
        <f>IFERROR(__xludf.DUMMYFUNCTION("""COMPUTED_VALUE"""),6.9070504013E10)</f>
        <v>69070504013</v>
      </c>
    </row>
    <row r="63">
      <c r="A63" s="2">
        <v>6.9070505217E10</v>
      </c>
      <c r="B63" s="2" t="s">
        <v>217</v>
      </c>
      <c r="C63" s="2" t="s">
        <v>218</v>
      </c>
      <c r="D63" s="2">
        <f>IFERROR(__xludf.DUMMYFUNCTION("""COMPUTED_VALUE"""),6.9070505217E10)</f>
        <v>69070505217</v>
      </c>
      <c r="E63" s="2">
        <f>IFERROR(__xludf.DUMMYFUNCTION("""COMPUTED_VALUE"""),6.9070507836E10)</f>
        <v>69070507836</v>
      </c>
    </row>
    <row r="64">
      <c r="A64" s="2">
        <v>6.9070500419E10</v>
      </c>
      <c r="B64" s="2" t="s">
        <v>219</v>
      </c>
      <c r="C64" s="2" t="s">
        <v>220</v>
      </c>
      <c r="D64" s="2">
        <f>IFERROR(__xludf.DUMMYFUNCTION("""COMPUTED_VALUE"""),6.9070500419E10)</f>
        <v>69070500419</v>
      </c>
      <c r="E64" s="2">
        <f>IFERROR(__xludf.DUMMYFUNCTION("""COMPUTED_VALUE"""),6.9070503464E10)</f>
        <v>69070503464</v>
      </c>
    </row>
    <row r="65">
      <c r="A65" s="2">
        <v>6.9070506449E10</v>
      </c>
      <c r="B65" s="2" t="s">
        <v>221</v>
      </c>
      <c r="C65" s="2" t="s">
        <v>222</v>
      </c>
      <c r="D65" s="2">
        <f>IFERROR(__xludf.DUMMYFUNCTION("""COMPUTED_VALUE"""),6.9070506449E10)</f>
        <v>69070506449</v>
      </c>
      <c r="E65" s="2">
        <f>IFERROR(__xludf.DUMMYFUNCTION("""COMPUTED_VALUE"""),6.907050921E10)</f>
        <v>69070509210</v>
      </c>
    </row>
    <row r="66">
      <c r="A66" s="2">
        <v>6.9070502835E10</v>
      </c>
      <c r="B66" s="2" t="s">
        <v>223</v>
      </c>
      <c r="C66" s="2" t="s">
        <v>224</v>
      </c>
      <c r="D66" s="2">
        <f>IFERROR(__xludf.DUMMYFUNCTION("""COMPUTED_VALUE"""),6.9070502835E10)</f>
        <v>69070502835</v>
      </c>
      <c r="E66" s="2">
        <f>IFERROR(__xludf.DUMMYFUNCTION("""COMPUTED_VALUE"""),6.9070504025E10)</f>
        <v>69070504025</v>
      </c>
    </row>
    <row r="67">
      <c r="A67" s="2">
        <v>6.907050104E10</v>
      </c>
      <c r="B67" s="2" t="s">
        <v>225</v>
      </c>
      <c r="C67" s="2" t="s">
        <v>226</v>
      </c>
      <c r="D67" s="2">
        <f>IFERROR(__xludf.DUMMYFUNCTION("""COMPUTED_VALUE"""),6.907050104E10)</f>
        <v>69070501040</v>
      </c>
      <c r="E67" s="2">
        <f>IFERROR(__xludf.DUMMYFUNCTION("""COMPUTED_VALUE"""),6.9070503415E10)</f>
        <v>69070503415</v>
      </c>
    </row>
    <row r="68">
      <c r="A68" s="2">
        <v>6.9070501017E10</v>
      </c>
      <c r="B68" s="2" t="s">
        <v>86</v>
      </c>
      <c r="C68" s="2" t="s">
        <v>227</v>
      </c>
      <c r="D68" s="2">
        <f>IFERROR(__xludf.DUMMYFUNCTION("""COMPUTED_VALUE"""),6.9070501017E10)</f>
        <v>69070501017</v>
      </c>
      <c r="E68" s="2">
        <f>IFERROR(__xludf.DUMMYFUNCTION("""COMPUTED_VALUE"""),6.9070503489E10)</f>
        <v>69070503489</v>
      </c>
    </row>
    <row r="69">
      <c r="A69" s="2">
        <v>6.9070500889E10</v>
      </c>
      <c r="B69" s="2" t="s">
        <v>229</v>
      </c>
      <c r="C69" s="2" t="s">
        <v>230</v>
      </c>
      <c r="D69" s="2">
        <f>IFERROR(__xludf.DUMMYFUNCTION("""COMPUTED_VALUE"""),6.9070500889E10)</f>
        <v>69070500889</v>
      </c>
      <c r="E69" s="2">
        <f>IFERROR(__xludf.DUMMYFUNCTION("""COMPUTED_VALUE"""),6.9070509211E10)</f>
        <v>69070509211</v>
      </c>
    </row>
    <row r="70">
      <c r="A70" s="2">
        <v>6.9070508206E10</v>
      </c>
      <c r="B70" s="2" t="s">
        <v>233</v>
      </c>
      <c r="C70" s="2" t="s">
        <v>234</v>
      </c>
      <c r="D70" s="2">
        <f>IFERROR(__xludf.DUMMYFUNCTION("""COMPUTED_VALUE"""),6.9070508206E10)</f>
        <v>69070508206</v>
      </c>
      <c r="E70" s="2">
        <f>IFERROR(__xludf.DUMMYFUNCTION("""COMPUTED_VALUE"""),6.9070503459E10)</f>
        <v>69070503459</v>
      </c>
    </row>
    <row r="71">
      <c r="A71" s="2">
        <v>6.9070501051E10</v>
      </c>
      <c r="B71" s="2" t="s">
        <v>237</v>
      </c>
      <c r="C71" s="2" t="s">
        <v>238</v>
      </c>
      <c r="D71" s="2">
        <f>IFERROR(__xludf.DUMMYFUNCTION("""COMPUTED_VALUE"""),6.9070501051E10)</f>
        <v>69070501051</v>
      </c>
      <c r="E71" s="2">
        <f>IFERROR(__xludf.DUMMYFUNCTION("""COMPUTED_VALUE"""),6.9070503219E10)</f>
        <v>69070503219</v>
      </c>
    </row>
    <row r="72">
      <c r="A72" s="2">
        <v>6.9070501034E10</v>
      </c>
      <c r="B72" s="2" t="s">
        <v>240</v>
      </c>
      <c r="C72" s="2" t="s">
        <v>241</v>
      </c>
      <c r="D72" s="2">
        <f>IFERROR(__xludf.DUMMYFUNCTION("""COMPUTED_VALUE"""),6.9070501034E10)</f>
        <v>69070501034</v>
      </c>
      <c r="E72" s="2">
        <f>IFERROR(__xludf.DUMMYFUNCTION("""COMPUTED_VALUE"""),6.9070503441E10)</f>
        <v>69070503441</v>
      </c>
    </row>
    <row r="73">
      <c r="A73" s="2">
        <v>6.9070509812E10</v>
      </c>
      <c r="B73" s="2" t="s">
        <v>244</v>
      </c>
      <c r="C73" s="2" t="s">
        <v>245</v>
      </c>
      <c r="D73" s="2">
        <f>IFERROR(__xludf.DUMMYFUNCTION("""COMPUTED_VALUE"""),6.9070509812E10)</f>
        <v>69070509812</v>
      </c>
      <c r="E73" s="2">
        <f>IFERROR(__xludf.DUMMYFUNCTION("""COMPUTED_VALUE"""),6.9070509206E10)</f>
        <v>69070509206</v>
      </c>
    </row>
    <row r="74">
      <c r="A74" s="2">
        <v>6.9070500879E10</v>
      </c>
      <c r="B74" s="2" t="s">
        <v>247</v>
      </c>
      <c r="C74" s="2" t="s">
        <v>248</v>
      </c>
      <c r="D74" s="2">
        <f>IFERROR(__xludf.DUMMYFUNCTION("""COMPUTED_VALUE"""),6.9070500879E10)</f>
        <v>69070500879</v>
      </c>
      <c r="E74" s="2">
        <f>IFERROR(__xludf.DUMMYFUNCTION("""COMPUTED_VALUE"""),6.9070509208E10)</f>
        <v>69070509208</v>
      </c>
    </row>
    <row r="75">
      <c r="A75" s="2">
        <v>6.9070509837E10</v>
      </c>
      <c r="B75" s="2" t="s">
        <v>249</v>
      </c>
      <c r="C75" s="2" t="s">
        <v>251</v>
      </c>
      <c r="D75" s="2">
        <f>IFERROR(__xludf.DUMMYFUNCTION("""COMPUTED_VALUE"""),6.9070509837E10)</f>
        <v>69070509837</v>
      </c>
      <c r="E75" s="2">
        <f>IFERROR(__xludf.DUMMYFUNCTION("""COMPUTED_VALUE"""),6.9070503478E10)</f>
        <v>69070503478</v>
      </c>
    </row>
    <row r="76">
      <c r="A76" s="2">
        <v>6.9070500317E10</v>
      </c>
      <c r="B76" s="2" t="s">
        <v>253</v>
      </c>
      <c r="C76" s="2" t="s">
        <v>254</v>
      </c>
      <c r="D76" s="2">
        <f>IFERROR(__xludf.DUMMYFUNCTION("""COMPUTED_VALUE"""),6.9070500317E10)</f>
        <v>69070500317</v>
      </c>
      <c r="E76" s="2">
        <f>IFERROR(__xludf.DUMMYFUNCTION("""COMPUTED_VALUE"""),6.9070503443E10)</f>
        <v>69070503443</v>
      </c>
    </row>
    <row r="77">
      <c r="A77" s="2">
        <v>6.9070500878E10</v>
      </c>
      <c r="B77" s="2" t="s">
        <v>255</v>
      </c>
      <c r="C77" s="2" t="s">
        <v>256</v>
      </c>
      <c r="D77" s="2">
        <f>IFERROR(__xludf.DUMMYFUNCTION("""COMPUTED_VALUE"""),6.9070500878E10)</f>
        <v>69070500878</v>
      </c>
      <c r="E77" s="2">
        <f>IFERROR(__xludf.DUMMYFUNCTION("""COMPUTED_VALUE"""),6.9070503424E10)</f>
        <v>69070503424</v>
      </c>
    </row>
    <row r="78">
      <c r="A78" s="2">
        <v>6.9070506478E10</v>
      </c>
      <c r="B78" s="2" t="s">
        <v>258</v>
      </c>
      <c r="C78" s="2" t="s">
        <v>259</v>
      </c>
      <c r="D78" s="2">
        <f>IFERROR(__xludf.DUMMYFUNCTION("""COMPUTED_VALUE"""),6.9070506478E10)</f>
        <v>69070506478</v>
      </c>
      <c r="E78" s="2">
        <f>IFERROR(__xludf.DUMMYFUNCTION("""COMPUTED_VALUE"""),6.9070503449E10)</f>
        <v>69070503449</v>
      </c>
    </row>
    <row r="79">
      <c r="A79" s="2">
        <v>6.907050043E10</v>
      </c>
      <c r="B79" s="2" t="s">
        <v>260</v>
      </c>
      <c r="C79" s="2" t="s">
        <v>261</v>
      </c>
      <c r="D79" s="2">
        <f>IFERROR(__xludf.DUMMYFUNCTION("""COMPUTED_VALUE"""),6.907050043E10)</f>
        <v>69070500430</v>
      </c>
      <c r="E79" s="2">
        <f>IFERROR(__xludf.DUMMYFUNCTION("""COMPUTED_VALUE"""),6.9070503466E10)</f>
        <v>69070503466</v>
      </c>
    </row>
    <row r="80">
      <c r="A80" s="2">
        <v>6.9070500402E10</v>
      </c>
      <c r="B80" s="2" t="s">
        <v>263</v>
      </c>
      <c r="C80" s="2" t="s">
        <v>264</v>
      </c>
      <c r="D80" s="2">
        <f>IFERROR(__xludf.DUMMYFUNCTION("""COMPUTED_VALUE"""),6.9070500402E10)</f>
        <v>69070500402</v>
      </c>
      <c r="E80" s="2">
        <f>IFERROR(__xludf.DUMMYFUNCTION("""COMPUTED_VALUE"""),6.9070507831E10)</f>
        <v>69070507831</v>
      </c>
    </row>
    <row r="81">
      <c r="A81" s="2">
        <v>6.9070501056E10</v>
      </c>
      <c r="B81" s="2" t="s">
        <v>265</v>
      </c>
      <c r="C81" s="2" t="s">
        <v>266</v>
      </c>
      <c r="D81" s="2">
        <f>IFERROR(__xludf.DUMMYFUNCTION("""COMPUTED_VALUE"""),6.9070501056E10)</f>
        <v>69070501056</v>
      </c>
      <c r="E81" s="2">
        <f>IFERROR(__xludf.DUMMYFUNCTION("""COMPUTED_VALUE"""),6.9070508637E10)</f>
        <v>69070508637</v>
      </c>
    </row>
    <row r="82">
      <c r="A82" s="2">
        <v>6.9070500475E10</v>
      </c>
      <c r="B82" s="2" t="s">
        <v>267</v>
      </c>
      <c r="C82" s="2" t="s">
        <v>268</v>
      </c>
      <c r="D82" s="2">
        <f>IFERROR(__xludf.DUMMYFUNCTION("""COMPUTED_VALUE"""),6.9070500475E10)</f>
        <v>69070500475</v>
      </c>
      <c r="E82" s="2">
        <f>IFERROR(__xludf.DUMMYFUNCTION("""COMPUTED_VALUE"""),6.9070509011E10)</f>
        <v>69070509011</v>
      </c>
    </row>
    <row r="83">
      <c r="A83" s="2">
        <v>6.9070501834E10</v>
      </c>
      <c r="B83" s="2" t="s">
        <v>269</v>
      </c>
      <c r="C83" s="2" t="s">
        <v>270</v>
      </c>
      <c r="D83" s="2">
        <f>IFERROR(__xludf.DUMMYFUNCTION("""COMPUTED_VALUE"""),6.9070501834E10)</f>
        <v>69070501834</v>
      </c>
      <c r="E83" s="2">
        <f>IFERROR(__xludf.DUMMYFUNCTION("""COMPUTED_VALUE"""),6.9070507823E10)</f>
        <v>69070507823</v>
      </c>
    </row>
    <row r="84">
      <c r="A84" s="2">
        <v>6.9070501264E10</v>
      </c>
      <c r="B84" s="2" t="s">
        <v>272</v>
      </c>
      <c r="C84" s="2" t="s">
        <v>273</v>
      </c>
      <c r="D84" s="2">
        <f>IFERROR(__xludf.DUMMYFUNCTION("""COMPUTED_VALUE"""),6.9070501264E10)</f>
        <v>69070501264</v>
      </c>
      <c r="E84" s="2">
        <f>IFERROR(__xludf.DUMMYFUNCTION("""COMPUTED_VALUE"""),6.9070503412E10)</f>
        <v>69070503412</v>
      </c>
    </row>
    <row r="85">
      <c r="A85" s="2">
        <v>6.9070501805E10</v>
      </c>
      <c r="B85" s="2" t="s">
        <v>274</v>
      </c>
      <c r="C85" s="2" t="s">
        <v>275</v>
      </c>
      <c r="D85" s="2">
        <f>IFERROR(__xludf.DUMMYFUNCTION("""COMPUTED_VALUE"""),6.9070501805E10)</f>
        <v>69070501805</v>
      </c>
      <c r="E85" s="2">
        <f>IFERROR(__xludf.DUMMYFUNCTION("""COMPUTED_VALUE"""),6.9070509006E10)</f>
        <v>69070509006</v>
      </c>
    </row>
    <row r="86">
      <c r="A86" s="2">
        <v>6.9070500446E10</v>
      </c>
      <c r="B86" s="2" t="s">
        <v>276</v>
      </c>
      <c r="C86" s="2" t="s">
        <v>277</v>
      </c>
      <c r="D86" s="2">
        <f>IFERROR(__xludf.DUMMYFUNCTION("""COMPUTED_VALUE"""),6.9070500446E10)</f>
        <v>69070500446</v>
      </c>
      <c r="E86" s="2">
        <f>IFERROR(__xludf.DUMMYFUNCTION("""COMPUTED_VALUE"""),6.9070503483E10)</f>
        <v>69070503483</v>
      </c>
    </row>
    <row r="87">
      <c r="A87" s="2">
        <v>6.9070508212E10</v>
      </c>
      <c r="B87" s="2" t="s">
        <v>278</v>
      </c>
      <c r="C87" s="2" t="s">
        <v>279</v>
      </c>
      <c r="D87" s="2">
        <f>IFERROR(__xludf.DUMMYFUNCTION("""COMPUTED_VALUE"""),6.9070508212E10)</f>
        <v>69070508212</v>
      </c>
      <c r="E87" s="2">
        <f>IFERROR(__xludf.DUMMYFUNCTION("""COMPUTED_VALUE"""),6.9070509203E10)</f>
        <v>69070509203</v>
      </c>
    </row>
    <row r="88">
      <c r="A88" s="2">
        <v>6.907050243E10</v>
      </c>
      <c r="B88" s="2" t="s">
        <v>280</v>
      </c>
      <c r="C88" s="2" t="s">
        <v>281</v>
      </c>
      <c r="D88" s="2">
        <f>IFERROR(__xludf.DUMMYFUNCTION("""COMPUTED_VALUE"""),6.907050243E10)</f>
        <v>69070502430</v>
      </c>
      <c r="E88" s="2">
        <f>IFERROR(__xludf.DUMMYFUNCTION("""COMPUTED_VALUE"""),6.9070509216E10)</f>
        <v>69070509216</v>
      </c>
    </row>
    <row r="89">
      <c r="A89" s="2">
        <v>6.907050182E10</v>
      </c>
      <c r="B89" s="2" t="s">
        <v>282</v>
      </c>
      <c r="C89" s="2" t="s">
        <v>283</v>
      </c>
      <c r="D89" s="2">
        <f>IFERROR(__xludf.DUMMYFUNCTION("""COMPUTED_VALUE"""),6.907050182E10)</f>
        <v>69070501820</v>
      </c>
      <c r="E89" s="2">
        <f>IFERROR(__xludf.DUMMYFUNCTION("""COMPUTED_VALUE"""),6.907050342E10)</f>
        <v>69070503420</v>
      </c>
    </row>
    <row r="90">
      <c r="A90" s="2">
        <v>6.9070502481E10</v>
      </c>
      <c r="B90" s="2" t="s">
        <v>284</v>
      </c>
      <c r="C90" s="2" t="s">
        <v>285</v>
      </c>
      <c r="D90" s="2">
        <f>IFERROR(__xludf.DUMMYFUNCTION("""COMPUTED_VALUE"""),6.9070502481E10)</f>
        <v>69070502481</v>
      </c>
      <c r="E90" s="2">
        <f>IFERROR(__xludf.DUMMYFUNCTION("""COMPUTED_VALUE"""),6.9070509009E10)</f>
        <v>69070509009</v>
      </c>
    </row>
    <row r="91">
      <c r="A91" s="2">
        <v>6.9070502202E10</v>
      </c>
      <c r="B91" s="2" t="s">
        <v>286</v>
      </c>
      <c r="C91" s="2" t="s">
        <v>287</v>
      </c>
      <c r="D91" s="2">
        <f>IFERROR(__xludf.DUMMYFUNCTION("""COMPUTED_VALUE"""),6.9070502202E10)</f>
        <v>69070502202</v>
      </c>
      <c r="E91" s="2">
        <f>IFERROR(__xludf.DUMMYFUNCTION("""COMPUTED_VALUE"""),6.9070508628E10)</f>
        <v>69070508628</v>
      </c>
    </row>
    <row r="92">
      <c r="A92" s="2">
        <v>6.9070501015E10</v>
      </c>
      <c r="B92" s="2" t="s">
        <v>288</v>
      </c>
      <c r="C92" s="2" t="s">
        <v>289</v>
      </c>
      <c r="D92" s="2">
        <f>IFERROR(__xludf.DUMMYFUNCTION("""COMPUTED_VALUE"""),6.9070501015E10)</f>
        <v>69070501015</v>
      </c>
      <c r="E92" s="2">
        <f>IFERROR(__xludf.DUMMYFUNCTION("""COMPUTED_VALUE"""),6.9070508616E10)</f>
        <v>69070508616</v>
      </c>
    </row>
    <row r="93">
      <c r="A93" s="2">
        <v>6.9070508205E10</v>
      </c>
      <c r="B93" s="2" t="s">
        <v>290</v>
      </c>
      <c r="C93" s="2" t="s">
        <v>291</v>
      </c>
      <c r="D93" s="2">
        <f>IFERROR(__xludf.DUMMYFUNCTION("""COMPUTED_VALUE"""),6.9070508205E10)</f>
        <v>69070508205</v>
      </c>
      <c r="E93" s="2">
        <f>IFERROR(__xludf.DUMMYFUNCTION("""COMPUTED_VALUE"""),6.9070508606E10)</f>
        <v>69070508606</v>
      </c>
    </row>
    <row r="94">
      <c r="A94" s="2">
        <v>6.9070502242E10</v>
      </c>
      <c r="B94" s="2" t="s">
        <v>292</v>
      </c>
      <c r="C94" s="2" t="s">
        <v>293</v>
      </c>
      <c r="D94" s="2">
        <f>IFERROR(__xludf.DUMMYFUNCTION("""COMPUTED_VALUE"""),6.9070502242E10)</f>
        <v>69070502242</v>
      </c>
      <c r="E94" s="2">
        <f>IFERROR(__xludf.DUMMYFUNCTION("""COMPUTED_VALUE"""),6.9070504008E10)</f>
        <v>69070504008</v>
      </c>
    </row>
    <row r="95">
      <c r="A95" s="2">
        <v>6.9070508243E10</v>
      </c>
      <c r="B95" s="2" t="s">
        <v>294</v>
      </c>
      <c r="C95" s="2" t="s">
        <v>295</v>
      </c>
      <c r="D95" s="2">
        <f>IFERROR(__xludf.DUMMYFUNCTION("""COMPUTED_VALUE"""),6.9070508243E10)</f>
        <v>69070508243</v>
      </c>
      <c r="E95" s="2">
        <f>IFERROR(__xludf.DUMMYFUNCTION("""COMPUTED_VALUE"""),6.9070508626E10)</f>
        <v>69070508626</v>
      </c>
    </row>
    <row r="96">
      <c r="A96" s="2">
        <v>6.9070509808E10</v>
      </c>
      <c r="B96" s="2" t="s">
        <v>296</v>
      </c>
      <c r="C96" s="2" t="s">
        <v>297</v>
      </c>
      <c r="D96" s="2">
        <f>IFERROR(__xludf.DUMMYFUNCTION("""COMPUTED_VALUE"""),6.9070509808E10)</f>
        <v>69070509808</v>
      </c>
      <c r="E96" s="2">
        <f>IFERROR(__xludf.DUMMYFUNCTION("""COMPUTED_VALUE"""),6.9070507815E10)</f>
        <v>69070507815</v>
      </c>
    </row>
    <row r="97">
      <c r="A97" s="2">
        <v>6.9070501287E10</v>
      </c>
      <c r="B97" s="2" t="s">
        <v>298</v>
      </c>
      <c r="C97" s="2" t="s">
        <v>299</v>
      </c>
      <c r="D97" s="2">
        <f>IFERROR(__xludf.DUMMYFUNCTION("""COMPUTED_VALUE"""),6.9070501287E10)</f>
        <v>69070501287</v>
      </c>
      <c r="E97" s="2">
        <f>IFERROR(__xludf.DUMMYFUNCTION("""COMPUTED_VALUE"""),6.9070504014E10)</f>
        <v>69070504014</v>
      </c>
    </row>
    <row r="98">
      <c r="A98" s="2">
        <v>6.9070508214E10</v>
      </c>
      <c r="B98" s="2" t="s">
        <v>300</v>
      </c>
      <c r="C98" s="2" t="s">
        <v>301</v>
      </c>
      <c r="D98" s="2">
        <f>IFERROR(__xludf.DUMMYFUNCTION("""COMPUTED_VALUE"""),6.9070508214E10)</f>
        <v>69070508214</v>
      </c>
      <c r="E98" s="2">
        <f>IFERROR(__xludf.DUMMYFUNCTION("""COMPUTED_VALUE"""),6.907050922E10)</f>
        <v>69070509220</v>
      </c>
    </row>
    <row r="99">
      <c r="A99" s="2">
        <v>6.9070506412E10</v>
      </c>
      <c r="B99" s="2" t="s">
        <v>302</v>
      </c>
      <c r="C99" s="2" t="s">
        <v>303</v>
      </c>
      <c r="D99" s="2">
        <f>IFERROR(__xludf.DUMMYFUNCTION("""COMPUTED_VALUE"""),6.9070506412E10)</f>
        <v>69070506412</v>
      </c>
      <c r="E99" s="2">
        <f>IFERROR(__xludf.DUMMYFUNCTION("""COMPUTED_VALUE"""),6.9070503472E10)</f>
        <v>69070503472</v>
      </c>
    </row>
    <row r="100">
      <c r="A100" s="2">
        <v>6.9070505204E10</v>
      </c>
      <c r="B100" s="2" t="s">
        <v>304</v>
      </c>
      <c r="C100" s="2" t="s">
        <v>305</v>
      </c>
      <c r="D100" s="2">
        <f>IFERROR(__xludf.DUMMYFUNCTION("""COMPUTED_VALUE"""),6.9070505204E10)</f>
        <v>69070505204</v>
      </c>
      <c r="E100" s="2">
        <f>IFERROR(__xludf.DUMMYFUNCTION("""COMPUTED_VALUE"""),6.9070503428E10)</f>
        <v>69070503428</v>
      </c>
    </row>
    <row r="101">
      <c r="A101" s="2">
        <v>6.9070509822E10</v>
      </c>
      <c r="B101" s="2" t="s">
        <v>306</v>
      </c>
      <c r="C101" s="2" t="s">
        <v>307</v>
      </c>
      <c r="D101" s="2">
        <f>IFERROR(__xludf.DUMMYFUNCTION("""COMPUTED_VALUE"""),6.9070509822E10)</f>
        <v>69070509822</v>
      </c>
      <c r="E101" s="2">
        <f>IFERROR(__xludf.DUMMYFUNCTION("""COMPUTED_VALUE"""),6.9070503488E10)</f>
        <v>69070503488</v>
      </c>
    </row>
    <row r="102">
      <c r="A102" s="2">
        <v>6.9070500406E10</v>
      </c>
      <c r="B102" s="2" t="s">
        <v>308</v>
      </c>
      <c r="C102" s="2" t="s">
        <v>309</v>
      </c>
      <c r="D102" s="2">
        <f>IFERROR(__xludf.DUMMYFUNCTION("""COMPUTED_VALUE"""),6.9070500406E10)</f>
        <v>69070500406</v>
      </c>
      <c r="E102" s="2">
        <f>IFERROR(__xludf.DUMMYFUNCTION("""COMPUTED_VALUE"""),6.9070503254E10)</f>
        <v>69070503254</v>
      </c>
    </row>
    <row r="103">
      <c r="A103" s="2">
        <v>6.9070502465E10</v>
      </c>
      <c r="B103" s="2" t="s">
        <v>311</v>
      </c>
      <c r="C103" s="2" t="s">
        <v>312</v>
      </c>
      <c r="D103" s="2">
        <f>IFERROR(__xludf.DUMMYFUNCTION("""COMPUTED_VALUE"""),6.9070502465E10)</f>
        <v>69070502465</v>
      </c>
      <c r="E103" s="2">
        <f>IFERROR(__xludf.DUMMYFUNCTION("""COMPUTED_VALUE"""),6.9070503444E10)</f>
        <v>69070503444</v>
      </c>
    </row>
    <row r="104">
      <c r="A104" s="2">
        <v>6.9070502516E10</v>
      </c>
      <c r="B104" s="2" t="s">
        <v>315</v>
      </c>
      <c r="C104" s="2" t="s">
        <v>316</v>
      </c>
      <c r="D104" s="2">
        <f>IFERROR(__xludf.DUMMYFUNCTION("""COMPUTED_VALUE"""),6.9070502516E10)</f>
        <v>69070502516</v>
      </c>
      <c r="E104" s="2">
        <f>IFERROR(__xludf.DUMMYFUNCTION("""COMPUTED_VALUE"""),6.9070503485E10)</f>
        <v>69070503485</v>
      </c>
    </row>
    <row r="105">
      <c r="A105" s="2">
        <v>6.9070500213E10</v>
      </c>
      <c r="B105" s="2" t="s">
        <v>319</v>
      </c>
      <c r="C105" s="2" t="s">
        <v>320</v>
      </c>
      <c r="D105" s="2">
        <f>IFERROR(__xludf.DUMMYFUNCTION("""COMPUTED_VALUE"""),6.9070500213E10)</f>
        <v>69070500213</v>
      </c>
      <c r="E105" s="2">
        <f>IFERROR(__xludf.DUMMYFUNCTION("""COMPUTED_VALUE"""),6.9070504037E10)</f>
        <v>69070504037</v>
      </c>
    </row>
    <row r="106">
      <c r="A106" s="2">
        <v>6.9070500413E10</v>
      </c>
      <c r="B106" s="2" t="s">
        <v>323</v>
      </c>
      <c r="C106" s="2" t="s">
        <v>325</v>
      </c>
      <c r="D106" s="2">
        <f>IFERROR(__xludf.DUMMYFUNCTION("""COMPUTED_VALUE"""),6.9070500413E10)</f>
        <v>69070500413</v>
      </c>
      <c r="E106" s="2">
        <f>IFERROR(__xludf.DUMMYFUNCTION("""COMPUTED_VALUE"""),6.9070507833E10)</f>
        <v>69070507833</v>
      </c>
    </row>
    <row r="107">
      <c r="A107" s="2">
        <v>6.9070500304E10</v>
      </c>
      <c r="B107" s="2" t="s">
        <v>328</v>
      </c>
      <c r="C107" s="2" t="s">
        <v>329</v>
      </c>
      <c r="D107" s="2">
        <f>IFERROR(__xludf.DUMMYFUNCTION("""COMPUTED_VALUE"""),6.9070500304E10)</f>
        <v>69070500304</v>
      </c>
      <c r="E107" s="2">
        <f>IFERROR(__xludf.DUMMYFUNCTION("""COMPUTED_VALUE"""),6.9070503407E10)</f>
        <v>69070503407</v>
      </c>
    </row>
    <row r="108">
      <c r="A108" s="2">
        <v>6.9070500486E10</v>
      </c>
      <c r="B108" s="2" t="s">
        <v>330</v>
      </c>
      <c r="C108" s="2" t="s">
        <v>331</v>
      </c>
      <c r="D108" s="2">
        <f>IFERROR(__xludf.DUMMYFUNCTION("""COMPUTED_VALUE"""),6.9070500486E10)</f>
        <v>69070500486</v>
      </c>
      <c r="E108" s="2">
        <f>IFERROR(__xludf.DUMMYFUNCTION("""COMPUTED_VALUE"""),6.907050344E10)</f>
        <v>69070503440</v>
      </c>
    </row>
    <row r="109">
      <c r="A109" s="2">
        <v>6.9070501274E10</v>
      </c>
      <c r="B109" s="2" t="s">
        <v>332</v>
      </c>
      <c r="C109" s="2" t="s">
        <v>333</v>
      </c>
      <c r="D109" s="2">
        <f>IFERROR(__xludf.DUMMYFUNCTION("""COMPUTED_VALUE"""),6.9070501274E10)</f>
        <v>69070501274</v>
      </c>
      <c r="E109" s="2">
        <f>IFERROR(__xludf.DUMMYFUNCTION("""COMPUTED_VALUE"""),6.907050402E10)</f>
        <v>69070504020</v>
      </c>
    </row>
    <row r="110">
      <c r="A110" s="2">
        <v>6.9070501029E10</v>
      </c>
      <c r="B110" s="2" t="s">
        <v>334</v>
      </c>
      <c r="C110" s="2" t="s">
        <v>335</v>
      </c>
      <c r="D110" s="2">
        <f>IFERROR(__xludf.DUMMYFUNCTION("""COMPUTED_VALUE"""),6.9070501029E10)</f>
        <v>69070501029</v>
      </c>
      <c r="E110" s="2">
        <f>IFERROR(__xludf.DUMMYFUNCTION("""COMPUTED_VALUE"""),6.9070504029E10)</f>
        <v>69070504029</v>
      </c>
    </row>
    <row r="111">
      <c r="A111" s="2">
        <v>6.9070502804E10</v>
      </c>
      <c r="B111" s="2" t="s">
        <v>336</v>
      </c>
      <c r="C111" s="2" t="s">
        <v>337</v>
      </c>
      <c r="D111" s="2">
        <f>IFERROR(__xludf.DUMMYFUNCTION("""COMPUTED_VALUE"""),6.9070502804E10)</f>
        <v>69070502804</v>
      </c>
      <c r="E111" s="2">
        <f>IFERROR(__xludf.DUMMYFUNCTION("""COMPUTED_VALUE"""),6.9070507829E10)</f>
        <v>69070507829</v>
      </c>
    </row>
    <row r="112">
      <c r="A112" s="2">
        <v>6.9070502815E10</v>
      </c>
      <c r="B112" s="2" t="s">
        <v>338</v>
      </c>
      <c r="C112" s="2" t="s">
        <v>339</v>
      </c>
      <c r="D112" s="2">
        <f>IFERROR(__xludf.DUMMYFUNCTION("""COMPUTED_VALUE"""),6.9070502815E10)</f>
        <v>69070502815</v>
      </c>
      <c r="E112" s="2">
        <f>IFERROR(__xludf.DUMMYFUNCTION("""COMPUTED_VALUE"""),6.9070509205E10)</f>
        <v>69070509205</v>
      </c>
    </row>
    <row r="113">
      <c r="A113" s="2">
        <v>6.9070500479E10</v>
      </c>
      <c r="B113" s="2" t="s">
        <v>340</v>
      </c>
      <c r="C113" s="2" t="s">
        <v>341</v>
      </c>
      <c r="D113" s="2">
        <f>IFERROR(__xludf.DUMMYFUNCTION("""COMPUTED_VALUE"""),6.9070500479E10)</f>
        <v>69070500479</v>
      </c>
      <c r="E113" s="2">
        <f>IFERROR(__xludf.DUMMYFUNCTION("""COMPUTED_VALUE"""),6.907050322E10)</f>
        <v>69070503220</v>
      </c>
    </row>
    <row r="114">
      <c r="A114" s="2">
        <v>6.9070508239E10</v>
      </c>
      <c r="B114" s="2" t="s">
        <v>342</v>
      </c>
      <c r="C114" s="2" t="s">
        <v>343</v>
      </c>
      <c r="D114" s="2">
        <f>IFERROR(__xludf.DUMMYFUNCTION("""COMPUTED_VALUE"""),6.9070508239E10)</f>
        <v>69070508239</v>
      </c>
      <c r="E114" s="2">
        <f>IFERROR(__xludf.DUMMYFUNCTION("""COMPUTED_VALUE"""),6.9070508609E10)</f>
        <v>69070508609</v>
      </c>
    </row>
    <row r="115">
      <c r="A115" s="2">
        <v>6.9070500283E10</v>
      </c>
      <c r="B115" s="2" t="s">
        <v>344</v>
      </c>
      <c r="C115" s="2" t="s">
        <v>345</v>
      </c>
      <c r="D115" s="2">
        <f>IFERROR(__xludf.DUMMYFUNCTION("""COMPUTED_VALUE"""),6.9070500283E10)</f>
        <v>69070500283</v>
      </c>
      <c r="E115" s="2">
        <f>IFERROR(__xludf.DUMMYFUNCTION("""COMPUTED_VALUE"""),6.9070503216E10)</f>
        <v>69070503216</v>
      </c>
    </row>
    <row r="116">
      <c r="A116" s="2">
        <v>6.9070506458E10</v>
      </c>
      <c r="B116" s="2" t="s">
        <v>346</v>
      </c>
      <c r="C116" s="2" t="s">
        <v>347</v>
      </c>
      <c r="D116" s="2">
        <f>IFERROR(__xludf.DUMMYFUNCTION("""COMPUTED_VALUE"""),6.9070506458E10)</f>
        <v>69070506458</v>
      </c>
      <c r="E116" s="2">
        <f>IFERROR(__xludf.DUMMYFUNCTION("""COMPUTED_VALUE"""),6.9070503213E10)</f>
        <v>69070503213</v>
      </c>
    </row>
    <row r="117">
      <c r="A117" s="2">
        <v>6.9070502813E10</v>
      </c>
      <c r="B117" s="2" t="s">
        <v>348</v>
      </c>
      <c r="C117" s="2" t="s">
        <v>349</v>
      </c>
      <c r="D117" s="2">
        <f>IFERROR(__xludf.DUMMYFUNCTION("""COMPUTED_VALUE"""),6.9070502813E10)</f>
        <v>69070502813</v>
      </c>
      <c r="E117" s="2">
        <f>IFERROR(__xludf.DUMMYFUNCTION("""COMPUTED_VALUE"""),6.9070504016E10)</f>
        <v>69070504016</v>
      </c>
    </row>
    <row r="118">
      <c r="A118" s="2">
        <v>6.9070502832E10</v>
      </c>
      <c r="B118" s="2" t="s">
        <v>350</v>
      </c>
      <c r="C118" s="2" t="s">
        <v>351</v>
      </c>
      <c r="D118" s="2">
        <f>IFERROR(__xludf.DUMMYFUNCTION("""COMPUTED_VALUE"""),6.9070502832E10)</f>
        <v>69070502832</v>
      </c>
      <c r="E118" s="2">
        <f>IFERROR(__xludf.DUMMYFUNCTION("""COMPUTED_VALUE"""),6.9070504041E10)</f>
        <v>69070504041</v>
      </c>
    </row>
    <row r="119">
      <c r="A119" s="2">
        <v>6.907050089E10</v>
      </c>
      <c r="B119" s="2" t="s">
        <v>352</v>
      </c>
      <c r="C119" s="2" t="s">
        <v>353</v>
      </c>
      <c r="D119" s="2">
        <f>IFERROR(__xludf.DUMMYFUNCTION("""COMPUTED_VALUE"""),6.907050089E10)</f>
        <v>69070500890</v>
      </c>
      <c r="E119" s="2">
        <f>IFERROR(__xludf.DUMMYFUNCTION("""COMPUTED_VALUE"""),6.9070503439E10)</f>
        <v>69070503439</v>
      </c>
    </row>
    <row r="120">
      <c r="A120" s="2">
        <v>6.9070505208E10</v>
      </c>
      <c r="B120" s="2" t="s">
        <v>354</v>
      </c>
      <c r="C120" s="2" t="s">
        <v>355</v>
      </c>
      <c r="D120" s="2">
        <f>IFERROR(__xludf.DUMMYFUNCTION("""COMPUTED_VALUE"""),6.9070505208E10)</f>
        <v>69070505208</v>
      </c>
      <c r="E120" s="2">
        <f>IFERROR(__xludf.DUMMYFUNCTION("""COMPUTED_VALUE"""),6.9070508636E10)</f>
        <v>69070508636</v>
      </c>
    </row>
    <row r="121">
      <c r="A121" s="2">
        <v>6.9070500275E10</v>
      </c>
      <c r="B121" s="2" t="s">
        <v>356</v>
      </c>
      <c r="C121" s="2" t="s">
        <v>357</v>
      </c>
      <c r="D121" s="2">
        <f>IFERROR(__xludf.DUMMYFUNCTION("""COMPUTED_VALUE"""),6.9070500275E10)</f>
        <v>69070500275</v>
      </c>
      <c r="E121" s="2">
        <f>IFERROR(__xludf.DUMMYFUNCTION("""COMPUTED_VALUE"""),6.9070503268E10)</f>
        <v>69070503268</v>
      </c>
    </row>
    <row r="122">
      <c r="A122" s="2">
        <v>6.9070502423E10</v>
      </c>
      <c r="B122" s="2" t="s">
        <v>358</v>
      </c>
      <c r="C122" s="2" t="s">
        <v>359</v>
      </c>
      <c r="D122" s="2">
        <f>IFERROR(__xludf.DUMMYFUNCTION("""COMPUTED_VALUE"""),6.9070502423E10)</f>
        <v>69070502423</v>
      </c>
      <c r="E122" s="2">
        <f>IFERROR(__xludf.DUMMYFUNCTION("""COMPUTED_VALUE"""),6.9070503431E10)</f>
        <v>69070503431</v>
      </c>
    </row>
    <row r="123">
      <c r="A123" s="2">
        <v>6.9070500312E10</v>
      </c>
      <c r="B123" s="2" t="s">
        <v>360</v>
      </c>
      <c r="C123" s="2" t="s">
        <v>361</v>
      </c>
      <c r="D123" s="2">
        <f>IFERROR(__xludf.DUMMYFUNCTION("""COMPUTED_VALUE"""),6.9070500312E10)</f>
        <v>69070500312</v>
      </c>
      <c r="E123" s="2">
        <f>IFERROR(__xludf.DUMMYFUNCTION("""COMPUTED_VALUE"""),6.9070504036E10)</f>
        <v>69070504036</v>
      </c>
    </row>
    <row r="124">
      <c r="A124" s="2">
        <v>6.9070500294E10</v>
      </c>
      <c r="B124" s="2" t="s">
        <v>362</v>
      </c>
      <c r="C124" s="2" t="s">
        <v>363</v>
      </c>
      <c r="D124" s="2">
        <f>IFERROR(__xludf.DUMMYFUNCTION("""COMPUTED_VALUE"""),6.9070500294E10)</f>
        <v>69070500294</v>
      </c>
      <c r="E124" s="2">
        <f>IFERROR(__xludf.DUMMYFUNCTION("""COMPUTED_VALUE"""),6.9070503417E10)</f>
        <v>69070503417</v>
      </c>
    </row>
    <row r="125">
      <c r="A125" s="2">
        <v>6.9070502802E10</v>
      </c>
      <c r="B125" s="2" t="s">
        <v>364</v>
      </c>
      <c r="C125" s="2" t="s">
        <v>365</v>
      </c>
      <c r="D125" s="2">
        <f>IFERROR(__xludf.DUMMYFUNCTION("""COMPUTED_VALUE"""),6.9070502802E10)</f>
        <v>69070502802</v>
      </c>
      <c r="E125" s="2">
        <f>IFERROR(__xludf.DUMMYFUNCTION("""COMPUTED_VALUE"""),6.9070503211E10)</f>
        <v>69070503211</v>
      </c>
    </row>
    <row r="126">
      <c r="A126" s="2">
        <v>6.9070501812E10</v>
      </c>
      <c r="B126" s="2" t="s">
        <v>366</v>
      </c>
      <c r="C126" s="2" t="s">
        <v>367</v>
      </c>
      <c r="D126" s="2">
        <f>IFERROR(__xludf.DUMMYFUNCTION("""COMPUTED_VALUE"""),6.9070501812E10)</f>
        <v>69070501812</v>
      </c>
      <c r="E126" s="2">
        <f>IFERROR(__xludf.DUMMYFUNCTION("""COMPUTED_VALUE"""),6.9070503409E10)</f>
        <v>69070503409</v>
      </c>
    </row>
    <row r="127">
      <c r="A127" s="2">
        <v>6.9070502413E10</v>
      </c>
      <c r="B127" s="2" t="s">
        <v>368</v>
      </c>
      <c r="C127" s="2" t="s">
        <v>369</v>
      </c>
      <c r="D127" s="2">
        <f>IFERROR(__xludf.DUMMYFUNCTION("""COMPUTED_VALUE"""),6.9070502413E10)</f>
        <v>69070502413</v>
      </c>
      <c r="E127" s="2">
        <f>IFERROR(__xludf.DUMMYFUNCTION("""COMPUTED_VALUE"""),6.9070508618E10)</f>
        <v>69070508618</v>
      </c>
    </row>
    <row r="128">
      <c r="A128" s="2">
        <v>6.9070501065E10</v>
      </c>
      <c r="B128" s="2" t="s">
        <v>370</v>
      </c>
      <c r="C128" s="2" t="s">
        <v>371</v>
      </c>
      <c r="D128" s="2">
        <f>IFERROR(__xludf.DUMMYFUNCTION("""COMPUTED_VALUE"""),6.9070501065E10)</f>
        <v>69070501065</v>
      </c>
      <c r="E128" s="2">
        <f>IFERROR(__xludf.DUMMYFUNCTION("""COMPUTED_VALUE"""),6.9070504031E10)</f>
        <v>69070504031</v>
      </c>
    </row>
    <row r="129">
      <c r="A129" s="2">
        <v>6.9070502823E10</v>
      </c>
      <c r="B129" s="2" t="s">
        <v>372</v>
      </c>
      <c r="C129" s="2" t="s">
        <v>373</v>
      </c>
      <c r="D129" s="2">
        <f>IFERROR(__xludf.DUMMYFUNCTION("""COMPUTED_VALUE"""),6.9070502823E10)</f>
        <v>69070502823</v>
      </c>
      <c r="E129" s="2">
        <f>IFERROR(__xludf.DUMMYFUNCTION("""COMPUTED_VALUE"""),6.9070504018E10)</f>
        <v>69070504018</v>
      </c>
    </row>
    <row r="130">
      <c r="A130" s="2">
        <v>6.9070500434E10</v>
      </c>
      <c r="B130" s="2" t="s">
        <v>374</v>
      </c>
      <c r="C130" s="2" t="s">
        <v>375</v>
      </c>
      <c r="D130" s="2">
        <f>IFERROR(__xludf.DUMMYFUNCTION("""COMPUTED_VALUE"""),6.9070500434E10)</f>
        <v>69070500434</v>
      </c>
      <c r="E130" s="2">
        <f>IFERROR(__xludf.DUMMYFUNCTION("""COMPUTED_VALUE"""),6.907050401E10)</f>
        <v>69070504010</v>
      </c>
    </row>
    <row r="131">
      <c r="A131" s="2">
        <v>6.9070500885E10</v>
      </c>
      <c r="B131" s="2" t="s">
        <v>376</v>
      </c>
      <c r="C131" s="2" t="s">
        <v>378</v>
      </c>
      <c r="D131" s="2">
        <f>IFERROR(__xludf.DUMMYFUNCTION("""COMPUTED_VALUE"""),6.9070500885E10)</f>
        <v>69070500885</v>
      </c>
      <c r="E131" s="2">
        <f>IFERROR(__xludf.DUMMYFUNCTION("""COMPUTED_VALUE"""),6.9070508615E10)</f>
        <v>69070508615</v>
      </c>
    </row>
    <row r="132">
      <c r="A132" s="2">
        <v>6.9070501853E10</v>
      </c>
      <c r="B132" s="2" t="s">
        <v>381</v>
      </c>
      <c r="C132" s="2" t="s">
        <v>382</v>
      </c>
      <c r="D132" s="2">
        <f>IFERROR(__xludf.DUMMYFUNCTION("""COMPUTED_VALUE"""),6.9070501853E10)</f>
        <v>69070501853</v>
      </c>
      <c r="E132" s="2">
        <f>IFERROR(__xludf.DUMMYFUNCTION("""COMPUTED_VALUE"""),6.9070503465E10)</f>
        <v>69070503465</v>
      </c>
    </row>
    <row r="133">
      <c r="A133" s="2">
        <v>6.9070500435E10</v>
      </c>
      <c r="B133" s="2" t="s">
        <v>385</v>
      </c>
      <c r="C133" s="2" t="s">
        <v>386</v>
      </c>
      <c r="D133" s="2">
        <f>IFERROR(__xludf.DUMMYFUNCTION("""COMPUTED_VALUE"""),6.9070500435E10)</f>
        <v>69070500435</v>
      </c>
      <c r="E133" s="2">
        <f>IFERROR(__xludf.DUMMYFUNCTION("""COMPUTED_VALUE"""),6.9070508621E10)</f>
        <v>69070508621</v>
      </c>
    </row>
    <row r="134">
      <c r="A134" s="2">
        <v>6.907050184E10</v>
      </c>
      <c r="B134" s="2" t="s">
        <v>388</v>
      </c>
      <c r="C134" s="2" t="s">
        <v>389</v>
      </c>
      <c r="D134" s="2">
        <f>IFERROR(__xludf.DUMMYFUNCTION("""COMPUTED_VALUE"""),6.907050184E10)</f>
        <v>69070501840</v>
      </c>
      <c r="E134" s="2">
        <f>IFERROR(__xludf.DUMMYFUNCTION("""COMPUTED_VALUE"""),6.9070507805E10)</f>
        <v>69070507805</v>
      </c>
    </row>
    <row r="135">
      <c r="A135" s="2">
        <v>6.9070501827E10</v>
      </c>
      <c r="B135" s="2" t="s">
        <v>392</v>
      </c>
      <c r="C135" s="2" t="s">
        <v>393</v>
      </c>
      <c r="D135" s="2">
        <f>IFERROR(__xludf.DUMMYFUNCTION("""COMPUTED_VALUE"""),6.9070501827E10)</f>
        <v>69070501827</v>
      </c>
      <c r="E135" s="2">
        <f>IFERROR(__xludf.DUMMYFUNCTION("""COMPUTED_VALUE"""),6.9070508627E10)</f>
        <v>69070508627</v>
      </c>
    </row>
    <row r="136">
      <c r="A136" s="2">
        <v>6.9070509838E10</v>
      </c>
      <c r="B136" s="2" t="s">
        <v>394</v>
      </c>
      <c r="C136" s="2" t="s">
        <v>395</v>
      </c>
      <c r="D136" s="2">
        <f>IFERROR(__xludf.DUMMYFUNCTION("""COMPUTED_VALUE"""),6.9070509838E10)</f>
        <v>69070509838</v>
      </c>
      <c r="E136" s="2">
        <f>IFERROR(__xludf.DUMMYFUNCTION("""COMPUTED_VALUE"""),6.9070508625E10)</f>
        <v>69070508625</v>
      </c>
    </row>
    <row r="137">
      <c r="A137" s="2">
        <v>6.907050082E10</v>
      </c>
      <c r="B137" s="2" t="s">
        <v>396</v>
      </c>
      <c r="C137" s="2" t="s">
        <v>397</v>
      </c>
      <c r="D137" s="2">
        <f>IFERROR(__xludf.DUMMYFUNCTION("""COMPUTED_VALUE"""),6.907050082E10)</f>
        <v>69070500820</v>
      </c>
      <c r="E137" s="2">
        <f>IFERROR(__xludf.DUMMYFUNCTION("""COMPUTED_VALUE"""),6.9070508638E10)</f>
        <v>69070508638</v>
      </c>
    </row>
    <row r="138">
      <c r="A138" s="2">
        <v>6.9070500848E10</v>
      </c>
      <c r="B138" s="2" t="s">
        <v>398</v>
      </c>
      <c r="C138" s="2" t="s">
        <v>399</v>
      </c>
      <c r="D138" s="2">
        <f>IFERROR(__xludf.DUMMYFUNCTION("""COMPUTED_VALUE"""),6.9070500848E10)</f>
        <v>69070500848</v>
      </c>
      <c r="E138" s="2">
        <f>IFERROR(__xludf.DUMMYFUNCTION("""COMPUTED_VALUE"""),6.907050405E10)</f>
        <v>69070504050</v>
      </c>
    </row>
    <row r="139">
      <c r="A139" s="2">
        <v>6.9070500461E10</v>
      </c>
      <c r="B139" s="2" t="s">
        <v>400</v>
      </c>
      <c r="C139" s="2" t="s">
        <v>401</v>
      </c>
      <c r="D139" s="2">
        <f>IFERROR(__xludf.DUMMYFUNCTION("""COMPUTED_VALUE"""),6.9070500461E10)</f>
        <v>69070500461</v>
      </c>
      <c r="E139" s="2">
        <f>IFERROR(__xludf.DUMMYFUNCTION("""COMPUTED_VALUE"""),6.9070509213E10)</f>
        <v>69070509213</v>
      </c>
    </row>
    <row r="140">
      <c r="A140" s="2">
        <v>6.9070509458E10</v>
      </c>
      <c r="B140" s="2" t="s">
        <v>402</v>
      </c>
      <c r="C140" s="2" t="s">
        <v>403</v>
      </c>
      <c r="D140" s="2">
        <f>IFERROR(__xludf.DUMMYFUNCTION("""COMPUTED_VALUE"""),6.9070509458E10)</f>
        <v>69070509458</v>
      </c>
      <c r="E140" s="2">
        <f>IFERROR(__xludf.DUMMYFUNCTION("""COMPUTED_VALUE"""),6.9070504044E10)</f>
        <v>69070504044</v>
      </c>
    </row>
    <row r="141">
      <c r="A141" s="2">
        <v>6.9070509415E10</v>
      </c>
      <c r="B141" s="2" t="s">
        <v>404</v>
      </c>
      <c r="C141" s="2" t="s">
        <v>405</v>
      </c>
      <c r="D141" s="2">
        <f>IFERROR(__xludf.DUMMYFUNCTION("""COMPUTED_VALUE"""),6.9070509415E10)</f>
        <v>69070509415</v>
      </c>
      <c r="E141" s="2">
        <f>IFERROR(__xludf.DUMMYFUNCTION("""COMPUTED_VALUE"""),6.9070503255E10)</f>
        <v>69070503255</v>
      </c>
    </row>
    <row r="142">
      <c r="A142" s="2">
        <v>6.9070500476E10</v>
      </c>
      <c r="B142" s="2" t="s">
        <v>406</v>
      </c>
      <c r="C142" s="2" t="s">
        <v>407</v>
      </c>
      <c r="D142" s="2">
        <f>IFERROR(__xludf.DUMMYFUNCTION("""COMPUTED_VALUE"""),6.9070500476E10)</f>
        <v>69070500476</v>
      </c>
      <c r="E142" s="2">
        <f>IFERROR(__xludf.DUMMYFUNCTION("""COMPUTED_VALUE"""),6.907050403E10)</f>
        <v>69070504030</v>
      </c>
    </row>
    <row r="143">
      <c r="A143" s="2">
        <v>6.907050031E10</v>
      </c>
      <c r="B143" s="2" t="s">
        <v>408</v>
      </c>
      <c r="C143" s="2" t="s">
        <v>409</v>
      </c>
      <c r="D143" s="2">
        <f>IFERROR(__xludf.DUMMYFUNCTION("""COMPUTED_VALUE"""),6.907050031E10)</f>
        <v>69070500310</v>
      </c>
      <c r="E143" s="2">
        <f>IFERROR(__xludf.DUMMYFUNCTION("""COMPUTED_VALUE"""),6.9070504048E10)</f>
        <v>69070504048</v>
      </c>
    </row>
    <row r="144">
      <c r="A144" s="2">
        <v>6.9070502414E10</v>
      </c>
      <c r="B144" s="2" t="s">
        <v>410</v>
      </c>
      <c r="C144" s="2" t="s">
        <v>411</v>
      </c>
      <c r="D144" s="2">
        <f>IFERROR(__xludf.DUMMYFUNCTION("""COMPUTED_VALUE"""),6.9070502414E10)</f>
        <v>69070502414</v>
      </c>
      <c r="E144" s="2">
        <f>IFERROR(__xludf.DUMMYFUNCTION("""COMPUTED_VALUE"""),6.907050347E10)</f>
        <v>69070503470</v>
      </c>
    </row>
    <row r="145">
      <c r="A145" s="2">
        <v>6.9070501819E10</v>
      </c>
      <c r="B145" s="2" t="s">
        <v>412</v>
      </c>
      <c r="C145" s="2" t="s">
        <v>413</v>
      </c>
      <c r="D145" s="2">
        <f>IFERROR(__xludf.DUMMYFUNCTION("""COMPUTED_VALUE"""),6.9070501819E10)</f>
        <v>69070501819</v>
      </c>
      <c r="E145" s="2">
        <f>IFERROR(__xludf.DUMMYFUNCTION("""COMPUTED_VALUE"""),6.9070504032E10)</f>
        <v>69070504032</v>
      </c>
    </row>
    <row r="146">
      <c r="A146" s="2">
        <v>6.9070502842E10</v>
      </c>
      <c r="B146" s="2" t="s">
        <v>414</v>
      </c>
      <c r="C146" s="2" t="s">
        <v>415</v>
      </c>
      <c r="D146" s="2">
        <f>IFERROR(__xludf.DUMMYFUNCTION("""COMPUTED_VALUE"""),6.9070502842E10)</f>
        <v>69070502842</v>
      </c>
      <c r="E146" s="2">
        <f>IFERROR(__xludf.DUMMYFUNCTION("""COMPUTED_VALUE"""),6.9070508619E10)</f>
        <v>69070508619</v>
      </c>
    </row>
    <row r="147">
      <c r="A147" s="2">
        <v>6.9070500313E10</v>
      </c>
      <c r="B147" s="2" t="s">
        <v>416</v>
      </c>
      <c r="C147" s="2" t="s">
        <v>417</v>
      </c>
      <c r="D147" s="2">
        <f>IFERROR(__xludf.DUMMYFUNCTION("""COMPUTED_VALUE"""),6.9070500313E10)</f>
        <v>69070500313</v>
      </c>
      <c r="E147" s="2">
        <f>IFERROR(__xludf.DUMMYFUNCTION("""COMPUTED_VALUE"""),6.9070503462E10)</f>
        <v>69070503462</v>
      </c>
    </row>
    <row r="148">
      <c r="A148" s="2">
        <v>6.9070501022E10</v>
      </c>
      <c r="B148" s="2" t="s">
        <v>418</v>
      </c>
      <c r="C148" s="2" t="s">
        <v>419</v>
      </c>
      <c r="D148" s="2">
        <f>IFERROR(__xludf.DUMMYFUNCTION("""COMPUTED_VALUE"""),6.9070501022E10)</f>
        <v>69070501022</v>
      </c>
      <c r="E148" s="2">
        <f>IFERROR(__xludf.DUMMYFUNCTION("""COMPUTED_VALUE"""),6.9070503477E10)</f>
        <v>69070503477</v>
      </c>
    </row>
    <row r="149">
      <c r="A149" s="2">
        <v>6.9070502457E10</v>
      </c>
      <c r="B149" s="2" t="s">
        <v>420</v>
      </c>
      <c r="C149" s="2" t="s">
        <v>421</v>
      </c>
      <c r="D149" s="2">
        <f>IFERROR(__xludf.DUMMYFUNCTION("""COMPUTED_VALUE"""),6.9070502457E10)</f>
        <v>69070502457</v>
      </c>
      <c r="E149" s="2">
        <f>IFERROR(__xludf.DUMMYFUNCTION("""COMPUTED_VALUE"""),6.9070508608E10)</f>
        <v>69070508608</v>
      </c>
    </row>
    <row r="150">
      <c r="A150" s="2">
        <v>6.9070500804E10</v>
      </c>
      <c r="B150" s="2" t="s">
        <v>422</v>
      </c>
      <c r="C150" s="2" t="s">
        <v>423</v>
      </c>
      <c r="D150" s="2">
        <f>IFERROR(__xludf.DUMMYFUNCTION("""COMPUTED_VALUE"""),6.9070500804E10)</f>
        <v>69070500804</v>
      </c>
      <c r="E150" s="2">
        <f>IFERROR(__xludf.DUMMYFUNCTION("""COMPUTED_VALUE"""),6.9070503253E10)</f>
        <v>69070503253</v>
      </c>
    </row>
    <row r="151">
      <c r="A151" s="2">
        <v>6.9070500808E10</v>
      </c>
      <c r="B151" s="2" t="s">
        <v>424</v>
      </c>
      <c r="C151" s="2" t="s">
        <v>425</v>
      </c>
      <c r="D151" s="2">
        <f>IFERROR(__xludf.DUMMYFUNCTION("""COMPUTED_VALUE"""),6.9070500808E10)</f>
        <v>69070500808</v>
      </c>
      <c r="E151" s="2">
        <f>IFERROR(__xludf.DUMMYFUNCTION("""COMPUTED_VALUE"""),6.9070503279E10)</f>
        <v>69070503279</v>
      </c>
    </row>
    <row r="152">
      <c r="A152" s="2">
        <v>6.907050221E10</v>
      </c>
      <c r="B152" s="2" t="s">
        <v>426</v>
      </c>
      <c r="C152" s="2" t="s">
        <v>427</v>
      </c>
      <c r="D152" s="2">
        <f>IFERROR(__xludf.DUMMYFUNCTION("""COMPUTED_VALUE"""),6.907050221E10)</f>
        <v>69070502210</v>
      </c>
      <c r="E152" s="2">
        <f>IFERROR(__xludf.DUMMYFUNCTION("""COMPUTED_VALUE"""),6.907050905E10)</f>
        <v>69070509050</v>
      </c>
    </row>
    <row r="153">
      <c r="A153" s="2">
        <v>6.9070500403E10</v>
      </c>
      <c r="B153" s="2" t="s">
        <v>428</v>
      </c>
      <c r="C153" s="2" t="s">
        <v>429</v>
      </c>
      <c r="D153" s="2">
        <f>IFERROR(__xludf.DUMMYFUNCTION("""COMPUTED_VALUE"""),6.9070500403E10)</f>
        <v>69070500403</v>
      </c>
      <c r="E153" s="2">
        <f>IFERROR(__xludf.DUMMYFUNCTION("""COMPUTED_VALUE"""),6.9070508628E10)</f>
        <v>69070508628</v>
      </c>
    </row>
    <row r="154">
      <c r="A154" s="2">
        <v>6.9070500415E10</v>
      </c>
      <c r="B154" s="2" t="s">
        <v>430</v>
      </c>
      <c r="C154" s="2" t="s">
        <v>431</v>
      </c>
      <c r="D154" s="2">
        <f>IFERROR(__xludf.DUMMYFUNCTION("""COMPUTED_VALUE"""),6.9070500415E10)</f>
        <v>69070500415</v>
      </c>
      <c r="E154" s="2">
        <f>IFERROR(__xludf.DUMMYFUNCTION("""COMPUTED_VALUE"""),6.9070503215E10)</f>
        <v>69070503215</v>
      </c>
    </row>
    <row r="155">
      <c r="A155" s="2">
        <v>6.9070509805E10</v>
      </c>
      <c r="B155" s="2" t="s">
        <v>432</v>
      </c>
      <c r="C155" s="2" t="s">
        <v>433</v>
      </c>
      <c r="D155" s="2">
        <f>IFERROR(__xludf.DUMMYFUNCTION("""COMPUTED_VALUE"""),6.9070509805E10)</f>
        <v>69070509805</v>
      </c>
      <c r="E155" s="2">
        <f>IFERROR(__xludf.DUMMYFUNCTION("""COMPUTED_VALUE"""),6.9070504043E10)</f>
        <v>69070504043</v>
      </c>
    </row>
    <row r="156">
      <c r="A156" s="2">
        <v>6.9070509846E10</v>
      </c>
      <c r="B156" s="2" t="s">
        <v>434</v>
      </c>
      <c r="C156" s="2" t="s">
        <v>435</v>
      </c>
      <c r="D156" s="2">
        <f>IFERROR(__xludf.DUMMYFUNCTION("""COMPUTED_VALUE"""),6.9070509846E10)</f>
        <v>69070509846</v>
      </c>
      <c r="E156" s="2">
        <f>IFERROR(__xludf.DUMMYFUNCTION("""COMPUTED_VALUE"""),6.9070504011E10)</f>
        <v>69070504011</v>
      </c>
    </row>
    <row r="157">
      <c r="A157" s="2">
        <v>6.9070500418E10</v>
      </c>
      <c r="B157" s="2" t="s">
        <v>436</v>
      </c>
      <c r="C157" s="2" t="s">
        <v>437</v>
      </c>
      <c r="D157" s="2">
        <f>IFERROR(__xludf.DUMMYFUNCTION("""COMPUTED_VALUE"""),6.9070500418E10)</f>
        <v>69070500418</v>
      </c>
      <c r="E157" s="2">
        <f>IFERROR(__xludf.DUMMYFUNCTION("""COMPUTED_VALUE"""),6.9070504003E10)</f>
        <v>69070504003</v>
      </c>
    </row>
    <row r="158">
      <c r="A158" s="2">
        <v>6.9070500427E10</v>
      </c>
      <c r="B158" s="2" t="s">
        <v>438</v>
      </c>
      <c r="C158" s="2" t="s">
        <v>439</v>
      </c>
      <c r="D158" s="2">
        <f>IFERROR(__xludf.DUMMYFUNCTION("""COMPUTED_VALUE"""),6.9070500427E10)</f>
        <v>69070500427</v>
      </c>
      <c r="E158" s="2">
        <f>IFERROR(__xludf.DUMMYFUNCTION("""COMPUTED_VALUE"""),6.9070508634E10)</f>
        <v>69070508634</v>
      </c>
    </row>
    <row r="159">
      <c r="A159" s="2">
        <v>6.907050048E10</v>
      </c>
      <c r="B159" s="2" t="s">
        <v>440</v>
      </c>
      <c r="C159" s="2" t="s">
        <v>441</v>
      </c>
      <c r="D159" s="2">
        <f>IFERROR(__xludf.DUMMYFUNCTION("""COMPUTED_VALUE"""),6.907050048E10)</f>
        <v>69070500480</v>
      </c>
      <c r="E159" s="2">
        <f>IFERROR(__xludf.DUMMYFUNCTION("""COMPUTED_VALUE"""),6.9070503272E10)</f>
        <v>69070503272</v>
      </c>
    </row>
    <row r="160">
      <c r="A160" s="2">
        <v>6.9070509841E10</v>
      </c>
      <c r="B160" s="2" t="s">
        <v>444</v>
      </c>
      <c r="C160" s="2" t="s">
        <v>445</v>
      </c>
      <c r="D160" s="2">
        <f>IFERROR(__xludf.DUMMYFUNCTION("""COMPUTED_VALUE"""),6.9070509841E10)</f>
        <v>69070509841</v>
      </c>
      <c r="E160" s="2">
        <f>IFERROR(__xludf.DUMMYFUNCTION("""COMPUTED_VALUE"""),6.9070504047E10)</f>
        <v>69070504047</v>
      </c>
    </row>
    <row r="161">
      <c r="A161" s="2">
        <v>6.9070500201E10</v>
      </c>
      <c r="B161" s="2" t="s">
        <v>449</v>
      </c>
      <c r="C161" s="2" t="s">
        <v>450</v>
      </c>
      <c r="D161" s="2">
        <f>IFERROR(__xludf.DUMMYFUNCTION("""COMPUTED_VALUE"""),6.9070500201E10)</f>
        <v>69070500201</v>
      </c>
      <c r="E161" s="2">
        <f>IFERROR(__xludf.DUMMYFUNCTION("""COMPUTED_VALUE"""),6.9070504012E10)</f>
        <v>69070504012</v>
      </c>
    </row>
    <row r="162">
      <c r="A162" s="2">
        <v>6.9070500248E10</v>
      </c>
      <c r="B162" s="2" t="s">
        <v>454</v>
      </c>
      <c r="C162" s="2" t="s">
        <v>455</v>
      </c>
      <c r="D162" s="2">
        <f>IFERROR(__xludf.DUMMYFUNCTION("""COMPUTED_VALUE"""),6.9070500248E10)</f>
        <v>69070500248</v>
      </c>
      <c r="E162" s="2">
        <f>IFERROR(__xludf.DUMMYFUNCTION("""COMPUTED_VALUE"""),6.9070504035E10)</f>
        <v>69070504035</v>
      </c>
    </row>
    <row r="163">
      <c r="A163" s="2">
        <v>6.9070500437E10</v>
      </c>
      <c r="B163" s="2" t="s">
        <v>60</v>
      </c>
      <c r="C163" s="2" t="s">
        <v>456</v>
      </c>
      <c r="D163" s="2">
        <f>IFERROR(__xludf.DUMMYFUNCTION("""COMPUTED_VALUE"""),6.9070500437E10)</f>
        <v>69070500437</v>
      </c>
      <c r="E163" s="2">
        <f>IFERROR(__xludf.DUMMYFUNCTION("""COMPUTED_VALUE"""),6.9070504049E10)</f>
        <v>69070504049</v>
      </c>
    </row>
    <row r="164">
      <c r="A164" s="2">
        <v>6.9070509825E10</v>
      </c>
      <c r="B164" s="2" t="s">
        <v>457</v>
      </c>
      <c r="C164" s="2" t="s">
        <v>459</v>
      </c>
      <c r="D164" s="2">
        <f>IFERROR(__xludf.DUMMYFUNCTION("""COMPUTED_VALUE"""),6.9070509825E10)</f>
        <v>69070509825</v>
      </c>
      <c r="E164" s="2">
        <f>IFERROR(__xludf.DUMMYFUNCTION("""COMPUTED_VALUE"""),6.9070503276E10)</f>
        <v>69070503276</v>
      </c>
    </row>
    <row r="165">
      <c r="A165" s="2">
        <v>6.9070505223E10</v>
      </c>
      <c r="B165" s="2" t="s">
        <v>460</v>
      </c>
      <c r="C165" s="2" t="s">
        <v>461</v>
      </c>
      <c r="D165" s="2">
        <f>IFERROR(__xludf.DUMMYFUNCTION("""COMPUTED_VALUE"""),6.9070505223E10)</f>
        <v>69070505223</v>
      </c>
      <c r="E165" s="2">
        <f>IFERROR(__xludf.DUMMYFUNCTION("""COMPUTED_VALUE"""),6.9070504039E10)</f>
        <v>69070504039</v>
      </c>
    </row>
    <row r="166">
      <c r="A166" s="2">
        <v>6.9070506413E10</v>
      </c>
      <c r="B166" s="2" t="s">
        <v>462</v>
      </c>
      <c r="C166" s="2" t="s">
        <v>463</v>
      </c>
      <c r="D166" s="2">
        <f>IFERROR(__xludf.DUMMYFUNCTION("""COMPUTED_VALUE"""),6.9070506413E10)</f>
        <v>69070506413</v>
      </c>
      <c r="E166" s="2">
        <f>IFERROR(__xludf.DUMMYFUNCTION("""COMPUTED_VALUE"""),6.9070503453E10)</f>
        <v>69070503453</v>
      </c>
    </row>
    <row r="167">
      <c r="A167" s="2">
        <v>6.9070501248E10</v>
      </c>
      <c r="B167" s="2" t="s">
        <v>464</v>
      </c>
      <c r="C167" s="2" t="s">
        <v>465</v>
      </c>
      <c r="D167" s="2">
        <f>IFERROR(__xludf.DUMMYFUNCTION("""COMPUTED_VALUE"""),6.9070501248E10)</f>
        <v>69070501248</v>
      </c>
      <c r="E167" s="2">
        <f>IFERROR(__xludf.DUMMYFUNCTION("""COMPUTED_VALUE"""),6.9070503259E10)</f>
        <v>69070503259</v>
      </c>
    </row>
    <row r="168">
      <c r="A168" s="2">
        <v>6.9070508207E10</v>
      </c>
      <c r="B168" s="2" t="s">
        <v>466</v>
      </c>
      <c r="C168" s="2" t="s">
        <v>467</v>
      </c>
      <c r="D168" s="2">
        <f>IFERROR(__xludf.DUMMYFUNCTION("""COMPUTED_VALUE"""),6.9070508207E10)</f>
        <v>69070508207</v>
      </c>
      <c r="E168" s="2">
        <f>IFERROR(__xludf.DUMMYFUNCTION("""COMPUTED_VALUE"""),6.9070503238E10)</f>
        <v>69070503238</v>
      </c>
    </row>
    <row r="169">
      <c r="A169" s="2">
        <v>6.9070501063E10</v>
      </c>
      <c r="B169" s="2" t="s">
        <v>468</v>
      </c>
      <c r="C169" s="2" t="s">
        <v>469</v>
      </c>
      <c r="D169" s="2">
        <f>IFERROR(__xludf.DUMMYFUNCTION("""COMPUTED_VALUE"""),6.9070501063E10)</f>
        <v>69070501063</v>
      </c>
      <c r="E169" s="2">
        <f>IFERROR(__xludf.DUMMYFUNCTION("""COMPUTED_VALUE"""),6.9070504017E10)</f>
        <v>69070504017</v>
      </c>
    </row>
    <row r="170">
      <c r="A170" s="2">
        <v>6.9070506424E10</v>
      </c>
      <c r="B170" s="2" t="s">
        <v>470</v>
      </c>
      <c r="C170" s="2" t="s">
        <v>471</v>
      </c>
      <c r="D170" s="2">
        <f>IFERROR(__xludf.DUMMYFUNCTION("""COMPUTED_VALUE"""),6.9070506424E10)</f>
        <v>69070506424</v>
      </c>
      <c r="E170" s="2">
        <f>IFERROR(__xludf.DUMMYFUNCTION("""COMPUTED_VALUE"""),6.9070503221E10)</f>
        <v>69070503221</v>
      </c>
    </row>
    <row r="171">
      <c r="A171" s="2">
        <v>6.9070502807E10</v>
      </c>
      <c r="B171" s="2" t="s">
        <v>472</v>
      </c>
      <c r="C171" s="2" t="s">
        <v>473</v>
      </c>
      <c r="D171" s="2">
        <f>IFERROR(__xludf.DUMMYFUNCTION("""COMPUTED_VALUE"""),6.9070502807E10)</f>
        <v>69070502807</v>
      </c>
      <c r="E171" s="2">
        <f>IFERROR(__xludf.DUMMYFUNCTION("""COMPUTED_VALUE"""),6.9070503281E10)</f>
        <v>69070503281</v>
      </c>
    </row>
    <row r="172">
      <c r="A172" s="2">
        <v>6.9070502512E10</v>
      </c>
      <c r="B172" s="2" t="s">
        <v>474</v>
      </c>
      <c r="C172" s="2" t="s">
        <v>475</v>
      </c>
      <c r="D172" s="2">
        <f>IFERROR(__xludf.DUMMYFUNCTION("""COMPUTED_VALUE"""),6.9070502512E10)</f>
        <v>69070502512</v>
      </c>
      <c r="E172" s="2">
        <f>IFERROR(__xludf.DUMMYFUNCTION("""COMPUTED_VALUE"""),6.9070503209E10)</f>
        <v>69070503209</v>
      </c>
    </row>
    <row r="173">
      <c r="A173" s="2">
        <v>6.9070509806E10</v>
      </c>
      <c r="B173" s="2" t="s">
        <v>476</v>
      </c>
      <c r="C173" s="2" t="s">
        <v>477</v>
      </c>
      <c r="D173" s="2">
        <f>IFERROR(__xludf.DUMMYFUNCTION("""COMPUTED_VALUE"""),6.9070509806E10)</f>
        <v>69070509806</v>
      </c>
      <c r="E173" s="2">
        <f>IFERROR(__xludf.DUMMYFUNCTION("""COMPUTED_VALUE"""),6.9070503277E10)</f>
        <v>69070503277</v>
      </c>
    </row>
    <row r="174">
      <c r="A174" s="2">
        <v>6.9070500227E10</v>
      </c>
      <c r="B174" s="2" t="s">
        <v>478</v>
      </c>
      <c r="C174" s="2" t="s">
        <v>479</v>
      </c>
      <c r="D174" s="2">
        <f>IFERROR(__xludf.DUMMYFUNCTION("""COMPUTED_VALUE"""),6.9070500227E10)</f>
        <v>69070500227</v>
      </c>
      <c r="E174" s="2">
        <f>IFERROR(__xludf.DUMMYFUNCTION("""COMPUTED_VALUE"""),6.9070503256E10)</f>
        <v>69070503256</v>
      </c>
    </row>
    <row r="175">
      <c r="A175" s="2">
        <v>6.9070506447E10</v>
      </c>
      <c r="B175" s="2" t="s">
        <v>480</v>
      </c>
      <c r="C175" s="2" t="s">
        <v>481</v>
      </c>
      <c r="D175" s="2">
        <f>IFERROR(__xludf.DUMMYFUNCTION("""COMPUTED_VALUE"""),6.9070506447E10)</f>
        <v>69070506447</v>
      </c>
      <c r="E175" s="2">
        <f>IFERROR(__xludf.DUMMYFUNCTION("""COMPUTED_VALUE"""),6.9070503267E10)</f>
        <v>69070503267</v>
      </c>
    </row>
    <row r="176">
      <c r="A176" s="2">
        <v>6.9070509834E10</v>
      </c>
      <c r="B176" s="2" t="s">
        <v>482</v>
      </c>
      <c r="C176" s="2" t="s">
        <v>483</v>
      </c>
      <c r="D176" s="2">
        <f>IFERROR(__xludf.DUMMYFUNCTION("""COMPUTED_VALUE"""),6.9070509834E10)</f>
        <v>69070509834</v>
      </c>
      <c r="E176" s="2">
        <f>IFERROR(__xludf.DUMMYFUNCTION("""COMPUTED_VALUE"""),6.907050328E10)</f>
        <v>69070503280</v>
      </c>
    </row>
    <row r="177">
      <c r="A177" s="2">
        <v>6.9070502808E10</v>
      </c>
      <c r="B177" s="2" t="s">
        <v>484</v>
      </c>
      <c r="C177" s="2" t="s">
        <v>485</v>
      </c>
      <c r="D177" s="2">
        <f>IFERROR(__xludf.DUMMYFUNCTION("""COMPUTED_VALUE"""),6.9070502808E10)</f>
        <v>69070502808</v>
      </c>
      <c r="E177" s="2">
        <f>IFERROR(__xludf.DUMMYFUNCTION("""COMPUTED_VALUE"""),6.9070504028E10)</f>
        <v>69070504028</v>
      </c>
    </row>
    <row r="178">
      <c r="A178" s="2">
        <v>6.9070500436E10</v>
      </c>
      <c r="B178" s="2" t="s">
        <v>486</v>
      </c>
      <c r="C178" s="2" t="s">
        <v>487</v>
      </c>
      <c r="D178" s="2">
        <f>IFERROR(__xludf.DUMMYFUNCTION("""COMPUTED_VALUE"""),6.9070500436E10)</f>
        <v>69070500436</v>
      </c>
      <c r="E178" s="2">
        <f>IFERROR(__xludf.DUMMYFUNCTION("""COMPUTED_VALUE"""),6.9070503257E10)</f>
        <v>69070503257</v>
      </c>
    </row>
    <row r="179">
      <c r="A179" s="2">
        <v>6.9070502504E10</v>
      </c>
      <c r="B179" s="2" t="s">
        <v>488</v>
      </c>
      <c r="C179" s="2" t="s">
        <v>489</v>
      </c>
      <c r="D179" s="2">
        <f>IFERROR(__xludf.DUMMYFUNCTION("""COMPUTED_VALUE"""),6.9070502504E10)</f>
        <v>69070502504</v>
      </c>
      <c r="E179" s="2">
        <f>IFERROR(__xludf.DUMMYFUNCTION("""COMPUTED_VALUE"""),6.9070503214E10)</f>
        <v>69070503214</v>
      </c>
    </row>
    <row r="180">
      <c r="A180" s="2">
        <v>6.9070509833E10</v>
      </c>
      <c r="B180" s="2" t="s">
        <v>490</v>
      </c>
      <c r="C180" s="2" t="s">
        <v>491</v>
      </c>
      <c r="D180" s="2">
        <f>IFERROR(__xludf.DUMMYFUNCTION("""COMPUTED_VALUE"""),6.9070509833E10)</f>
        <v>69070509833</v>
      </c>
      <c r="E180" s="2">
        <f>IFERROR(__xludf.DUMMYFUNCTION("""COMPUTED_VALUE"""),6.9070503271E10)</f>
        <v>69070503271</v>
      </c>
    </row>
    <row r="181">
      <c r="A181" s="2">
        <v>6.9070502501E10</v>
      </c>
      <c r="B181" s="2" t="s">
        <v>492</v>
      </c>
      <c r="C181" s="2" t="s">
        <v>493</v>
      </c>
      <c r="D181" s="2">
        <f>IFERROR(__xludf.DUMMYFUNCTION("""COMPUTED_VALUE"""),6.9070502501E10)</f>
        <v>69070502501</v>
      </c>
      <c r="E181" s="2">
        <f>IFERROR(__xludf.DUMMYFUNCTION("""COMPUTED_VALUE"""),6.9070508617E10)</f>
        <v>69070508617</v>
      </c>
    </row>
    <row r="182">
      <c r="A182" s="2">
        <v>6.9070506434E10</v>
      </c>
      <c r="B182" s="2" t="s">
        <v>494</v>
      </c>
      <c r="C182" s="2" t="s">
        <v>495</v>
      </c>
      <c r="D182" s="2">
        <f>IFERROR(__xludf.DUMMYFUNCTION("""COMPUTED_VALUE"""),6.9070506434E10)</f>
        <v>69070506434</v>
      </c>
      <c r="E182" s="2">
        <f>IFERROR(__xludf.DUMMYFUNCTION("""COMPUTED_VALUE"""),6.9070508622E10)</f>
        <v>69070508622</v>
      </c>
    </row>
    <row r="183">
      <c r="A183" s="2">
        <v>6.9070502411E10</v>
      </c>
      <c r="B183" s="2" t="s">
        <v>497</v>
      </c>
      <c r="C183" s="2" t="s">
        <v>498</v>
      </c>
      <c r="D183" s="2">
        <f>IFERROR(__xludf.DUMMYFUNCTION("""COMPUTED_VALUE"""),6.9070502411E10)</f>
        <v>69070502411</v>
      </c>
      <c r="E183" s="2">
        <f>IFERROR(__xludf.DUMMYFUNCTION("""COMPUTED_VALUE"""),6.9070503245E10)</f>
        <v>69070503245</v>
      </c>
    </row>
    <row r="184">
      <c r="A184" s="2">
        <v>6.9070501817E10</v>
      </c>
      <c r="B184" s="2" t="s">
        <v>501</v>
      </c>
      <c r="C184" s="2" t="s">
        <v>502</v>
      </c>
      <c r="D184" s="2">
        <f>IFERROR(__xludf.DUMMYFUNCTION("""COMPUTED_VALUE"""),6.9070501817E10)</f>
        <v>69070501817</v>
      </c>
      <c r="E184" s="2">
        <f>IFERROR(__xludf.DUMMYFUNCTION("""COMPUTED_VALUE"""),6.9070508623E10)</f>
        <v>69070508623</v>
      </c>
    </row>
    <row r="185">
      <c r="A185" s="2">
        <v>6.9070500305E10</v>
      </c>
      <c r="B185" s="2" t="s">
        <v>323</v>
      </c>
      <c r="C185" s="2" t="s">
        <v>505</v>
      </c>
      <c r="D185" s="2">
        <f>IFERROR(__xludf.DUMMYFUNCTION("""COMPUTED_VALUE"""),6.9070500305E10)</f>
        <v>69070500305</v>
      </c>
      <c r="E185" s="2">
        <f>IFERROR(__xludf.DUMMYFUNCTION("""COMPUTED_VALUE"""),6.9070503242E10)</f>
        <v>69070503242</v>
      </c>
    </row>
    <row r="186">
      <c r="A186" s="2">
        <v>6.9070509817E10</v>
      </c>
      <c r="B186" s="2" t="s">
        <v>507</v>
      </c>
      <c r="C186" s="2" t="s">
        <v>509</v>
      </c>
      <c r="D186" s="2">
        <f>IFERROR(__xludf.DUMMYFUNCTION("""COMPUTED_VALUE"""),6.9070509817E10)</f>
        <v>69070509817</v>
      </c>
      <c r="E186" s="2">
        <f>IFERROR(__xludf.DUMMYFUNCTION("""COMPUTED_VALUE"""),6.907050863E10)</f>
        <v>69070508630</v>
      </c>
    </row>
    <row r="187">
      <c r="A187" s="2">
        <v>6.9070500472E10</v>
      </c>
      <c r="B187" s="2" t="s">
        <v>511</v>
      </c>
      <c r="C187" s="2" t="s">
        <v>512</v>
      </c>
      <c r="D187" s="2">
        <f>IFERROR(__xludf.DUMMYFUNCTION("""COMPUTED_VALUE"""),6.9070500472E10)</f>
        <v>69070500472</v>
      </c>
      <c r="E187" s="2">
        <f>IFERROR(__xludf.DUMMYFUNCTION("""COMPUTED_VALUE"""),6.9070503246E10)</f>
        <v>69070503246</v>
      </c>
    </row>
    <row r="188">
      <c r="A188" s="2">
        <v>6.9070509635E10</v>
      </c>
      <c r="B188" s="2" t="s">
        <v>514</v>
      </c>
      <c r="C188" s="2" t="s">
        <v>515</v>
      </c>
      <c r="D188" s="2">
        <f>IFERROR(__xludf.DUMMYFUNCTION("""COMPUTED_VALUE"""),6.9070509635E10)</f>
        <v>69070509635</v>
      </c>
      <c r="E188" s="2">
        <f>IFERROR(__xludf.DUMMYFUNCTION("""COMPUTED_VALUE"""),6.9070503275E10)</f>
        <v>69070503275</v>
      </c>
    </row>
    <row r="189">
      <c r="A189" s="2">
        <v>6.9070500411E10</v>
      </c>
      <c r="B189" s="2" t="s">
        <v>517</v>
      </c>
      <c r="C189" s="2" t="s">
        <v>518</v>
      </c>
      <c r="D189" s="2">
        <f>IFERROR(__xludf.DUMMYFUNCTION("""COMPUTED_VALUE"""),6.9070500411E10)</f>
        <v>69070500411</v>
      </c>
      <c r="E189" s="2">
        <f>IFERROR(__xludf.DUMMYFUNCTION("""COMPUTED_VALUE"""),6.9070503225E10)</f>
        <v>69070503225</v>
      </c>
    </row>
    <row r="190">
      <c r="A190" s="2">
        <v>6.9070509827E10</v>
      </c>
      <c r="B190" s="2" t="s">
        <v>519</v>
      </c>
      <c r="C190" s="2" t="s">
        <v>520</v>
      </c>
      <c r="D190" s="2">
        <f>IFERROR(__xludf.DUMMYFUNCTION("""COMPUTED_VALUE"""),6.9070509827E10)</f>
        <v>69070509827</v>
      </c>
      <c r="E190" s="2">
        <f>IFERROR(__xludf.DUMMYFUNCTION("""COMPUTED_VALUE"""),6.9070503223E10)</f>
        <v>69070503223</v>
      </c>
    </row>
    <row r="191">
      <c r="A191" s="2">
        <v>6.9070505219E10</v>
      </c>
      <c r="B191" s="2" t="s">
        <v>522</v>
      </c>
      <c r="C191" s="2" t="s">
        <v>523</v>
      </c>
      <c r="D191" s="2">
        <f>IFERROR(__xludf.DUMMYFUNCTION("""COMPUTED_VALUE"""),6.9070505219E10)</f>
        <v>69070505219</v>
      </c>
      <c r="E191" s="2">
        <f>IFERROR(__xludf.DUMMYFUNCTION("""COMPUTED_VALUE"""),6.9070503264E10)</f>
        <v>69070503264</v>
      </c>
    </row>
    <row r="192">
      <c r="A192" s="2">
        <v>6.9070501058E10</v>
      </c>
      <c r="B192" s="2" t="s">
        <v>282</v>
      </c>
      <c r="C192" s="2" t="s">
        <v>525</v>
      </c>
      <c r="D192" s="2">
        <f>IFERROR(__xludf.DUMMYFUNCTION("""COMPUTED_VALUE"""),6.9070501058E10)</f>
        <v>69070501058</v>
      </c>
      <c r="E192" s="2">
        <f>IFERROR(__xludf.DUMMYFUNCTION("""COMPUTED_VALUE"""),6.9070503252E10)</f>
        <v>69070503252</v>
      </c>
    </row>
    <row r="193">
      <c r="A193" s="2">
        <v>6.907050645E10</v>
      </c>
      <c r="B193" s="2" t="s">
        <v>526</v>
      </c>
      <c r="C193" s="2" t="s">
        <v>527</v>
      </c>
      <c r="D193" s="2">
        <f>IFERROR(__xludf.DUMMYFUNCTION("""COMPUTED_VALUE"""),6.907050645E10)</f>
        <v>69070506450</v>
      </c>
      <c r="E193" s="2">
        <f>IFERROR(__xludf.DUMMYFUNCTION("""COMPUTED_VALUE"""),6.9070503222E10)</f>
        <v>69070503222</v>
      </c>
    </row>
    <row r="194">
      <c r="A194" s="2">
        <v>6.9070501002E10</v>
      </c>
      <c r="B194" s="2" t="s">
        <v>528</v>
      </c>
      <c r="C194" s="2" t="s">
        <v>529</v>
      </c>
      <c r="D194" s="2">
        <f>IFERROR(__xludf.DUMMYFUNCTION("""COMPUTED_VALUE"""),6.9070501002E10)</f>
        <v>69070501002</v>
      </c>
      <c r="E194" s="2">
        <f>IFERROR(__xludf.DUMMYFUNCTION("""COMPUTED_VALUE"""),6.907050904E10)</f>
        <v>69070509040</v>
      </c>
    </row>
    <row r="195">
      <c r="A195" s="2">
        <v>6.9070509811E10</v>
      </c>
      <c r="B195" s="2" t="s">
        <v>530</v>
      </c>
      <c r="C195" s="2" t="s">
        <v>531</v>
      </c>
      <c r="D195" s="2">
        <f>IFERROR(__xludf.DUMMYFUNCTION("""COMPUTED_VALUE"""),6.9070509811E10)</f>
        <v>69070509811</v>
      </c>
      <c r="E195" s="2">
        <f>IFERROR(__xludf.DUMMYFUNCTION("""COMPUTED_VALUE"""),6.9070503245E10)</f>
        <v>69070503245</v>
      </c>
    </row>
    <row r="196">
      <c r="A196" s="2">
        <v>6.9070500477E10</v>
      </c>
      <c r="B196" s="2" t="s">
        <v>532</v>
      </c>
      <c r="C196" s="2" t="s">
        <v>533</v>
      </c>
      <c r="D196" s="2">
        <f>IFERROR(__xludf.DUMMYFUNCTION("""COMPUTED_VALUE"""),6.9070500477E10)</f>
        <v>69070500477</v>
      </c>
      <c r="E196" s="2">
        <f>IFERROR(__xludf.DUMMYFUNCTION("""COMPUTED_VALUE"""),6.9070503228E10)</f>
        <v>69070503228</v>
      </c>
    </row>
    <row r="197">
      <c r="A197" s="2">
        <v>6.9070509631E10</v>
      </c>
      <c r="B197" s="2" t="s">
        <v>534</v>
      </c>
      <c r="C197" s="2" t="s">
        <v>535</v>
      </c>
      <c r="D197" s="2">
        <f>IFERROR(__xludf.DUMMYFUNCTION("""COMPUTED_VALUE"""),6.9070509631E10)</f>
        <v>69070509631</v>
      </c>
      <c r="E197" s="2">
        <f>IFERROR(__xludf.DUMMYFUNCTION("""COMPUTED_VALUE"""),6.9070503236E10)</f>
        <v>69070503236</v>
      </c>
    </row>
    <row r="198">
      <c r="A198" s="2">
        <v>6.9070506453E10</v>
      </c>
      <c r="B198" s="2" t="s">
        <v>536</v>
      </c>
      <c r="C198" s="2" t="s">
        <v>537</v>
      </c>
      <c r="D198" s="2">
        <f>IFERROR(__xludf.DUMMYFUNCTION("""COMPUTED_VALUE"""),6.9070506453E10)</f>
        <v>69070506453</v>
      </c>
      <c r="E198" s="2">
        <f>IFERROR(__xludf.DUMMYFUNCTION("""COMPUTED_VALUE"""),6.9070503269E10)</f>
        <v>69070503269</v>
      </c>
    </row>
    <row r="199">
      <c r="A199" s="2">
        <v>6.907050282E10</v>
      </c>
      <c r="B199" s="2" t="s">
        <v>538</v>
      </c>
      <c r="C199" s="2" t="s">
        <v>539</v>
      </c>
      <c r="D199" s="2">
        <f>IFERROR(__xludf.DUMMYFUNCTION("""COMPUTED_VALUE"""),6.907050282E10)</f>
        <v>69070502820</v>
      </c>
      <c r="E199" s="2">
        <f>IFERROR(__xludf.DUMMYFUNCTION("""COMPUTED_VALUE"""),6.907050345E10)</f>
        <v>69070503450</v>
      </c>
    </row>
    <row r="200">
      <c r="A200" s="2">
        <v>6.9070500256E10</v>
      </c>
      <c r="B200" s="2" t="s">
        <v>540</v>
      </c>
      <c r="C200" s="2" t="s">
        <v>541</v>
      </c>
      <c r="D200" s="2">
        <f>IFERROR(__xludf.DUMMYFUNCTION("""COMPUTED_VALUE"""),6.9070500256E10)</f>
        <v>69070500256</v>
      </c>
      <c r="E200" s="2">
        <f>IFERROR(__xludf.DUMMYFUNCTION("""COMPUTED_VALUE"""),6.9070503442E10)</f>
        <v>69070503442</v>
      </c>
    </row>
    <row r="201">
      <c r="A201" s="2">
        <v>6.9070500307E10</v>
      </c>
      <c r="B201" s="2" t="s">
        <v>542</v>
      </c>
      <c r="C201" s="2" t="s">
        <v>543</v>
      </c>
      <c r="D201" s="2">
        <f>IFERROR(__xludf.DUMMYFUNCTION("""COMPUTED_VALUE"""),6.9070500307E10)</f>
        <v>69070500307</v>
      </c>
      <c r="E201" s="2">
        <f>IFERROR(__xludf.DUMMYFUNCTION("""COMPUTED_VALUE"""),6.907050902E10)</f>
        <v>69070509020</v>
      </c>
    </row>
    <row r="202">
      <c r="A202" s="2">
        <v>6.9070500805E10</v>
      </c>
      <c r="B202" s="2" t="s">
        <v>544</v>
      </c>
      <c r="C202" s="2" t="s">
        <v>545</v>
      </c>
      <c r="D202" s="2">
        <f>IFERROR(__xludf.DUMMYFUNCTION("""COMPUTED_VALUE"""),6.9070500805E10)</f>
        <v>69070500805</v>
      </c>
      <c r="E202" s="2">
        <f>IFERROR(__xludf.DUMMYFUNCTION("""COMPUTED_VALUE"""),6.907050321E10)</f>
        <v>69070503210</v>
      </c>
    </row>
    <row r="203">
      <c r="A203" s="2">
        <v>6.9070500428E10</v>
      </c>
      <c r="B203" s="2" t="s">
        <v>548</v>
      </c>
      <c r="C203" s="2" t="s">
        <v>549</v>
      </c>
      <c r="D203" s="2">
        <f>IFERROR(__xludf.DUMMYFUNCTION("""COMPUTED_VALUE"""),6.9070500428E10)</f>
        <v>69070500428</v>
      </c>
      <c r="E203" s="2">
        <f>IFERROR(__xludf.DUMMYFUNCTION("""COMPUTED_VALUE"""),6.9070503218E10)</f>
        <v>69070503218</v>
      </c>
    </row>
    <row r="204">
      <c r="A204" s="2">
        <v>6.9070500286E10</v>
      </c>
      <c r="B204" s="2" t="s">
        <v>553</v>
      </c>
      <c r="C204" s="2" t="s">
        <v>554</v>
      </c>
      <c r="D204" s="2">
        <f>IFERROR(__xludf.DUMMYFUNCTION("""COMPUTED_VALUE"""),6.9070500286E10)</f>
        <v>69070500286</v>
      </c>
      <c r="E204" s="2">
        <f>IFERROR(__xludf.DUMMYFUNCTION("""COMPUTED_VALUE"""),6.9070503263E10)</f>
        <v>69070503263</v>
      </c>
    </row>
    <row r="205">
      <c r="A205" s="2">
        <v>6.9070509632E10</v>
      </c>
      <c r="B205" s="2" t="s">
        <v>558</v>
      </c>
      <c r="C205" s="2" t="s">
        <v>559</v>
      </c>
      <c r="D205" s="2">
        <f>IFERROR(__xludf.DUMMYFUNCTION("""COMPUTED_VALUE"""),6.9070509632E10)</f>
        <v>69070509632</v>
      </c>
      <c r="E205" s="2">
        <f>IFERROR(__xludf.DUMMYFUNCTION("""COMPUTED_VALUE"""),6.9070509014E10)</f>
        <v>69070509014</v>
      </c>
    </row>
    <row r="206">
      <c r="A206" s="2">
        <v>6.907050108E10</v>
      </c>
      <c r="B206" s="2" t="s">
        <v>561</v>
      </c>
      <c r="C206" s="2" t="s">
        <v>562</v>
      </c>
      <c r="D206" s="2">
        <f>IFERROR(__xludf.DUMMYFUNCTION("""COMPUTED_VALUE"""),6.907050108E10)</f>
        <v>69070501080</v>
      </c>
      <c r="E206" s="2">
        <f>IFERROR(__xludf.DUMMYFUNCTION("""COMPUTED_VALUE"""),6.9070509005E10)</f>
        <v>69070509005</v>
      </c>
    </row>
    <row r="207">
      <c r="A207" s="2">
        <v>6.9070502215E10</v>
      </c>
      <c r="B207" s="2" t="s">
        <v>563</v>
      </c>
      <c r="C207" s="2" t="s">
        <v>564</v>
      </c>
      <c r="D207" s="2">
        <f>IFERROR(__xludf.DUMMYFUNCTION("""COMPUTED_VALUE"""),6.9070502215E10)</f>
        <v>69070502215</v>
      </c>
      <c r="E207" s="2">
        <f>IFERROR(__xludf.DUMMYFUNCTION("""COMPUTED_VALUE"""),6.9070509012E10)</f>
        <v>69070509012</v>
      </c>
    </row>
    <row r="208">
      <c r="A208" s="2">
        <v>6.9070506429E10</v>
      </c>
      <c r="B208" s="2" t="s">
        <v>323</v>
      </c>
      <c r="C208" s="2" t="s">
        <v>565</v>
      </c>
      <c r="D208" s="2">
        <f>IFERROR(__xludf.DUMMYFUNCTION("""COMPUTED_VALUE"""),6.9070506429E10)</f>
        <v>69070506429</v>
      </c>
    </row>
    <row r="209">
      <c r="A209" s="2">
        <v>6.9070501069E10</v>
      </c>
      <c r="B209" s="2" t="s">
        <v>566</v>
      </c>
      <c r="C209" s="2" t="s">
        <v>567</v>
      </c>
      <c r="D209" s="2">
        <f>IFERROR(__xludf.DUMMYFUNCTION("""COMPUTED_VALUE"""),6.9070501069E10)</f>
        <v>69070501069</v>
      </c>
    </row>
    <row r="210">
      <c r="A210" s="2">
        <v>6.9070501855E10</v>
      </c>
      <c r="B210" s="2" t="s">
        <v>568</v>
      </c>
      <c r="C210" s="2" t="s">
        <v>569</v>
      </c>
      <c r="D210" s="2">
        <f>IFERROR(__xludf.DUMMYFUNCTION("""COMPUTED_VALUE"""),6.9070501855E10)</f>
        <v>69070501855</v>
      </c>
    </row>
    <row r="211">
      <c r="A211" s="2">
        <v>6.9070500425E10</v>
      </c>
      <c r="B211" s="2" t="s">
        <v>570</v>
      </c>
      <c r="C211" s="2" t="s">
        <v>571</v>
      </c>
      <c r="D211" s="2">
        <f>IFERROR(__xludf.DUMMYFUNCTION("""COMPUTED_VALUE"""),6.9070500425E10)</f>
        <v>69070500425</v>
      </c>
    </row>
    <row r="212">
      <c r="A212" s="2">
        <v>6.9070509603E10</v>
      </c>
      <c r="B212" s="2" t="s">
        <v>572</v>
      </c>
      <c r="C212" s="2" t="s">
        <v>573</v>
      </c>
      <c r="D212" s="2">
        <f>IFERROR(__xludf.DUMMYFUNCTION("""COMPUTED_VALUE"""),6.9070509603E10)</f>
        <v>69070509603</v>
      </c>
    </row>
    <row r="213">
      <c r="A213" s="2">
        <v>6.9070500811E10</v>
      </c>
      <c r="B213" s="2" t="s">
        <v>574</v>
      </c>
      <c r="C213" s="2" t="s">
        <v>575</v>
      </c>
      <c r="D213" s="2">
        <f>IFERROR(__xludf.DUMMYFUNCTION("""COMPUTED_VALUE"""),6.9070500811E10)</f>
        <v>69070500811</v>
      </c>
    </row>
    <row r="214">
      <c r="A214" s="2">
        <v>6.9070501275E10</v>
      </c>
      <c r="B214" s="2" t="s">
        <v>576</v>
      </c>
      <c r="C214" s="2" t="s">
        <v>577</v>
      </c>
      <c r="D214" s="2">
        <f>IFERROR(__xludf.DUMMYFUNCTION("""COMPUTED_VALUE"""),6.9070501275E10)</f>
        <v>69070501275</v>
      </c>
    </row>
    <row r="215">
      <c r="A215" s="2">
        <v>6.9070500426E10</v>
      </c>
      <c r="B215" s="2" t="s">
        <v>578</v>
      </c>
      <c r="C215" s="2" t="s">
        <v>579</v>
      </c>
      <c r="D215" s="2">
        <f>IFERROR(__xludf.DUMMYFUNCTION("""COMPUTED_VALUE"""),6.9070500426E10)</f>
        <v>69070500426</v>
      </c>
    </row>
    <row r="216">
      <c r="A216" s="2">
        <v>6.9070501268E10</v>
      </c>
      <c r="B216" s="2" t="s">
        <v>580</v>
      </c>
      <c r="C216" s="2" t="s">
        <v>581</v>
      </c>
      <c r="D216" s="2">
        <f>IFERROR(__xludf.DUMMYFUNCTION("""COMPUTED_VALUE"""),6.9070501268E10)</f>
        <v>69070501268</v>
      </c>
    </row>
    <row r="217">
      <c r="A217" s="2">
        <v>6.9070502408E10</v>
      </c>
      <c r="B217" s="2" t="s">
        <v>582</v>
      </c>
      <c r="C217" s="2" t="s">
        <v>583</v>
      </c>
      <c r="D217" s="2">
        <f>IFERROR(__xludf.DUMMYFUNCTION("""COMPUTED_VALUE"""),6.9070502408E10)</f>
        <v>69070502408</v>
      </c>
    </row>
    <row r="218">
      <c r="A218" s="2">
        <v>6.9070508241E10</v>
      </c>
      <c r="B218" s="2" t="s">
        <v>584</v>
      </c>
      <c r="C218" s="2" t="s">
        <v>585</v>
      </c>
      <c r="D218" s="2">
        <f>IFERROR(__xludf.DUMMYFUNCTION("""COMPUTED_VALUE"""),6.9070508241E10)</f>
        <v>69070508241</v>
      </c>
    </row>
    <row r="219">
      <c r="A219" s="2">
        <v>6.9070501837E10</v>
      </c>
      <c r="B219" s="2" t="s">
        <v>586</v>
      </c>
      <c r="C219" s="2" t="s">
        <v>587</v>
      </c>
      <c r="D219" s="2">
        <f>IFERROR(__xludf.DUMMYFUNCTION("""COMPUTED_VALUE"""),6.9070501837E10)</f>
        <v>69070501837</v>
      </c>
    </row>
    <row r="220">
      <c r="A220" s="2">
        <v>6.907050103E10</v>
      </c>
      <c r="B220" s="2" t="s">
        <v>588</v>
      </c>
      <c r="C220" s="2" t="s">
        <v>589</v>
      </c>
      <c r="D220" s="2">
        <f>IFERROR(__xludf.DUMMYFUNCTION("""COMPUTED_VALUE"""),6.907050103E10)</f>
        <v>69070501030</v>
      </c>
    </row>
    <row r="221">
      <c r="A221" s="2">
        <v>6.9070502467E10</v>
      </c>
      <c r="B221" s="2" t="s">
        <v>590</v>
      </c>
      <c r="C221" s="2" t="s">
        <v>591</v>
      </c>
      <c r="D221" s="2">
        <f>IFERROR(__xludf.DUMMYFUNCTION("""COMPUTED_VALUE"""),6.9070502467E10)</f>
        <v>69070502467</v>
      </c>
    </row>
    <row r="222">
      <c r="A222" s="2">
        <v>6.907050983E10</v>
      </c>
      <c r="B222" s="2" t="s">
        <v>592</v>
      </c>
      <c r="C222" s="2" t="s">
        <v>593</v>
      </c>
      <c r="D222" s="2">
        <f>IFERROR(__xludf.DUMMYFUNCTION("""COMPUTED_VALUE"""),6.907050983E10)</f>
        <v>69070509830</v>
      </c>
    </row>
    <row r="223">
      <c r="A223" s="2">
        <v>6.907050105E10</v>
      </c>
      <c r="B223" s="2" t="s">
        <v>594</v>
      </c>
      <c r="C223" s="2" t="s">
        <v>595</v>
      </c>
      <c r="D223" s="2">
        <f>IFERROR(__xludf.DUMMYFUNCTION("""COMPUTED_VALUE"""),6.907050105E10)</f>
        <v>69070501050</v>
      </c>
    </row>
    <row r="224">
      <c r="A224" s="2">
        <v>6.9070500497E10</v>
      </c>
      <c r="B224" s="2" t="s">
        <v>209</v>
      </c>
      <c r="C224" s="2" t="s">
        <v>596</v>
      </c>
      <c r="D224" s="2">
        <f>IFERROR(__xludf.DUMMYFUNCTION("""COMPUTED_VALUE"""),6.9070500497E10)</f>
        <v>69070500497</v>
      </c>
    </row>
    <row r="225">
      <c r="A225" s="2">
        <v>6.9070500814E10</v>
      </c>
      <c r="B225" s="2" t="s">
        <v>597</v>
      </c>
      <c r="C225" s="2" t="s">
        <v>598</v>
      </c>
      <c r="D225" s="2">
        <f>IFERROR(__xludf.DUMMYFUNCTION("""COMPUTED_VALUE"""),6.9070500814E10)</f>
        <v>69070500814</v>
      </c>
    </row>
    <row r="226">
      <c r="A226" s="2">
        <v>6.9070502819E10</v>
      </c>
      <c r="B226" s="2" t="s">
        <v>600</v>
      </c>
      <c r="C226" s="2" t="s">
        <v>602</v>
      </c>
      <c r="D226" s="2">
        <f>IFERROR(__xludf.DUMMYFUNCTION("""COMPUTED_VALUE"""),6.9070502819E10)</f>
        <v>69070502819</v>
      </c>
    </row>
    <row r="227">
      <c r="A227" s="2">
        <v>6.9070502478E10</v>
      </c>
      <c r="B227" s="2" t="s">
        <v>605</v>
      </c>
      <c r="C227" s="2" t="s">
        <v>606</v>
      </c>
      <c r="D227" s="2">
        <f>IFERROR(__xludf.DUMMYFUNCTION("""COMPUTED_VALUE"""),6.9070502478E10)</f>
        <v>69070502478</v>
      </c>
    </row>
    <row r="228">
      <c r="A228" s="2">
        <v>6.9070500819E10</v>
      </c>
      <c r="B228" s="2" t="s">
        <v>609</v>
      </c>
      <c r="C228" s="2" t="s">
        <v>610</v>
      </c>
      <c r="D228" s="2">
        <f>IFERROR(__xludf.DUMMYFUNCTION("""COMPUTED_VALUE"""),6.9070500819E10)</f>
        <v>69070500819</v>
      </c>
    </row>
    <row r="229">
      <c r="A229" s="2">
        <v>6.907050283E10</v>
      </c>
      <c r="B229" s="2" t="s">
        <v>613</v>
      </c>
      <c r="C229" s="2" t="s">
        <v>614</v>
      </c>
      <c r="D229" s="2">
        <f>IFERROR(__xludf.DUMMYFUNCTION("""COMPUTED_VALUE"""),6.907050283E10)</f>
        <v>69070502830</v>
      </c>
    </row>
    <row r="230">
      <c r="A230" s="2">
        <v>6.9070500864E10</v>
      </c>
      <c r="B230" s="2" t="s">
        <v>617</v>
      </c>
      <c r="C230" s="2" t="s">
        <v>618</v>
      </c>
      <c r="D230" s="2">
        <f>IFERROR(__xludf.DUMMYFUNCTION("""COMPUTED_VALUE"""),6.9070500864E10)</f>
        <v>69070500864</v>
      </c>
    </row>
    <row r="231">
      <c r="A231" s="2">
        <v>6.9070501801E10</v>
      </c>
      <c r="B231" s="2" t="s">
        <v>620</v>
      </c>
      <c r="C231" s="2" t="s">
        <v>621</v>
      </c>
      <c r="D231" s="2">
        <f>IFERROR(__xludf.DUMMYFUNCTION("""COMPUTED_VALUE"""),6.9070501801E10)</f>
        <v>69070501801</v>
      </c>
    </row>
    <row r="232">
      <c r="A232" s="2">
        <v>6.9070500866E10</v>
      </c>
      <c r="B232" s="2" t="s">
        <v>622</v>
      </c>
      <c r="C232" s="2" t="s">
        <v>623</v>
      </c>
      <c r="D232" s="2">
        <f>IFERROR(__xludf.DUMMYFUNCTION("""COMPUTED_VALUE"""),6.9070500866E10)</f>
        <v>69070500866</v>
      </c>
    </row>
    <row r="233">
      <c r="A233" s="2">
        <v>6.9070506466E10</v>
      </c>
      <c r="B233" s="2" t="s">
        <v>624</v>
      </c>
      <c r="C233" s="2" t="s">
        <v>626</v>
      </c>
      <c r="D233" s="2">
        <f>IFERROR(__xludf.DUMMYFUNCTION("""COMPUTED_VALUE"""),6.9070506466E10)</f>
        <v>69070506466</v>
      </c>
    </row>
    <row r="234">
      <c r="A234" s="2">
        <v>6.9070502829E10</v>
      </c>
      <c r="B234" s="2" t="s">
        <v>627</v>
      </c>
      <c r="C234" s="2" t="s">
        <v>628</v>
      </c>
      <c r="D234" s="2">
        <f>IFERROR(__xludf.DUMMYFUNCTION("""COMPUTED_VALUE"""),6.9070502829E10)</f>
        <v>69070502829</v>
      </c>
    </row>
    <row r="235">
      <c r="A235" s="2">
        <v>6.9070500401E10</v>
      </c>
      <c r="B235" s="2" t="s">
        <v>630</v>
      </c>
      <c r="C235" s="2" t="s">
        <v>631</v>
      </c>
      <c r="D235" s="2">
        <f>IFERROR(__xludf.DUMMYFUNCTION("""COMPUTED_VALUE"""),6.9070500401E10)</f>
        <v>69070500401</v>
      </c>
    </row>
    <row r="236">
      <c r="A236" s="2">
        <v>6.9070500047E10</v>
      </c>
      <c r="B236" s="2" t="s">
        <v>632</v>
      </c>
      <c r="C236" s="2" t="s">
        <v>634</v>
      </c>
      <c r="D236" s="2">
        <f>IFERROR(__xludf.DUMMYFUNCTION("""COMPUTED_VALUE"""),6.9070500047E10)</f>
        <v>69070500047</v>
      </c>
    </row>
    <row r="237">
      <c r="A237" s="2">
        <v>6.9070500431E10</v>
      </c>
      <c r="B237" s="2" t="s">
        <v>636</v>
      </c>
      <c r="C237" s="2" t="s">
        <v>637</v>
      </c>
      <c r="D237" s="2">
        <f>IFERROR(__xludf.DUMMYFUNCTION("""COMPUTED_VALUE"""),6.9070500431E10)</f>
        <v>69070500431</v>
      </c>
    </row>
    <row r="238">
      <c r="A238" s="2">
        <v>6.9070509842E10</v>
      </c>
      <c r="B238" s="2" t="s">
        <v>639</v>
      </c>
      <c r="C238" s="2" t="s">
        <v>640</v>
      </c>
      <c r="D238" s="2">
        <f>IFERROR(__xludf.DUMMYFUNCTION("""COMPUTED_VALUE"""),6.9070509842E10)</f>
        <v>69070509842</v>
      </c>
    </row>
    <row r="239">
      <c r="A239" s="2">
        <v>6.907050029E10</v>
      </c>
      <c r="B239" s="2" t="s">
        <v>642</v>
      </c>
      <c r="C239" s="2" t="s">
        <v>643</v>
      </c>
      <c r="D239" s="2">
        <f>IFERROR(__xludf.DUMMYFUNCTION("""COMPUTED_VALUE"""),6.907050029E10)</f>
        <v>69070500290</v>
      </c>
    </row>
    <row r="240">
      <c r="A240" s="2">
        <v>6.9070501042E10</v>
      </c>
      <c r="B240" s="2" t="s">
        <v>580</v>
      </c>
      <c r="C240" s="2" t="s">
        <v>644</v>
      </c>
      <c r="D240" s="2">
        <f>IFERROR(__xludf.DUMMYFUNCTION("""COMPUTED_VALUE"""),6.9070501042E10)</f>
        <v>69070501042</v>
      </c>
    </row>
    <row r="241">
      <c r="A241" s="2">
        <v>6.907050821E10</v>
      </c>
      <c r="B241" s="2" t="s">
        <v>645</v>
      </c>
      <c r="C241" s="2" t="s">
        <v>646</v>
      </c>
      <c r="D241" s="2">
        <f>IFERROR(__xludf.DUMMYFUNCTION("""COMPUTED_VALUE"""),6.907050821E10)</f>
        <v>69070508210</v>
      </c>
    </row>
    <row r="242">
      <c r="A242" s="2">
        <v>6.9070506428E10</v>
      </c>
      <c r="B242" s="2" t="s">
        <v>328</v>
      </c>
      <c r="C242" s="2" t="s">
        <v>647</v>
      </c>
      <c r="D242" s="2">
        <f>IFERROR(__xludf.DUMMYFUNCTION("""COMPUTED_VALUE"""),6.9070506428E10)</f>
        <v>69070506428</v>
      </c>
    </row>
    <row r="243">
      <c r="A243" s="2">
        <v>6.9070502821E10</v>
      </c>
      <c r="B243" s="2" t="s">
        <v>648</v>
      </c>
      <c r="C243" s="2" t="s">
        <v>649</v>
      </c>
      <c r="D243" s="2">
        <f>IFERROR(__xludf.DUMMYFUNCTION("""COMPUTED_VALUE"""),6.9070502821E10)</f>
        <v>69070502821</v>
      </c>
    </row>
    <row r="244">
      <c r="A244" s="2">
        <v>6.9070506444E10</v>
      </c>
      <c r="B244" s="2" t="s">
        <v>650</v>
      </c>
      <c r="C244" s="2" t="s">
        <v>651</v>
      </c>
      <c r="D244" s="2">
        <f>IFERROR(__xludf.DUMMYFUNCTION("""COMPUTED_VALUE"""),6.9070506444E10)</f>
        <v>69070506444</v>
      </c>
    </row>
    <row r="245">
      <c r="A245" s="2">
        <v>6.9070500229E10</v>
      </c>
      <c r="B245" s="2" t="s">
        <v>652</v>
      </c>
      <c r="C245" s="2" t="s">
        <v>653</v>
      </c>
      <c r="D245" s="2">
        <f>IFERROR(__xludf.DUMMYFUNCTION("""COMPUTED_VALUE"""),6.9070500229E10)</f>
        <v>69070500229</v>
      </c>
    </row>
    <row r="246">
      <c r="A246" s="2">
        <v>6.9070506465E10</v>
      </c>
      <c r="B246" s="2" t="s">
        <v>609</v>
      </c>
      <c r="C246" s="2" t="s">
        <v>654</v>
      </c>
      <c r="D246" s="2">
        <f>IFERROR(__xludf.DUMMYFUNCTION("""COMPUTED_VALUE"""),6.9070506465E10)</f>
        <v>69070506465</v>
      </c>
    </row>
    <row r="247">
      <c r="A247" s="2">
        <v>6.9070500483E10</v>
      </c>
      <c r="B247" s="2" t="s">
        <v>655</v>
      </c>
      <c r="C247" s="2" t="s">
        <v>656</v>
      </c>
      <c r="D247" s="2">
        <f>IFERROR(__xludf.DUMMYFUNCTION("""COMPUTED_VALUE"""),6.9070500483E10)</f>
        <v>69070500483</v>
      </c>
    </row>
    <row r="248">
      <c r="A248" s="2">
        <v>6.9070509608E10</v>
      </c>
      <c r="B248" s="2" t="s">
        <v>657</v>
      </c>
      <c r="C248" s="2" t="s">
        <v>658</v>
      </c>
      <c r="D248" s="2">
        <f>IFERROR(__xludf.DUMMYFUNCTION("""COMPUTED_VALUE"""),6.9070509608E10)</f>
        <v>69070509608</v>
      </c>
    </row>
    <row r="249">
      <c r="A249" s="2">
        <v>6.9070500206E10</v>
      </c>
      <c r="B249" s="2" t="s">
        <v>659</v>
      </c>
      <c r="C249" s="2" t="s">
        <v>660</v>
      </c>
      <c r="D249" s="2">
        <f>IFERROR(__xludf.DUMMYFUNCTION("""COMPUTED_VALUE"""),6.9070500206E10)</f>
        <v>69070500206</v>
      </c>
    </row>
    <row r="250">
      <c r="A250" s="2">
        <v>6.9070506459E10</v>
      </c>
      <c r="B250" s="2" t="s">
        <v>661</v>
      </c>
      <c r="C250" s="2" t="s">
        <v>662</v>
      </c>
      <c r="D250" s="2">
        <f>IFERROR(__xludf.DUMMYFUNCTION("""COMPUTED_VALUE"""),6.9070506459E10)</f>
        <v>69070506459</v>
      </c>
    </row>
    <row r="251">
      <c r="A251" s="2">
        <v>6.9070500445E10</v>
      </c>
      <c r="B251" s="2" t="s">
        <v>663</v>
      </c>
      <c r="C251" s="2" t="s">
        <v>664</v>
      </c>
      <c r="D251" s="2">
        <f>IFERROR(__xludf.DUMMYFUNCTION("""COMPUTED_VALUE"""),6.9070500445E10)</f>
        <v>69070500445</v>
      </c>
    </row>
    <row r="252">
      <c r="A252" s="2">
        <v>6.9070509802E10</v>
      </c>
      <c r="B252" s="2" t="s">
        <v>665</v>
      </c>
      <c r="C252" s="2" t="s">
        <v>666</v>
      </c>
      <c r="D252" s="2">
        <f>IFERROR(__xludf.DUMMYFUNCTION("""COMPUTED_VALUE"""),6.9070509802E10)</f>
        <v>69070509802</v>
      </c>
    </row>
    <row r="253">
      <c r="A253" s="2">
        <v>6.9070502848E10</v>
      </c>
      <c r="B253" s="2" t="s">
        <v>94</v>
      </c>
      <c r="C253" s="2" t="s">
        <v>669</v>
      </c>
      <c r="D253" s="2">
        <f>IFERROR(__xludf.DUMMYFUNCTION("""COMPUTED_VALUE"""),6.9070502848E10)</f>
        <v>69070502848</v>
      </c>
    </row>
    <row r="254">
      <c r="A254" s="2">
        <v>6.9070505222E10</v>
      </c>
      <c r="B254" s="2" t="s">
        <v>672</v>
      </c>
      <c r="C254" s="2" t="s">
        <v>674</v>
      </c>
      <c r="D254" s="2">
        <f>IFERROR(__xludf.DUMMYFUNCTION("""COMPUTED_VALUE"""),6.9070505222E10)</f>
        <v>69070505222</v>
      </c>
    </row>
    <row r="255">
      <c r="A255" s="2">
        <v>6.9070500458E10</v>
      </c>
      <c r="B255" s="2" t="s">
        <v>676</v>
      </c>
      <c r="C255" s="2" t="s">
        <v>677</v>
      </c>
      <c r="D255" s="2">
        <f>IFERROR(__xludf.DUMMYFUNCTION("""COMPUTED_VALUE"""),6.9070500458E10)</f>
        <v>69070500458</v>
      </c>
    </row>
    <row r="256">
      <c r="A256" s="2">
        <v>6.9070501222E10</v>
      </c>
      <c r="B256" s="2" t="s">
        <v>680</v>
      </c>
      <c r="C256" s="2" t="s">
        <v>681</v>
      </c>
      <c r="D256" s="2">
        <f>IFERROR(__xludf.DUMMYFUNCTION("""COMPUTED_VALUE"""),6.9070501222E10)</f>
        <v>69070501222</v>
      </c>
    </row>
    <row r="257">
      <c r="A257" s="2">
        <v>6.9070502239E10</v>
      </c>
      <c r="B257" s="2" t="s">
        <v>682</v>
      </c>
      <c r="C257" s="2" t="s">
        <v>683</v>
      </c>
      <c r="D257" s="2">
        <f>IFERROR(__xludf.DUMMYFUNCTION("""COMPUTED_VALUE"""),6.9070502239E10)</f>
        <v>69070502239</v>
      </c>
    </row>
    <row r="258">
      <c r="A258" s="2">
        <v>6.9070500202E10</v>
      </c>
      <c r="B258" s="2" t="s">
        <v>684</v>
      </c>
      <c r="C258" s="2" t="s">
        <v>685</v>
      </c>
      <c r="D258" s="2">
        <f>IFERROR(__xludf.DUMMYFUNCTION("""COMPUTED_VALUE"""),6.9070500202E10)</f>
        <v>69070500202</v>
      </c>
    </row>
    <row r="259">
      <c r="A259" s="2">
        <v>6.9070500212E10</v>
      </c>
      <c r="B259" s="2" t="s">
        <v>687</v>
      </c>
      <c r="C259" s="2" t="s">
        <v>688</v>
      </c>
      <c r="D259" s="2">
        <f>IFERROR(__xludf.DUMMYFUNCTION("""COMPUTED_VALUE"""),6.9070500212E10)</f>
        <v>69070500212</v>
      </c>
    </row>
    <row r="260">
      <c r="A260" s="2">
        <v>6.9070509801E10</v>
      </c>
      <c r="B260" s="2" t="s">
        <v>689</v>
      </c>
      <c r="C260" s="2" t="s">
        <v>690</v>
      </c>
      <c r="D260" s="2">
        <f>IFERROR(__xludf.DUMMYFUNCTION("""COMPUTED_VALUE"""),6.9070509801E10)</f>
        <v>69070509801</v>
      </c>
    </row>
    <row r="261">
      <c r="A261" s="2">
        <v>6.9070508215E10</v>
      </c>
      <c r="B261" s="2" t="s">
        <v>691</v>
      </c>
      <c r="C261" s="2" t="s">
        <v>692</v>
      </c>
      <c r="D261" s="2">
        <f>IFERROR(__xludf.DUMMYFUNCTION("""COMPUTED_VALUE"""),6.9070508215E10)</f>
        <v>69070508215</v>
      </c>
    </row>
    <row r="262">
      <c r="A262" s="2">
        <v>6.9070501215E10</v>
      </c>
      <c r="B262" s="2" t="s">
        <v>693</v>
      </c>
      <c r="C262" s="2" t="s">
        <v>694</v>
      </c>
      <c r="D262" s="2">
        <f>IFERROR(__xludf.DUMMYFUNCTION("""COMPUTED_VALUE"""),6.9070501215E10)</f>
        <v>69070501215</v>
      </c>
    </row>
    <row r="263">
      <c r="A263" s="2">
        <v>6.9070502213E10</v>
      </c>
      <c r="B263" s="2" t="s">
        <v>695</v>
      </c>
      <c r="C263" s="2" t="s">
        <v>696</v>
      </c>
      <c r="D263" s="2">
        <f>IFERROR(__xludf.DUMMYFUNCTION("""COMPUTED_VALUE"""),6.9070502213E10)</f>
        <v>69070502213</v>
      </c>
    </row>
    <row r="264">
      <c r="A264" s="2">
        <v>6.9070502217E10</v>
      </c>
      <c r="B264" s="2" t="s">
        <v>697</v>
      </c>
      <c r="C264" s="2" t="s">
        <v>698</v>
      </c>
      <c r="D264" s="2">
        <f>IFERROR(__xludf.DUMMYFUNCTION("""COMPUTED_VALUE"""),6.9070502217E10)</f>
        <v>69070502217</v>
      </c>
    </row>
    <row r="265">
      <c r="A265" s="2">
        <v>6.9070501806E10</v>
      </c>
      <c r="B265" s="2" t="s">
        <v>699</v>
      </c>
      <c r="C265" s="2" t="s">
        <v>700</v>
      </c>
      <c r="D265" s="2">
        <f>IFERROR(__xludf.DUMMYFUNCTION("""COMPUTED_VALUE"""),6.9070501806E10)</f>
        <v>69070501806</v>
      </c>
    </row>
    <row r="266">
      <c r="A266" s="2">
        <v>6.9070502838E10</v>
      </c>
      <c r="B266" s="2" t="s">
        <v>701</v>
      </c>
      <c r="C266" s="2" t="s">
        <v>702</v>
      </c>
      <c r="D266" s="2">
        <f>IFERROR(__xludf.DUMMYFUNCTION("""COMPUTED_VALUE"""),6.9070502838E10)</f>
        <v>69070502838</v>
      </c>
    </row>
    <row r="267">
      <c r="A267" s="2">
        <v>6.9070502806E10</v>
      </c>
      <c r="B267" s="2" t="s">
        <v>703</v>
      </c>
      <c r="C267" s="2" t="s">
        <v>704</v>
      </c>
      <c r="D267" s="2">
        <f>IFERROR(__xludf.DUMMYFUNCTION("""COMPUTED_VALUE"""),6.9070502806E10)</f>
        <v>69070502806</v>
      </c>
    </row>
    <row r="268">
      <c r="A268" s="2">
        <v>6.9070500493E10</v>
      </c>
      <c r="B268" s="2" t="s">
        <v>705</v>
      </c>
      <c r="C268" s="2" t="s">
        <v>706</v>
      </c>
      <c r="D268" s="2">
        <f>IFERROR(__xludf.DUMMYFUNCTION("""COMPUTED_VALUE"""),6.9070500493E10)</f>
        <v>69070500493</v>
      </c>
    </row>
    <row r="269">
      <c r="A269" s="2">
        <v>6.9070502809E10</v>
      </c>
      <c r="B269" s="2" t="s">
        <v>707</v>
      </c>
      <c r="C269" s="2" t="s">
        <v>708</v>
      </c>
      <c r="D269" s="2">
        <f>IFERROR(__xludf.DUMMYFUNCTION("""COMPUTED_VALUE"""),6.9070502809E10)</f>
        <v>69070502809</v>
      </c>
    </row>
    <row r="270">
      <c r="A270" s="2">
        <v>6.9070502459E10</v>
      </c>
      <c r="B270" s="2" t="s">
        <v>709</v>
      </c>
      <c r="C270" s="2" t="s">
        <v>710</v>
      </c>
      <c r="D270" s="2">
        <f>IFERROR(__xludf.DUMMYFUNCTION("""COMPUTED_VALUE"""),6.9070502459E10)</f>
        <v>69070502459</v>
      </c>
    </row>
    <row r="271">
      <c r="A271" s="2">
        <v>6.9070506414E10</v>
      </c>
      <c r="B271" s="2" t="s">
        <v>711</v>
      </c>
      <c r="C271" s="2" t="s">
        <v>712</v>
      </c>
      <c r="D271" s="2">
        <f>IFERROR(__xludf.DUMMYFUNCTION("""COMPUTED_VALUE"""),6.9070506414E10)</f>
        <v>69070506414</v>
      </c>
    </row>
    <row r="272">
      <c r="A272" s="2">
        <v>6.9070500888E10</v>
      </c>
      <c r="B272" s="2" t="s">
        <v>713</v>
      </c>
      <c r="C272" s="2" t="s">
        <v>714</v>
      </c>
      <c r="D272" s="2">
        <f>IFERROR(__xludf.DUMMYFUNCTION("""COMPUTED_VALUE"""),6.9070500888E10)</f>
        <v>69070500888</v>
      </c>
    </row>
    <row r="273">
      <c r="A273" s="2">
        <v>6.9070501844E10</v>
      </c>
      <c r="B273" s="2" t="s">
        <v>715</v>
      </c>
      <c r="C273" s="2" t="s">
        <v>716</v>
      </c>
      <c r="D273" s="2">
        <f>IFERROR(__xludf.DUMMYFUNCTION("""COMPUTED_VALUE"""),6.9070501844E10)</f>
        <v>69070501844</v>
      </c>
    </row>
    <row r="274">
      <c r="A274" s="2">
        <v>6.9070500834E10</v>
      </c>
      <c r="B274" s="2" t="s">
        <v>482</v>
      </c>
      <c r="C274" s="2" t="s">
        <v>717</v>
      </c>
      <c r="D274" s="2">
        <f>IFERROR(__xludf.DUMMYFUNCTION("""COMPUTED_VALUE"""),6.9070500834E10)</f>
        <v>69070500834</v>
      </c>
    </row>
    <row r="275">
      <c r="A275" s="2">
        <v>6.9070505212E10</v>
      </c>
      <c r="B275" s="2" t="s">
        <v>718</v>
      </c>
      <c r="C275" s="2" t="s">
        <v>719</v>
      </c>
      <c r="D275" s="2">
        <f>IFERROR(__xludf.DUMMYFUNCTION("""COMPUTED_VALUE"""),6.9070505212E10)</f>
        <v>69070505212</v>
      </c>
    </row>
    <row r="276">
      <c r="A276" s="2">
        <v>6.9070502218E10</v>
      </c>
      <c r="B276" s="2" t="s">
        <v>720</v>
      </c>
      <c r="C276" s="2" t="s">
        <v>721</v>
      </c>
      <c r="D276" s="2">
        <f>IFERROR(__xludf.DUMMYFUNCTION("""COMPUTED_VALUE"""),6.9070502218E10)</f>
        <v>69070502218</v>
      </c>
    </row>
    <row r="277">
      <c r="A277" s="2">
        <v>6.9070500802E10</v>
      </c>
      <c r="B277" s="2" t="s">
        <v>722</v>
      </c>
      <c r="C277" s="2" t="s">
        <v>723</v>
      </c>
      <c r="D277" s="2">
        <f>IFERROR(__xludf.DUMMYFUNCTION("""COMPUTED_VALUE"""),6.9070500802E10)</f>
        <v>69070500802</v>
      </c>
    </row>
    <row r="278">
      <c r="A278" s="2">
        <v>6.9070502817E10</v>
      </c>
      <c r="B278" s="2" t="s">
        <v>724</v>
      </c>
      <c r="C278" s="2" t="s">
        <v>725</v>
      </c>
      <c r="D278" s="2">
        <f>IFERROR(__xludf.DUMMYFUNCTION("""COMPUTED_VALUE"""),6.9070502817E10)</f>
        <v>69070502817</v>
      </c>
    </row>
    <row r="279">
      <c r="A279" s="2">
        <v>6.9070500271E10</v>
      </c>
      <c r="B279" s="2" t="s">
        <v>726</v>
      </c>
      <c r="C279" s="2" t="s">
        <v>727</v>
      </c>
      <c r="D279" s="2">
        <f>IFERROR(__xludf.DUMMYFUNCTION("""COMPUTED_VALUE"""),6.9070500271E10)</f>
        <v>69070500271</v>
      </c>
    </row>
    <row r="280">
      <c r="A280" s="2">
        <v>6.9070502232E10</v>
      </c>
      <c r="B280" s="2" t="s">
        <v>728</v>
      </c>
      <c r="C280" s="2" t="s">
        <v>729</v>
      </c>
      <c r="D280" s="2">
        <f>IFERROR(__xludf.DUMMYFUNCTION("""COMPUTED_VALUE"""),6.9070502232E10)</f>
        <v>69070502232</v>
      </c>
    </row>
    <row r="281">
      <c r="A281" s="2">
        <v>6.9070502834E10</v>
      </c>
      <c r="B281" s="2" t="s">
        <v>731</v>
      </c>
      <c r="C281" s="2" t="s">
        <v>732</v>
      </c>
      <c r="D281" s="2">
        <f>IFERROR(__xludf.DUMMYFUNCTION("""COMPUTED_VALUE"""),6.9070502834E10)</f>
        <v>69070502834</v>
      </c>
    </row>
    <row r="282">
      <c r="A282" s="2">
        <v>6.9070509617E10</v>
      </c>
      <c r="B282" s="2" t="s">
        <v>209</v>
      </c>
      <c r="C282" s="2" t="s">
        <v>736</v>
      </c>
      <c r="D282" s="2">
        <f>IFERROR(__xludf.DUMMYFUNCTION("""COMPUTED_VALUE"""),6.9070509617E10)</f>
        <v>69070509617</v>
      </c>
    </row>
    <row r="283">
      <c r="A283" s="2">
        <v>6.907050041E10</v>
      </c>
      <c r="B283" s="2" t="s">
        <v>739</v>
      </c>
      <c r="C283" s="2" t="s">
        <v>740</v>
      </c>
      <c r="D283" s="2">
        <f>IFERROR(__xludf.DUMMYFUNCTION("""COMPUTED_VALUE"""),6.907050041E10)</f>
        <v>69070500410</v>
      </c>
    </row>
    <row r="284">
      <c r="A284" s="2">
        <v>6.9070502219E10</v>
      </c>
      <c r="B284" s="2" t="s">
        <v>743</v>
      </c>
      <c r="C284" s="2" t="s">
        <v>744</v>
      </c>
      <c r="D284" s="2">
        <f>IFERROR(__xludf.DUMMYFUNCTION("""COMPUTED_VALUE"""),6.9070502219E10)</f>
        <v>69070502219</v>
      </c>
    </row>
    <row r="285">
      <c r="A285" s="2">
        <v>6.9070500442E10</v>
      </c>
      <c r="B285" s="2" t="s">
        <v>746</v>
      </c>
      <c r="C285" s="2" t="s">
        <v>747</v>
      </c>
      <c r="D285" s="2">
        <f>IFERROR(__xludf.DUMMYFUNCTION("""COMPUTED_VALUE"""),6.9070500442E10)</f>
        <v>69070500442</v>
      </c>
    </row>
    <row r="286">
      <c r="A286" s="2">
        <v>6.9070506427E10</v>
      </c>
      <c r="B286" s="2" t="s">
        <v>748</v>
      </c>
      <c r="C286" s="2" t="s">
        <v>749</v>
      </c>
      <c r="D286" s="2">
        <f>IFERROR(__xludf.DUMMYFUNCTION("""COMPUTED_VALUE"""),6.9070506427E10)</f>
        <v>69070506427</v>
      </c>
    </row>
    <row r="287">
      <c r="A287" s="2">
        <v>6.9070501045E10</v>
      </c>
      <c r="B287" s="2" t="s">
        <v>750</v>
      </c>
      <c r="C287" s="2" t="s">
        <v>751</v>
      </c>
      <c r="D287" s="2">
        <f>IFERROR(__xludf.DUMMYFUNCTION("""COMPUTED_VALUE"""),6.9070501045E10)</f>
        <v>69070501045</v>
      </c>
    </row>
    <row r="288">
      <c r="A288" s="2">
        <v>6.9070501202E10</v>
      </c>
      <c r="B288" s="2" t="s">
        <v>752</v>
      </c>
      <c r="C288" s="2" t="s">
        <v>753</v>
      </c>
      <c r="D288" s="2">
        <f>IFERROR(__xludf.DUMMYFUNCTION("""COMPUTED_VALUE"""),6.9070501202E10)</f>
        <v>69070501202</v>
      </c>
    </row>
    <row r="289">
      <c r="A289" s="2">
        <v>6.9070506432E10</v>
      </c>
      <c r="B289" s="2" t="s">
        <v>754</v>
      </c>
      <c r="C289" s="2" t="s">
        <v>755</v>
      </c>
      <c r="D289" s="2">
        <f>IFERROR(__xludf.DUMMYFUNCTION("""COMPUTED_VALUE"""),6.9070506432E10)</f>
        <v>69070506432</v>
      </c>
    </row>
    <row r="290">
      <c r="A290" s="2">
        <v>6.9070509612E10</v>
      </c>
      <c r="B290" s="2" t="s">
        <v>756</v>
      </c>
      <c r="C290" s="2" t="s">
        <v>757</v>
      </c>
      <c r="D290" s="2">
        <f>IFERROR(__xludf.DUMMYFUNCTION("""COMPUTED_VALUE"""),6.9070509612E10)</f>
        <v>69070509612</v>
      </c>
    </row>
    <row r="291">
      <c r="A291" s="2">
        <v>6.9070500852E10</v>
      </c>
      <c r="B291" s="2" t="s">
        <v>758</v>
      </c>
      <c r="C291" s="2" t="s">
        <v>759</v>
      </c>
      <c r="D291" s="2">
        <f>IFERROR(__xludf.DUMMYFUNCTION("""COMPUTED_VALUE"""),6.9070500852E10)</f>
        <v>69070500852</v>
      </c>
    </row>
    <row r="292">
      <c r="A292" s="2">
        <v>6.9070500252E10</v>
      </c>
      <c r="B292" s="2" t="s">
        <v>760</v>
      </c>
      <c r="C292" s="2" t="s">
        <v>761</v>
      </c>
      <c r="D292" s="2">
        <f>IFERROR(__xludf.DUMMYFUNCTION("""COMPUTED_VALUE"""),6.9070500252E10)</f>
        <v>69070500252</v>
      </c>
    </row>
    <row r="293">
      <c r="A293" s="2">
        <v>6.9070500467E10</v>
      </c>
      <c r="B293" s="2" t="s">
        <v>762</v>
      </c>
      <c r="C293" s="2" t="s">
        <v>763</v>
      </c>
      <c r="D293" s="2">
        <f>IFERROR(__xludf.DUMMYFUNCTION("""COMPUTED_VALUE"""),6.9070500467E10)</f>
        <v>69070500467</v>
      </c>
    </row>
    <row r="294">
      <c r="A294" s="2">
        <v>6.9070500466E10</v>
      </c>
      <c r="B294" s="2" t="s">
        <v>764</v>
      </c>
      <c r="C294" s="2" t="s">
        <v>765</v>
      </c>
      <c r="D294" s="2">
        <f>IFERROR(__xludf.DUMMYFUNCTION("""COMPUTED_VALUE"""),6.9070500466E10)</f>
        <v>69070500466</v>
      </c>
    </row>
    <row r="295">
      <c r="A295" s="2">
        <v>6.9070501232E10</v>
      </c>
      <c r="B295" s="2" t="s">
        <v>766</v>
      </c>
      <c r="C295" s="2" t="s">
        <v>767</v>
      </c>
      <c r="D295" s="2">
        <f>IFERROR(__xludf.DUMMYFUNCTION("""COMPUTED_VALUE"""),6.9070501232E10)</f>
        <v>69070501232</v>
      </c>
    </row>
    <row r="296">
      <c r="A296" s="2">
        <v>6.9070500833E10</v>
      </c>
      <c r="B296" s="2" t="s">
        <v>746</v>
      </c>
      <c r="C296" s="2" t="s">
        <v>768</v>
      </c>
      <c r="D296" s="2">
        <f>IFERROR(__xludf.DUMMYFUNCTION("""COMPUTED_VALUE"""),6.9070500833E10)</f>
        <v>69070500833</v>
      </c>
    </row>
    <row r="297">
      <c r="A297" s="2">
        <v>6.9070500288E10</v>
      </c>
      <c r="B297" s="2" t="s">
        <v>769</v>
      </c>
      <c r="C297" s="2" t="s">
        <v>770</v>
      </c>
      <c r="D297" s="2">
        <f>IFERROR(__xludf.DUMMYFUNCTION("""COMPUTED_VALUE"""),6.9070500288E10)</f>
        <v>69070500288</v>
      </c>
    </row>
    <row r="298">
      <c r="A298" s="2">
        <v>6.9070500849E10</v>
      </c>
      <c r="B298" s="2" t="s">
        <v>771</v>
      </c>
      <c r="C298" s="2" t="s">
        <v>772</v>
      </c>
      <c r="D298" s="2">
        <f>IFERROR(__xludf.DUMMYFUNCTION("""COMPUTED_VALUE"""),6.9070500849E10)</f>
        <v>69070500849</v>
      </c>
    </row>
    <row r="299">
      <c r="A299" s="2">
        <v>6.907050185E10</v>
      </c>
      <c r="B299" s="2" t="s">
        <v>225</v>
      </c>
      <c r="C299" s="2" t="s">
        <v>773</v>
      </c>
      <c r="D299" s="2">
        <f>IFERROR(__xludf.DUMMYFUNCTION("""COMPUTED_VALUE"""),6.907050185E10)</f>
        <v>69070501850</v>
      </c>
    </row>
    <row r="300">
      <c r="A300" s="2">
        <v>6.9070501843E10</v>
      </c>
      <c r="B300" s="2" t="s">
        <v>774</v>
      </c>
      <c r="C300" s="2" t="s">
        <v>775</v>
      </c>
      <c r="D300" s="2">
        <f>IFERROR(__xludf.DUMMYFUNCTION("""COMPUTED_VALUE"""),6.9070501843E10)</f>
        <v>69070501843</v>
      </c>
    </row>
    <row r="301">
      <c r="A301" s="2">
        <v>6.9070500851E10</v>
      </c>
      <c r="B301" s="2" t="s">
        <v>776</v>
      </c>
      <c r="C301" s="2" t="s">
        <v>777</v>
      </c>
      <c r="D301" s="2">
        <f>IFERROR(__xludf.DUMMYFUNCTION("""COMPUTED_VALUE"""),6.9070500851E10)</f>
        <v>69070500851</v>
      </c>
    </row>
    <row r="302">
      <c r="A302" s="2">
        <v>6.9070506422E10</v>
      </c>
      <c r="B302" s="2" t="s">
        <v>778</v>
      </c>
      <c r="C302" s="2" t="s">
        <v>779</v>
      </c>
      <c r="D302" s="2">
        <f>IFERROR(__xludf.DUMMYFUNCTION("""COMPUTED_VALUE"""),6.9070506422E10)</f>
        <v>69070506422</v>
      </c>
    </row>
    <row r="303">
      <c r="A303" s="2">
        <v>6.9070508228E10</v>
      </c>
      <c r="B303" s="2" t="s">
        <v>780</v>
      </c>
      <c r="C303" s="2" t="s">
        <v>781</v>
      </c>
      <c r="D303" s="2">
        <f>IFERROR(__xludf.DUMMYFUNCTION("""COMPUTED_VALUE"""),6.9070508228E10)</f>
        <v>69070508228</v>
      </c>
    </row>
    <row r="304">
      <c r="A304" s="2">
        <v>6.9070500433E10</v>
      </c>
      <c r="B304" s="2" t="s">
        <v>784</v>
      </c>
      <c r="C304" s="2" t="s">
        <v>786</v>
      </c>
      <c r="D304" s="2">
        <f>IFERROR(__xludf.DUMMYFUNCTION("""COMPUTED_VALUE"""),6.9070500433E10)</f>
        <v>69070500433</v>
      </c>
    </row>
    <row r="305">
      <c r="A305" s="2">
        <v>6.9070502831E10</v>
      </c>
      <c r="B305" s="2" t="s">
        <v>789</v>
      </c>
      <c r="C305" s="2" t="s">
        <v>790</v>
      </c>
      <c r="D305" s="2">
        <f>IFERROR(__xludf.DUMMYFUNCTION("""COMPUTED_VALUE"""),6.9070502831E10)</f>
        <v>69070502831</v>
      </c>
    </row>
    <row r="306">
      <c r="A306" s="2">
        <v>6.9070508211E10</v>
      </c>
      <c r="B306" s="2" t="s">
        <v>792</v>
      </c>
      <c r="C306" s="2" t="s">
        <v>794</v>
      </c>
      <c r="D306" s="2">
        <f>IFERROR(__xludf.DUMMYFUNCTION("""COMPUTED_VALUE"""),6.9070508211E10)</f>
        <v>69070508211</v>
      </c>
    </row>
    <row r="307">
      <c r="A307" s="2">
        <v>6.9070501049E10</v>
      </c>
      <c r="B307" s="2" t="s">
        <v>797</v>
      </c>
      <c r="C307" s="2" t="s">
        <v>798</v>
      </c>
      <c r="D307" s="2">
        <f>IFERROR(__xludf.DUMMYFUNCTION("""COMPUTED_VALUE"""),6.9070501049E10)</f>
        <v>69070501049</v>
      </c>
    </row>
    <row r="308">
      <c r="A308" s="2">
        <v>6.9070506448E10</v>
      </c>
      <c r="B308" s="2" t="s">
        <v>107</v>
      </c>
      <c r="C308" s="2" t="s">
        <v>799</v>
      </c>
      <c r="D308" s="2">
        <f>IFERROR(__xludf.DUMMYFUNCTION("""COMPUTED_VALUE"""),6.9070506448E10)</f>
        <v>69070506448</v>
      </c>
    </row>
    <row r="309">
      <c r="A309" s="2">
        <v>6.9070500421E10</v>
      </c>
      <c r="B309" s="2" t="s">
        <v>800</v>
      </c>
      <c r="C309" s="2" t="s">
        <v>801</v>
      </c>
      <c r="D309" s="2">
        <f>IFERROR(__xludf.DUMMYFUNCTION("""COMPUTED_VALUE"""),6.9070500421E10)</f>
        <v>69070500421</v>
      </c>
    </row>
    <row r="310">
      <c r="A310" s="2">
        <v>6.9070502448E10</v>
      </c>
      <c r="B310" s="2" t="s">
        <v>802</v>
      </c>
      <c r="C310" s="2" t="s">
        <v>803</v>
      </c>
      <c r="D310" s="2">
        <f>IFERROR(__xludf.DUMMYFUNCTION("""COMPUTED_VALUE"""),6.9070502448E10)</f>
        <v>69070502448</v>
      </c>
    </row>
    <row r="311">
      <c r="A311" s="2">
        <v>6.9070501038E10</v>
      </c>
      <c r="B311" s="2" t="s">
        <v>805</v>
      </c>
      <c r="C311" s="2" t="s">
        <v>806</v>
      </c>
      <c r="D311" s="2">
        <f>IFERROR(__xludf.DUMMYFUNCTION("""COMPUTED_VALUE"""),6.9070501038E10)</f>
        <v>69070501038</v>
      </c>
    </row>
    <row r="312">
      <c r="A312" s="2">
        <v>6.9070500887E10</v>
      </c>
      <c r="B312" s="2" t="s">
        <v>807</v>
      </c>
      <c r="C312" s="2" t="s">
        <v>808</v>
      </c>
      <c r="D312" s="2">
        <f>IFERROR(__xludf.DUMMYFUNCTION("""COMPUTED_VALUE"""),6.9070500887E10)</f>
        <v>69070500887</v>
      </c>
    </row>
    <row r="313">
      <c r="A313" s="2">
        <v>6.9070509832E10</v>
      </c>
      <c r="B313" s="2" t="s">
        <v>809</v>
      </c>
      <c r="C313" s="2" t="s">
        <v>810</v>
      </c>
      <c r="D313" s="2">
        <f>IFERROR(__xludf.DUMMYFUNCTION("""COMPUTED_VALUE"""),6.9070509832E10)</f>
        <v>69070509832</v>
      </c>
    </row>
    <row r="314">
      <c r="A314" s="2">
        <v>6.9070509605E10</v>
      </c>
      <c r="B314" s="2" t="s">
        <v>111</v>
      </c>
      <c r="C314" s="2" t="s">
        <v>813</v>
      </c>
      <c r="D314" s="2">
        <f>IFERROR(__xludf.DUMMYFUNCTION("""COMPUTED_VALUE"""),6.9070509605E10)</f>
        <v>69070509605</v>
      </c>
    </row>
    <row r="315">
      <c r="A315" s="2">
        <v>6.90705003E10</v>
      </c>
      <c r="B315" s="2" t="s">
        <v>814</v>
      </c>
      <c r="C315" s="2" t="s">
        <v>815</v>
      </c>
      <c r="D315" s="2">
        <f>IFERROR(__xludf.DUMMYFUNCTION("""COMPUTED_VALUE"""),6.90705003E10)</f>
        <v>69070500300</v>
      </c>
    </row>
    <row r="316">
      <c r="A316" s="2">
        <v>6.9070502244E10</v>
      </c>
      <c r="B316" s="2" t="s">
        <v>816</v>
      </c>
      <c r="C316" s="2" t="s">
        <v>817</v>
      </c>
      <c r="D316" s="2">
        <f>IFERROR(__xludf.DUMMYFUNCTION("""COMPUTED_VALUE"""),6.9070502244E10)</f>
        <v>69070502244</v>
      </c>
    </row>
    <row r="317">
      <c r="A317" s="2">
        <v>6.9070500207E10</v>
      </c>
      <c r="B317" s="2" t="s">
        <v>818</v>
      </c>
      <c r="C317" s="2" t="s">
        <v>819</v>
      </c>
      <c r="D317" s="2">
        <f>IFERROR(__xludf.DUMMYFUNCTION("""COMPUTED_VALUE"""),6.9070500207E10)</f>
        <v>69070500207</v>
      </c>
    </row>
    <row r="318">
      <c r="A318" s="2">
        <v>6.9070506454E10</v>
      </c>
      <c r="B318" s="2" t="s">
        <v>820</v>
      </c>
      <c r="C318" s="2" t="s">
        <v>821</v>
      </c>
      <c r="D318" s="2">
        <f>IFERROR(__xludf.DUMMYFUNCTION("""COMPUTED_VALUE"""),6.9070506454E10)</f>
        <v>69070506454</v>
      </c>
    </row>
    <row r="319">
      <c r="A319" s="2">
        <v>6.9070500469E10</v>
      </c>
      <c r="B319" s="2" t="s">
        <v>822</v>
      </c>
      <c r="C319" s="2" t="s">
        <v>823</v>
      </c>
      <c r="D319" s="2">
        <f>IFERROR(__xludf.DUMMYFUNCTION("""COMPUTED_VALUE"""),6.9070500469E10)</f>
        <v>69070500469</v>
      </c>
    </row>
    <row r="320">
      <c r="A320" s="2">
        <v>6.9070500224E10</v>
      </c>
      <c r="B320" s="2" t="s">
        <v>358</v>
      </c>
      <c r="C320" s="2" t="s">
        <v>824</v>
      </c>
      <c r="D320" s="2">
        <f>IFERROR(__xludf.DUMMYFUNCTION("""COMPUTED_VALUE"""),6.9070500224E10)</f>
        <v>69070500224</v>
      </c>
    </row>
    <row r="321">
      <c r="A321" s="2">
        <v>6.9070502412E10</v>
      </c>
      <c r="B321" s="2" t="s">
        <v>825</v>
      </c>
      <c r="C321" s="2" t="s">
        <v>826</v>
      </c>
      <c r="D321" s="2">
        <f>IFERROR(__xludf.DUMMYFUNCTION("""COMPUTED_VALUE"""),6.9070502412E10)</f>
        <v>69070502412</v>
      </c>
    </row>
    <row r="322">
      <c r="A322" s="2">
        <v>6.9070506474E10</v>
      </c>
      <c r="B322" s="2" t="s">
        <v>827</v>
      </c>
      <c r="C322" s="2" t="s">
        <v>828</v>
      </c>
      <c r="D322" s="2">
        <f>IFERROR(__xludf.DUMMYFUNCTION("""COMPUTED_VALUE"""),6.9070506474E10)</f>
        <v>69070506474</v>
      </c>
    </row>
    <row r="323">
      <c r="A323" s="2">
        <v>6.907050641E10</v>
      </c>
      <c r="B323" s="2" t="s">
        <v>829</v>
      </c>
      <c r="C323" s="2" t="s">
        <v>830</v>
      </c>
      <c r="D323" s="2">
        <f>IFERROR(__xludf.DUMMYFUNCTION("""COMPUTED_VALUE"""),6.907050641E10)</f>
        <v>69070506410</v>
      </c>
    </row>
    <row r="324">
      <c r="A324" s="2">
        <v>6.9070509623E10</v>
      </c>
      <c r="B324" s="2" t="s">
        <v>831</v>
      </c>
      <c r="C324" s="2" t="s">
        <v>832</v>
      </c>
      <c r="D324" s="2">
        <f>IFERROR(__xludf.DUMMYFUNCTION("""COMPUTED_VALUE"""),6.9070509623E10)</f>
        <v>69070509623</v>
      </c>
    </row>
    <row r="325">
      <c r="A325" s="2">
        <v>6.9070500219E10</v>
      </c>
      <c r="B325" s="2" t="s">
        <v>833</v>
      </c>
      <c r="C325" s="2" t="s">
        <v>834</v>
      </c>
      <c r="D325" s="2">
        <f>IFERROR(__xludf.DUMMYFUNCTION("""COMPUTED_VALUE"""),6.9070500219E10)</f>
        <v>69070500219</v>
      </c>
    </row>
    <row r="326">
      <c r="A326" s="2">
        <v>6.9070501803E10</v>
      </c>
      <c r="B326" s="2" t="s">
        <v>835</v>
      </c>
      <c r="C326" s="2" t="s">
        <v>836</v>
      </c>
      <c r="D326" s="2">
        <f>IFERROR(__xludf.DUMMYFUNCTION("""COMPUTED_VALUE"""),6.9070501803E10)</f>
        <v>69070501803</v>
      </c>
    </row>
    <row r="327">
      <c r="A327" s="2">
        <v>6.907050646E10</v>
      </c>
      <c r="B327" s="2" t="s">
        <v>837</v>
      </c>
      <c r="C327" s="2" t="s">
        <v>838</v>
      </c>
      <c r="D327" s="2">
        <f>IFERROR(__xludf.DUMMYFUNCTION("""COMPUTED_VALUE"""),6.907050646E10)</f>
        <v>69070506460</v>
      </c>
    </row>
    <row r="328">
      <c r="A328" s="2">
        <v>6.9070502226E10</v>
      </c>
      <c r="B328" s="2" t="s">
        <v>839</v>
      </c>
      <c r="C328" s="2" t="s">
        <v>840</v>
      </c>
      <c r="D328" s="2">
        <f>IFERROR(__xludf.DUMMYFUNCTION("""COMPUTED_VALUE"""),6.9070502226E10)</f>
        <v>69070502226</v>
      </c>
    </row>
    <row r="329">
      <c r="A329" s="2">
        <v>6.9070501039E10</v>
      </c>
      <c r="B329" s="2" t="s">
        <v>841</v>
      </c>
      <c r="C329" s="2" t="s">
        <v>842</v>
      </c>
      <c r="D329" s="2">
        <f>IFERROR(__xludf.DUMMYFUNCTION("""COMPUTED_VALUE"""),6.9070501039E10)</f>
        <v>69070501039</v>
      </c>
    </row>
    <row r="330">
      <c r="A330" s="2">
        <v>6.9070501809E10</v>
      </c>
      <c r="B330" s="2" t="s">
        <v>844</v>
      </c>
      <c r="C330" s="2" t="s">
        <v>845</v>
      </c>
      <c r="D330" s="2">
        <f>IFERROR(__xludf.DUMMYFUNCTION("""COMPUTED_VALUE"""),6.9070501809E10)</f>
        <v>69070501809</v>
      </c>
    </row>
    <row r="331">
      <c r="A331" s="2">
        <v>6.9070501822E10</v>
      </c>
      <c r="B331" s="2" t="s">
        <v>847</v>
      </c>
      <c r="C331" s="2" t="s">
        <v>849</v>
      </c>
      <c r="D331" s="2">
        <f>IFERROR(__xludf.DUMMYFUNCTION("""COMPUTED_VALUE"""),6.9070501822E10)</f>
        <v>69070501822</v>
      </c>
    </row>
    <row r="332">
      <c r="A332" s="2">
        <v>6.9070502485E10</v>
      </c>
      <c r="B332" s="2" t="s">
        <v>852</v>
      </c>
      <c r="C332" s="2" t="s">
        <v>853</v>
      </c>
      <c r="D332" s="2">
        <f>IFERROR(__xludf.DUMMYFUNCTION("""COMPUTED_VALUE"""),6.9070502485E10)</f>
        <v>69070502485</v>
      </c>
    </row>
    <row r="333">
      <c r="A333" s="2">
        <v>6.9070508839E10</v>
      </c>
      <c r="B333" s="2" t="s">
        <v>855</v>
      </c>
      <c r="C333" s="2" t="s">
        <v>857</v>
      </c>
      <c r="D333" s="2">
        <f>IFERROR(__xludf.DUMMYFUNCTION("""COMPUTED_VALUE"""),6.9070508839E10)</f>
        <v>69070508839</v>
      </c>
    </row>
    <row r="334">
      <c r="A334" s="2">
        <v>6.9070508815E10</v>
      </c>
      <c r="B334" s="2" t="s">
        <v>860</v>
      </c>
      <c r="C334" s="2" t="s">
        <v>862</v>
      </c>
      <c r="D334" s="2">
        <f>IFERROR(__xludf.DUMMYFUNCTION("""COMPUTED_VALUE"""),6.9070508815E10)</f>
        <v>69070508815</v>
      </c>
    </row>
    <row r="335">
      <c r="A335" s="2">
        <v>6.907050222E10</v>
      </c>
      <c r="B335" s="2" t="s">
        <v>863</v>
      </c>
      <c r="C335" s="2" t="s">
        <v>864</v>
      </c>
      <c r="D335" s="2">
        <f>IFERROR(__xludf.DUMMYFUNCTION("""COMPUTED_VALUE"""),6.907050222E10)</f>
        <v>69070502220</v>
      </c>
    </row>
    <row r="336">
      <c r="A336" s="2">
        <v>6.9070500829E10</v>
      </c>
      <c r="B336" s="2" t="s">
        <v>865</v>
      </c>
      <c r="C336" s="2" t="s">
        <v>866</v>
      </c>
      <c r="D336" s="2">
        <f>IFERROR(__xludf.DUMMYFUNCTION("""COMPUTED_VALUE"""),6.9070500829E10)</f>
        <v>69070500829</v>
      </c>
    </row>
    <row r="337">
      <c r="A337" s="2">
        <v>6.9070500827E10</v>
      </c>
      <c r="B337" s="2" t="s">
        <v>867</v>
      </c>
      <c r="C337" s="2" t="s">
        <v>868</v>
      </c>
      <c r="D337" s="2">
        <f>IFERROR(__xludf.DUMMYFUNCTION("""COMPUTED_VALUE"""),6.9070500827E10)</f>
        <v>69070500827</v>
      </c>
    </row>
    <row r="338">
      <c r="A338" s="2">
        <v>6.9070502432E10</v>
      </c>
      <c r="B338" s="2" t="s">
        <v>869</v>
      </c>
      <c r="C338" s="2" t="s">
        <v>870</v>
      </c>
      <c r="D338" s="2">
        <f>IFERROR(__xludf.DUMMYFUNCTION("""COMPUTED_VALUE"""),6.9070502432E10)</f>
        <v>69070502432</v>
      </c>
    </row>
    <row r="339">
      <c r="A339" s="2">
        <v>6.9070502811E10</v>
      </c>
      <c r="B339" s="2" t="s">
        <v>871</v>
      </c>
      <c r="C339" s="2" t="s">
        <v>872</v>
      </c>
      <c r="D339" s="2">
        <f>IFERROR(__xludf.DUMMYFUNCTION("""COMPUTED_VALUE"""),6.9070502811E10)</f>
        <v>69070502811</v>
      </c>
    </row>
    <row r="340">
      <c r="A340" s="2">
        <v>6.907050027E10</v>
      </c>
      <c r="B340" s="2" t="s">
        <v>286</v>
      </c>
      <c r="C340" s="2" t="s">
        <v>873</v>
      </c>
      <c r="D340" s="2">
        <f>IFERROR(__xludf.DUMMYFUNCTION("""COMPUTED_VALUE"""),6.907050027E10)</f>
        <v>69070500270</v>
      </c>
    </row>
    <row r="341">
      <c r="A341" s="2">
        <v>6.9070501059E10</v>
      </c>
      <c r="B341" s="2" t="s">
        <v>874</v>
      </c>
      <c r="C341" s="2" t="s">
        <v>875</v>
      </c>
      <c r="D341" s="2">
        <f>IFERROR(__xludf.DUMMYFUNCTION("""COMPUTED_VALUE"""),6.9070501059E10)</f>
        <v>69070501059</v>
      </c>
    </row>
    <row r="342">
      <c r="A342" s="2">
        <v>6.9070501849E10</v>
      </c>
      <c r="B342" s="2" t="s">
        <v>876</v>
      </c>
      <c r="C342" s="2" t="s">
        <v>877</v>
      </c>
      <c r="D342" s="2">
        <f>IFERROR(__xludf.DUMMYFUNCTION("""COMPUTED_VALUE"""),6.9070501849E10)</f>
        <v>69070501849</v>
      </c>
    </row>
    <row r="343">
      <c r="A343" s="2">
        <v>6.9070500841E10</v>
      </c>
      <c r="B343" s="2" t="s">
        <v>311</v>
      </c>
      <c r="C343" s="2" t="s">
        <v>878</v>
      </c>
      <c r="D343" s="2">
        <f>IFERROR(__xludf.DUMMYFUNCTION("""COMPUTED_VALUE"""),6.9070500841E10)</f>
        <v>69070500841</v>
      </c>
    </row>
    <row r="344">
      <c r="A344" s="2">
        <v>6.9070502466E10</v>
      </c>
      <c r="B344" s="2" t="s">
        <v>879</v>
      </c>
      <c r="C344" s="2" t="s">
        <v>880</v>
      </c>
      <c r="D344" s="2">
        <f>IFERROR(__xludf.DUMMYFUNCTION("""COMPUTED_VALUE"""),6.9070502466E10)</f>
        <v>69070502466</v>
      </c>
    </row>
    <row r="345">
      <c r="A345" s="2">
        <v>6.9070500839E10</v>
      </c>
      <c r="B345" s="2" t="s">
        <v>881</v>
      </c>
      <c r="C345" s="2" t="s">
        <v>882</v>
      </c>
      <c r="D345" s="2">
        <f>IFERROR(__xludf.DUMMYFUNCTION("""COMPUTED_VALUE"""),6.9070500839E10)</f>
        <v>69070500839</v>
      </c>
    </row>
    <row r="346">
      <c r="A346" s="2">
        <v>6.9070500872E10</v>
      </c>
      <c r="B346" s="2" t="s">
        <v>75</v>
      </c>
      <c r="C346" s="2" t="s">
        <v>883</v>
      </c>
      <c r="D346" s="2">
        <f>IFERROR(__xludf.DUMMYFUNCTION("""COMPUTED_VALUE"""),6.9070500872E10)</f>
        <v>69070500872</v>
      </c>
    </row>
    <row r="347">
      <c r="A347" s="2">
        <v>6.9070500867E10</v>
      </c>
      <c r="B347" s="2" t="s">
        <v>884</v>
      </c>
      <c r="C347" s="2" t="s">
        <v>885</v>
      </c>
      <c r="D347" s="2">
        <f>IFERROR(__xludf.DUMMYFUNCTION("""COMPUTED_VALUE"""),6.9070500867E10)</f>
        <v>69070500867</v>
      </c>
    </row>
    <row r="348">
      <c r="A348" s="2">
        <v>6.9070506457E10</v>
      </c>
      <c r="B348" s="2" t="s">
        <v>886</v>
      </c>
      <c r="C348" s="2" t="s">
        <v>887</v>
      </c>
      <c r="D348" s="2">
        <f>IFERROR(__xludf.DUMMYFUNCTION("""COMPUTED_VALUE"""),6.9070506457E10)</f>
        <v>69070506457</v>
      </c>
    </row>
    <row r="349">
      <c r="A349" s="2">
        <v>6.9070509432E10</v>
      </c>
      <c r="B349" s="2" t="s">
        <v>888</v>
      </c>
      <c r="C349" s="2" t="s">
        <v>889</v>
      </c>
      <c r="D349" s="2">
        <f>IFERROR(__xludf.DUMMYFUNCTION("""COMPUTED_VALUE"""),6.9070509432E10)</f>
        <v>69070509432</v>
      </c>
    </row>
    <row r="350">
      <c r="A350" s="2">
        <v>6.9070501001E10</v>
      </c>
      <c r="B350" s="2" t="s">
        <v>890</v>
      </c>
      <c r="C350" s="2" t="s">
        <v>891</v>
      </c>
      <c r="D350" s="2">
        <f>IFERROR(__xludf.DUMMYFUNCTION("""COMPUTED_VALUE"""),6.9070501001E10)</f>
        <v>69070501001</v>
      </c>
    </row>
    <row r="351">
      <c r="A351" s="2">
        <v>6.9070500846E10</v>
      </c>
      <c r="B351" s="2" t="s">
        <v>892</v>
      </c>
      <c r="C351" s="2" t="s">
        <v>893</v>
      </c>
      <c r="D351" s="2">
        <f>IFERROR(__xludf.DUMMYFUNCTION("""COMPUTED_VALUE"""),6.9070500846E10)</f>
        <v>69070500846</v>
      </c>
    </row>
    <row r="352">
      <c r="A352" s="2">
        <v>6.9070500874E10</v>
      </c>
      <c r="B352" s="2" t="s">
        <v>894</v>
      </c>
      <c r="C352" s="2" t="s">
        <v>895</v>
      </c>
      <c r="D352" s="2">
        <f>IFERROR(__xludf.DUMMYFUNCTION("""COMPUTED_VALUE"""),6.9070500874E10)</f>
        <v>69070500874</v>
      </c>
    </row>
    <row r="353">
      <c r="A353" s="2">
        <v>6.9070501032E10</v>
      </c>
      <c r="B353" s="2" t="s">
        <v>896</v>
      </c>
      <c r="C353" s="2" t="s">
        <v>897</v>
      </c>
      <c r="D353" s="2">
        <f>IFERROR(__xludf.DUMMYFUNCTION("""COMPUTED_VALUE"""),6.9070501032E10)</f>
        <v>69070501032</v>
      </c>
    </row>
    <row r="354">
      <c r="A354" s="2">
        <v>6.9070509809E10</v>
      </c>
      <c r="B354" s="2" t="s">
        <v>898</v>
      </c>
      <c r="C354" s="2" t="s">
        <v>899</v>
      </c>
      <c r="D354" s="2">
        <f>IFERROR(__xludf.DUMMYFUNCTION("""COMPUTED_VALUE"""),6.9070509809E10)</f>
        <v>69070509809</v>
      </c>
    </row>
    <row r="355">
      <c r="A355" s="2">
        <v>6.9070500265E10</v>
      </c>
      <c r="B355" s="2" t="s">
        <v>900</v>
      </c>
      <c r="C355" s="2" t="s">
        <v>901</v>
      </c>
      <c r="D355" s="2">
        <f>IFERROR(__xludf.DUMMYFUNCTION("""COMPUTED_VALUE"""),6.9070500265E10)</f>
        <v>69070500265</v>
      </c>
    </row>
    <row r="356">
      <c r="A356" s="2">
        <v>6.9070502453E10</v>
      </c>
      <c r="B356" s="2" t="s">
        <v>902</v>
      </c>
      <c r="C356" s="2" t="s">
        <v>903</v>
      </c>
      <c r="D356" s="2">
        <f>IFERROR(__xludf.DUMMYFUNCTION("""COMPUTED_VALUE"""),6.9070502453E10)</f>
        <v>69070502453</v>
      </c>
    </row>
    <row r="357">
      <c r="A357" s="2">
        <v>6.9070502407E10</v>
      </c>
      <c r="B357" s="2" t="s">
        <v>904</v>
      </c>
      <c r="C357" s="2" t="s">
        <v>905</v>
      </c>
      <c r="D357" s="2">
        <f>IFERROR(__xludf.DUMMYFUNCTION("""COMPUTED_VALUE"""),6.9070502407E10)</f>
        <v>69070502407</v>
      </c>
    </row>
    <row r="358">
      <c r="A358" s="2">
        <v>6.9070502506E10</v>
      </c>
      <c r="B358" s="2" t="s">
        <v>906</v>
      </c>
      <c r="C358" s="2" t="s">
        <v>907</v>
      </c>
      <c r="D358" s="2">
        <f>IFERROR(__xludf.DUMMYFUNCTION("""COMPUTED_VALUE"""),6.9070502506E10)</f>
        <v>69070502506</v>
      </c>
    </row>
    <row r="359">
      <c r="A359" s="2">
        <v>6.9070509462E10</v>
      </c>
      <c r="B359" s="2" t="s">
        <v>908</v>
      </c>
      <c r="C359" s="2" t="s">
        <v>909</v>
      </c>
      <c r="D359" s="2">
        <f>IFERROR(__xludf.DUMMYFUNCTION("""COMPUTED_VALUE"""),6.9070509462E10)</f>
        <v>69070509462</v>
      </c>
    </row>
    <row r="360">
      <c r="A360" s="2">
        <v>6.9070501003E10</v>
      </c>
      <c r="B360" s="2" t="s">
        <v>912</v>
      </c>
      <c r="C360" s="2" t="s">
        <v>914</v>
      </c>
      <c r="D360" s="2">
        <f>IFERROR(__xludf.DUMMYFUNCTION("""COMPUTED_VALUE"""),6.9070501003E10)</f>
        <v>69070501003</v>
      </c>
    </row>
    <row r="361">
      <c r="A361" s="2">
        <v>6.9070502206E10</v>
      </c>
      <c r="B361" s="2" t="s">
        <v>916</v>
      </c>
      <c r="C361" s="2" t="s">
        <v>917</v>
      </c>
      <c r="D361" s="2">
        <f>IFERROR(__xludf.DUMMYFUNCTION("""COMPUTED_VALUE"""),6.9070502206E10)</f>
        <v>69070502206</v>
      </c>
    </row>
    <row r="362">
      <c r="A362" s="2">
        <v>6.9070500217E10</v>
      </c>
      <c r="B362" s="2" t="s">
        <v>920</v>
      </c>
      <c r="C362" s="2" t="s">
        <v>921</v>
      </c>
      <c r="D362" s="2">
        <f>IFERROR(__xludf.DUMMYFUNCTION("""COMPUTED_VALUE"""),6.9070500217E10)</f>
        <v>69070500217</v>
      </c>
    </row>
    <row r="363">
      <c r="A363" s="2">
        <v>6.9070506404E10</v>
      </c>
      <c r="B363" s="2" t="s">
        <v>923</v>
      </c>
      <c r="C363" s="2" t="s">
        <v>924</v>
      </c>
      <c r="D363" s="2">
        <f>IFERROR(__xludf.DUMMYFUNCTION("""COMPUTED_VALUE"""),6.9070506404E10)</f>
        <v>69070506404</v>
      </c>
    </row>
    <row r="364">
      <c r="A364" s="2">
        <v>6.9070502429E10</v>
      </c>
      <c r="B364" s="2" t="s">
        <v>284</v>
      </c>
      <c r="C364" s="2" t="s">
        <v>928</v>
      </c>
      <c r="D364" s="2">
        <f>IFERROR(__xludf.DUMMYFUNCTION("""COMPUTED_VALUE"""),6.9070502429E10)</f>
        <v>69070502429</v>
      </c>
    </row>
    <row r="365">
      <c r="A365" s="2">
        <v>6.9070502421E10</v>
      </c>
      <c r="B365" s="2" t="s">
        <v>894</v>
      </c>
      <c r="C365" s="2" t="s">
        <v>929</v>
      </c>
      <c r="D365" s="2">
        <f>IFERROR(__xludf.DUMMYFUNCTION("""COMPUTED_VALUE"""),6.9070502421E10)</f>
        <v>69070502421</v>
      </c>
    </row>
    <row r="366">
      <c r="A366" s="2">
        <v>6.9070500429E10</v>
      </c>
      <c r="B366" s="2" t="s">
        <v>930</v>
      </c>
      <c r="C366" s="2" t="s">
        <v>931</v>
      </c>
      <c r="D366" s="2">
        <f>IFERROR(__xludf.DUMMYFUNCTION("""COMPUTED_VALUE"""),6.9070500429E10)</f>
        <v>69070500429</v>
      </c>
    </row>
    <row r="367">
      <c r="A367" s="2">
        <v>6.9070500422E10</v>
      </c>
      <c r="B367" s="2" t="s">
        <v>933</v>
      </c>
      <c r="C367" s="2" t="s">
        <v>934</v>
      </c>
      <c r="D367" s="2">
        <f>IFERROR(__xludf.DUMMYFUNCTION("""COMPUTED_VALUE"""),6.9070500422E10)</f>
        <v>69070500422</v>
      </c>
    </row>
    <row r="368">
      <c r="A368" s="2">
        <v>6.9070508213E10</v>
      </c>
      <c r="B368" s="2" t="s">
        <v>935</v>
      </c>
      <c r="C368" s="2" t="s">
        <v>936</v>
      </c>
      <c r="D368" s="2">
        <f>IFERROR(__xludf.DUMMYFUNCTION("""COMPUTED_VALUE"""),6.9070508213E10)</f>
        <v>69070508213</v>
      </c>
    </row>
    <row r="369">
      <c r="A369" s="2">
        <v>6.9070500491E10</v>
      </c>
      <c r="B369" s="2" t="s">
        <v>937</v>
      </c>
      <c r="C369" s="2" t="s">
        <v>938</v>
      </c>
      <c r="D369" s="2">
        <f>IFERROR(__xludf.DUMMYFUNCTION("""COMPUTED_VALUE"""),6.9070500491E10)</f>
        <v>69070500491</v>
      </c>
    </row>
    <row r="370">
      <c r="A370" s="2">
        <v>6.9070502519E10</v>
      </c>
      <c r="B370" s="2" t="s">
        <v>939</v>
      </c>
      <c r="C370" s="2" t="s">
        <v>940</v>
      </c>
      <c r="D370" s="2">
        <f>IFERROR(__xludf.DUMMYFUNCTION("""COMPUTED_VALUE"""),6.9070502519E10)</f>
        <v>69070502519</v>
      </c>
    </row>
    <row r="371">
      <c r="A371" s="2">
        <v>6.9070509602E10</v>
      </c>
      <c r="B371" s="2" t="s">
        <v>941</v>
      </c>
      <c r="C371" s="2" t="s">
        <v>942</v>
      </c>
      <c r="D371" s="2">
        <f>IFERROR(__xludf.DUMMYFUNCTION("""COMPUTED_VALUE"""),6.9070509602E10)</f>
        <v>69070509602</v>
      </c>
    </row>
    <row r="372">
      <c r="A372" s="2">
        <v>6.9070501808E10</v>
      </c>
      <c r="B372" s="2" t="s">
        <v>943</v>
      </c>
      <c r="C372" s="2" t="s">
        <v>944</v>
      </c>
      <c r="D372" s="2">
        <f>IFERROR(__xludf.DUMMYFUNCTION("""COMPUTED_VALUE"""),6.9070501808E10)</f>
        <v>69070501808</v>
      </c>
    </row>
    <row r="373">
      <c r="A373" s="2">
        <v>6.9070508208E10</v>
      </c>
      <c r="B373" s="2" t="s">
        <v>945</v>
      </c>
      <c r="C373" s="2" t="s">
        <v>467</v>
      </c>
      <c r="D373" s="2">
        <f>IFERROR(__xludf.DUMMYFUNCTION("""COMPUTED_VALUE"""),6.9070508208E10)</f>
        <v>69070508208</v>
      </c>
    </row>
    <row r="374">
      <c r="A374" s="2">
        <v>6.9070500496E10</v>
      </c>
      <c r="B374" s="2" t="s">
        <v>296</v>
      </c>
      <c r="C374" s="2" t="s">
        <v>946</v>
      </c>
      <c r="D374" s="2">
        <f>IFERROR(__xludf.DUMMYFUNCTION("""COMPUTED_VALUE"""),6.9070500496E10)</f>
        <v>69070500496</v>
      </c>
    </row>
    <row r="375">
      <c r="A375" s="2">
        <v>6.9070502449E10</v>
      </c>
      <c r="B375" s="2" t="s">
        <v>947</v>
      </c>
      <c r="C375" s="2" t="s">
        <v>948</v>
      </c>
      <c r="D375" s="2">
        <f>IFERROR(__xludf.DUMMYFUNCTION("""COMPUTED_VALUE"""),6.9070502449E10)</f>
        <v>69070502449</v>
      </c>
    </row>
    <row r="376">
      <c r="A376" s="2">
        <v>6.9070500299E10</v>
      </c>
      <c r="B376" s="2" t="s">
        <v>949</v>
      </c>
      <c r="C376" s="2" t="s">
        <v>950</v>
      </c>
      <c r="D376" s="2">
        <f>IFERROR(__xludf.DUMMYFUNCTION("""COMPUTED_VALUE"""),6.9070500299E10)</f>
        <v>69070500299</v>
      </c>
    </row>
    <row r="377">
      <c r="A377" s="2">
        <v>6.9070500809E10</v>
      </c>
      <c r="B377" s="2" t="s">
        <v>951</v>
      </c>
      <c r="C377" s="2" t="s">
        <v>952</v>
      </c>
      <c r="D377" s="2">
        <f>IFERROR(__xludf.DUMMYFUNCTION("""COMPUTED_VALUE"""),6.9070500809E10)</f>
        <v>69070500809</v>
      </c>
    </row>
    <row r="378">
      <c r="A378" s="2">
        <v>6.9070500287E10</v>
      </c>
      <c r="B378" s="2" t="s">
        <v>953</v>
      </c>
      <c r="C378" s="2" t="s">
        <v>954</v>
      </c>
      <c r="D378" s="2">
        <f>IFERROR(__xludf.DUMMYFUNCTION("""COMPUTED_VALUE"""),6.9070500287E10)</f>
        <v>69070500287</v>
      </c>
    </row>
    <row r="379">
      <c r="A379" s="2">
        <v>6.9070500234E10</v>
      </c>
      <c r="B379" s="2" t="s">
        <v>955</v>
      </c>
      <c r="C379" s="2" t="s">
        <v>956</v>
      </c>
      <c r="D379" s="2">
        <f>IFERROR(__xludf.DUMMYFUNCTION("""COMPUTED_VALUE"""),6.9070500234E10)</f>
        <v>69070500234</v>
      </c>
    </row>
    <row r="380">
      <c r="A380" s="2">
        <v>6.9070500448E10</v>
      </c>
      <c r="B380" s="2" t="s">
        <v>957</v>
      </c>
      <c r="C380" s="2" t="s">
        <v>958</v>
      </c>
      <c r="D380" s="2">
        <f>IFERROR(__xludf.DUMMYFUNCTION("""COMPUTED_VALUE"""),6.9070500448E10)</f>
        <v>69070500448</v>
      </c>
    </row>
    <row r="381">
      <c r="A381" s="2">
        <v>6.9070508853E10</v>
      </c>
      <c r="B381" s="2" t="s">
        <v>959</v>
      </c>
      <c r="C381" s="2" t="s">
        <v>960</v>
      </c>
      <c r="D381" s="2">
        <f>IFERROR(__xludf.DUMMYFUNCTION("""COMPUTED_VALUE"""),6.9070508853E10)</f>
        <v>69070508853</v>
      </c>
    </row>
    <row r="382">
      <c r="A382" s="2">
        <v>6.9070501079E10</v>
      </c>
      <c r="B382" s="2" t="s">
        <v>961</v>
      </c>
      <c r="C382" s="2" t="s">
        <v>962</v>
      </c>
      <c r="D382" s="2">
        <f>IFERROR(__xludf.DUMMYFUNCTION("""COMPUTED_VALUE"""),6.9070501079E10)</f>
        <v>69070501079</v>
      </c>
    </row>
    <row r="383">
      <c r="A383" s="2">
        <v>6.9070500439E10</v>
      </c>
      <c r="B383" s="2" t="s">
        <v>963</v>
      </c>
      <c r="C383" s="2" t="s">
        <v>964</v>
      </c>
      <c r="D383" s="2">
        <f>IFERROR(__xludf.DUMMYFUNCTION("""COMPUTED_VALUE"""),6.9070500439E10)</f>
        <v>69070500439</v>
      </c>
    </row>
    <row r="384">
      <c r="A384" s="2">
        <v>6.9070500816E10</v>
      </c>
      <c r="B384" s="2" t="s">
        <v>296</v>
      </c>
      <c r="C384" s="2" t="s">
        <v>965</v>
      </c>
      <c r="D384" s="2">
        <f>IFERROR(__xludf.DUMMYFUNCTION("""COMPUTED_VALUE"""),6.9070500816E10)</f>
        <v>69070500816</v>
      </c>
    </row>
    <row r="385">
      <c r="A385" s="2">
        <v>6.9070501212E10</v>
      </c>
      <c r="B385" s="2" t="s">
        <v>966</v>
      </c>
      <c r="C385" s="2" t="s">
        <v>967</v>
      </c>
      <c r="D385" s="2">
        <f>IFERROR(__xludf.DUMMYFUNCTION("""COMPUTED_VALUE"""),6.9070501212E10)</f>
        <v>69070501212</v>
      </c>
    </row>
    <row r="386">
      <c r="A386" s="2">
        <v>6.9070501815E10</v>
      </c>
      <c r="B386" s="2" t="s">
        <v>968</v>
      </c>
      <c r="C386" s="2" t="s">
        <v>969</v>
      </c>
      <c r="D386" s="2">
        <f>IFERROR(__xludf.DUMMYFUNCTION("""COMPUTED_VALUE"""),6.9070501815E10)</f>
        <v>69070501815</v>
      </c>
    </row>
    <row r="387">
      <c r="A387" s="2">
        <v>6.9070500823E10</v>
      </c>
      <c r="B387" s="2" t="s">
        <v>970</v>
      </c>
      <c r="C387" s="2" t="s">
        <v>972</v>
      </c>
      <c r="D387" s="2">
        <f>IFERROR(__xludf.DUMMYFUNCTION("""COMPUTED_VALUE"""),6.9070500823E10)</f>
        <v>69070500823</v>
      </c>
    </row>
    <row r="388">
      <c r="A388" s="2">
        <v>6.9070506417E10</v>
      </c>
      <c r="B388" s="2" t="s">
        <v>975</v>
      </c>
      <c r="C388" s="2" t="s">
        <v>976</v>
      </c>
      <c r="D388" s="2">
        <f>IFERROR(__xludf.DUMMYFUNCTION("""COMPUTED_VALUE"""),6.9070506417E10)</f>
        <v>69070506417</v>
      </c>
    </row>
    <row r="389">
      <c r="A389" s="2">
        <v>6.907050241E10</v>
      </c>
      <c r="B389" s="2" t="s">
        <v>978</v>
      </c>
      <c r="C389" s="2" t="s">
        <v>979</v>
      </c>
      <c r="D389" s="2">
        <f>IFERROR(__xludf.DUMMYFUNCTION("""COMPUTED_VALUE"""),6.907050241E10)</f>
        <v>69070502410</v>
      </c>
    </row>
    <row r="390">
      <c r="A390" s="2">
        <v>6.9070502508E10</v>
      </c>
      <c r="B390" s="2" t="s">
        <v>982</v>
      </c>
      <c r="C390" s="2" t="s">
        <v>983</v>
      </c>
      <c r="D390" s="2">
        <f>IFERROR(__xludf.DUMMYFUNCTION("""COMPUTED_VALUE"""),6.9070502508E10)</f>
        <v>69070502508</v>
      </c>
    </row>
    <row r="391">
      <c r="A391" s="2">
        <v>6.907050044E10</v>
      </c>
      <c r="B391" s="2" t="s">
        <v>985</v>
      </c>
      <c r="C391" s="2" t="s">
        <v>986</v>
      </c>
      <c r="D391" s="2">
        <f>IFERROR(__xludf.DUMMYFUNCTION("""COMPUTED_VALUE"""),6.907050044E10)</f>
        <v>69070500440</v>
      </c>
    </row>
    <row r="392">
      <c r="A392" s="2">
        <v>6.9070500452E10</v>
      </c>
      <c r="B392" s="2" t="s">
        <v>987</v>
      </c>
      <c r="C392" s="2" t="s">
        <v>259</v>
      </c>
      <c r="D392" s="2">
        <f>IFERROR(__xludf.DUMMYFUNCTION("""COMPUTED_VALUE"""),6.9070500452E10)</f>
        <v>69070500452</v>
      </c>
    </row>
    <row r="393">
      <c r="A393" s="2">
        <v>6.9070509613E10</v>
      </c>
      <c r="B393" s="2" t="s">
        <v>988</v>
      </c>
      <c r="C393" s="2" t="s">
        <v>989</v>
      </c>
      <c r="D393" s="2">
        <f>IFERROR(__xludf.DUMMYFUNCTION("""COMPUTED_VALUE"""),6.9070509613E10)</f>
        <v>69070509613</v>
      </c>
    </row>
    <row r="394">
      <c r="A394" s="2">
        <v>6.9070501024E10</v>
      </c>
      <c r="B394" s="2" t="s">
        <v>990</v>
      </c>
      <c r="C394" s="2" t="s">
        <v>991</v>
      </c>
      <c r="D394" s="2">
        <f>IFERROR(__xludf.DUMMYFUNCTION("""COMPUTED_VALUE"""),6.9070501024E10)</f>
        <v>69070501024</v>
      </c>
    </row>
    <row r="395">
      <c r="A395" s="2">
        <v>6.9070508223E10</v>
      </c>
      <c r="B395" s="2" t="s">
        <v>992</v>
      </c>
      <c r="C395" s="2" t="s">
        <v>993</v>
      </c>
      <c r="D395" s="2">
        <f>IFERROR(__xludf.DUMMYFUNCTION("""COMPUTED_VALUE"""),6.9070508223E10)</f>
        <v>69070508223</v>
      </c>
    </row>
    <row r="396">
      <c r="A396" s="2">
        <v>6.907050022E10</v>
      </c>
      <c r="B396" s="2" t="s">
        <v>994</v>
      </c>
      <c r="C396" s="2" t="s">
        <v>995</v>
      </c>
      <c r="D396" s="2">
        <f>IFERROR(__xludf.DUMMYFUNCTION("""COMPUTED_VALUE"""),6.907050022E10)</f>
        <v>69070500220</v>
      </c>
    </row>
    <row r="397">
      <c r="A397" s="2">
        <v>6.9070500324E10</v>
      </c>
      <c r="B397" s="2" t="s">
        <v>996</v>
      </c>
      <c r="C397" s="2" t="s">
        <v>997</v>
      </c>
      <c r="D397" s="2">
        <f>IFERROR(__xludf.DUMMYFUNCTION("""COMPUTED_VALUE"""),6.9070500324E10)</f>
        <v>69070500324</v>
      </c>
    </row>
    <row r="398">
      <c r="A398" s="2">
        <v>6.9070502475E10</v>
      </c>
      <c r="B398" s="2" t="s">
        <v>998</v>
      </c>
      <c r="C398" s="2" t="s">
        <v>999</v>
      </c>
      <c r="D398" s="2">
        <f>IFERROR(__xludf.DUMMYFUNCTION("""COMPUTED_VALUE"""),6.9070502475E10)</f>
        <v>69070502475</v>
      </c>
    </row>
    <row r="399">
      <c r="A399" s="2">
        <v>6.9070502416E10</v>
      </c>
      <c r="B399" s="2" t="s">
        <v>1000</v>
      </c>
      <c r="C399" s="2" t="s">
        <v>1001</v>
      </c>
      <c r="D399" s="2">
        <f>IFERROR(__xludf.DUMMYFUNCTION("""COMPUTED_VALUE"""),6.9070502416E10)</f>
        <v>69070502416</v>
      </c>
    </row>
    <row r="400">
      <c r="A400" s="2">
        <v>6.9070500412E10</v>
      </c>
      <c r="B400" s="2" t="s">
        <v>1002</v>
      </c>
      <c r="C400" s="2" t="s">
        <v>1003</v>
      </c>
      <c r="D400" s="2">
        <f>IFERROR(__xludf.DUMMYFUNCTION("""COMPUTED_VALUE"""),6.9070500412E10)</f>
        <v>69070500412</v>
      </c>
    </row>
    <row r="401">
      <c r="A401" s="2">
        <v>6.9070502833E10</v>
      </c>
      <c r="B401" s="2" t="s">
        <v>1004</v>
      </c>
      <c r="C401" s="2" t="s">
        <v>1005</v>
      </c>
      <c r="D401" s="2">
        <f>IFERROR(__xludf.DUMMYFUNCTION("""COMPUTED_VALUE"""),6.9070502833E10)</f>
        <v>69070502833</v>
      </c>
    </row>
    <row r="402">
      <c r="A402" s="2">
        <v>6.9070502231E10</v>
      </c>
      <c r="B402" s="2" t="s">
        <v>1006</v>
      </c>
      <c r="C402" s="2" t="s">
        <v>1007</v>
      </c>
      <c r="D402" s="2">
        <f>IFERROR(__xludf.DUMMYFUNCTION("""COMPUTED_VALUE"""),6.9070502231E10)</f>
        <v>69070502231</v>
      </c>
    </row>
    <row r="403">
      <c r="A403" s="2">
        <v>6.9070505206E10</v>
      </c>
      <c r="B403" s="2" t="s">
        <v>1008</v>
      </c>
      <c r="C403" s="2" t="s">
        <v>1009</v>
      </c>
      <c r="D403" s="2">
        <f>IFERROR(__xludf.DUMMYFUNCTION("""COMPUTED_VALUE"""),6.9070505206E10)</f>
        <v>69070505206</v>
      </c>
    </row>
    <row r="404">
      <c r="A404" s="2">
        <v>6.9070502825E10</v>
      </c>
      <c r="B404" s="2" t="s">
        <v>1010</v>
      </c>
      <c r="C404" s="2" t="s">
        <v>1011</v>
      </c>
      <c r="D404" s="2">
        <f>IFERROR(__xludf.DUMMYFUNCTION("""COMPUTED_VALUE"""),6.9070502825E10)</f>
        <v>69070502825</v>
      </c>
    </row>
    <row r="405">
      <c r="A405" s="2">
        <v>6.9070508227E10</v>
      </c>
      <c r="B405" s="2" t="s">
        <v>987</v>
      </c>
      <c r="C405" s="2" t="s">
        <v>1012</v>
      </c>
      <c r="D405" s="2">
        <f>IFERROR(__xludf.DUMMYFUNCTION("""COMPUTED_VALUE"""),6.9070508227E10)</f>
        <v>69070508227</v>
      </c>
    </row>
    <row r="406">
      <c r="A406" s="2">
        <v>6.9070502403E10</v>
      </c>
      <c r="B406" s="2" t="s">
        <v>1013</v>
      </c>
      <c r="C406" s="2" t="s">
        <v>1014</v>
      </c>
      <c r="D406" s="2">
        <f>IFERROR(__xludf.DUMMYFUNCTION("""COMPUTED_VALUE"""),6.9070502403E10)</f>
        <v>69070502403</v>
      </c>
    </row>
    <row r="407">
      <c r="A407" s="2">
        <v>6.9070501245E10</v>
      </c>
      <c r="B407" s="2" t="s">
        <v>1015</v>
      </c>
      <c r="C407" s="2" t="s">
        <v>1016</v>
      </c>
      <c r="D407" s="2">
        <f>IFERROR(__xludf.DUMMYFUNCTION("""COMPUTED_VALUE"""),6.9070501245E10)</f>
        <v>69070501245</v>
      </c>
    </row>
    <row r="408">
      <c r="A408" s="2">
        <v>6.9070505203E10</v>
      </c>
      <c r="B408" s="2" t="s">
        <v>1017</v>
      </c>
      <c r="C408" s="2" t="s">
        <v>1018</v>
      </c>
      <c r="D408" s="2">
        <f>IFERROR(__xludf.DUMMYFUNCTION("""COMPUTED_VALUE"""),6.9070505203E10)</f>
        <v>69070505203</v>
      </c>
    </row>
    <row r="409">
      <c r="A409" s="2">
        <v>6.9070500243E10</v>
      </c>
      <c r="B409" s="2" t="s">
        <v>1019</v>
      </c>
      <c r="C409" s="2" t="s">
        <v>1020</v>
      </c>
      <c r="D409" s="2">
        <f>IFERROR(__xludf.DUMMYFUNCTION("""COMPUTED_VALUE"""),6.9070500243E10)</f>
        <v>69070500243</v>
      </c>
    </row>
    <row r="410">
      <c r="A410" s="2">
        <v>6.9070500447E10</v>
      </c>
      <c r="B410" s="2" t="s">
        <v>1021</v>
      </c>
      <c r="C410" s="2" t="s">
        <v>1022</v>
      </c>
      <c r="D410" s="2">
        <f>IFERROR(__xludf.DUMMYFUNCTION("""COMPUTED_VALUE"""),6.9070500447E10)</f>
        <v>69070500447</v>
      </c>
    </row>
    <row r="411">
      <c r="A411" s="2">
        <v>6.907050181E10</v>
      </c>
      <c r="B411" s="2" t="s">
        <v>1023</v>
      </c>
      <c r="C411" s="2" t="s">
        <v>1024</v>
      </c>
      <c r="D411" s="2">
        <f>IFERROR(__xludf.DUMMYFUNCTION("""COMPUTED_VALUE"""),6.907050181E10)</f>
        <v>69070501810</v>
      </c>
    </row>
    <row r="412">
      <c r="A412" s="2">
        <v>6.9070500441E10</v>
      </c>
      <c r="B412" s="2" t="s">
        <v>1027</v>
      </c>
      <c r="C412" s="2" t="s">
        <v>1028</v>
      </c>
      <c r="D412" s="2">
        <f>IFERROR(__xludf.DUMMYFUNCTION("""COMPUTED_VALUE"""),6.9070500441E10)</f>
        <v>69070500441</v>
      </c>
    </row>
    <row r="413">
      <c r="A413" s="2">
        <v>6.9070502477E10</v>
      </c>
      <c r="B413" s="2" t="s">
        <v>1031</v>
      </c>
      <c r="C413" s="2" t="s">
        <v>1032</v>
      </c>
      <c r="D413" s="2">
        <f>IFERROR(__xludf.DUMMYFUNCTION("""COMPUTED_VALUE"""),6.9070502477E10)</f>
        <v>69070502477</v>
      </c>
    </row>
    <row r="414">
      <c r="A414" s="2">
        <v>6.9070500215E10</v>
      </c>
      <c r="B414" s="2" t="s">
        <v>1000</v>
      </c>
      <c r="C414" s="2" t="s">
        <v>1035</v>
      </c>
      <c r="D414" s="2">
        <f>IFERROR(__xludf.DUMMYFUNCTION("""COMPUTED_VALUE"""),6.9070500215E10)</f>
        <v>69070500215</v>
      </c>
    </row>
    <row r="415">
      <c r="A415" s="2">
        <v>6.9070505211E10</v>
      </c>
      <c r="B415" s="2" t="s">
        <v>1038</v>
      </c>
      <c r="C415" s="2" t="s">
        <v>1039</v>
      </c>
      <c r="D415" s="2">
        <f>IFERROR(__xludf.DUMMYFUNCTION("""COMPUTED_VALUE"""),6.9070505211E10)</f>
        <v>69070505211</v>
      </c>
    </row>
    <row r="416">
      <c r="A416" s="2">
        <v>6.9070502511E10</v>
      </c>
      <c r="B416" s="2" t="s">
        <v>655</v>
      </c>
      <c r="C416" s="2" t="s">
        <v>1040</v>
      </c>
      <c r="D416" s="2">
        <f>IFERROR(__xludf.DUMMYFUNCTION("""COMPUTED_VALUE"""),6.9070502511E10)</f>
        <v>69070502511</v>
      </c>
    </row>
    <row r="417">
      <c r="A417" s="2">
        <v>6.9070500858E10</v>
      </c>
      <c r="B417" s="2" t="s">
        <v>1041</v>
      </c>
      <c r="C417" s="2" t="s">
        <v>1042</v>
      </c>
      <c r="D417" s="2">
        <f>IFERROR(__xludf.DUMMYFUNCTION("""COMPUTED_VALUE"""),6.9070500858E10)</f>
        <v>69070500858</v>
      </c>
    </row>
    <row r="418">
      <c r="A418" s="2">
        <v>6.9070500424E10</v>
      </c>
      <c r="B418" s="2" t="s">
        <v>1043</v>
      </c>
      <c r="C418" s="2" t="s">
        <v>1044</v>
      </c>
      <c r="D418" s="2">
        <f>IFERROR(__xludf.DUMMYFUNCTION("""COMPUTED_VALUE"""),6.9070500424E10)</f>
        <v>69070500424</v>
      </c>
    </row>
    <row r="419">
      <c r="A419" s="2">
        <v>6.9070502442E10</v>
      </c>
      <c r="B419" s="2" t="s">
        <v>588</v>
      </c>
      <c r="C419" s="2" t="s">
        <v>1045</v>
      </c>
      <c r="D419" s="2">
        <f>IFERROR(__xludf.DUMMYFUNCTION("""COMPUTED_VALUE"""),6.9070502442E10)</f>
        <v>69070502442</v>
      </c>
    </row>
    <row r="420">
      <c r="A420" s="2">
        <v>6.9070500221E10</v>
      </c>
      <c r="B420" s="2" t="s">
        <v>1046</v>
      </c>
      <c r="C420" s="2" t="s">
        <v>1047</v>
      </c>
      <c r="D420" s="2">
        <f>IFERROR(__xludf.DUMMYFUNCTION("""COMPUTED_VALUE"""),6.9070500221E10)</f>
        <v>69070500221</v>
      </c>
    </row>
    <row r="421">
      <c r="A421" s="2">
        <v>6.9070500228E10</v>
      </c>
      <c r="B421" s="2" t="s">
        <v>1048</v>
      </c>
      <c r="C421" s="2" t="s">
        <v>1049</v>
      </c>
      <c r="D421" s="2">
        <f>IFERROR(__xludf.DUMMYFUNCTION("""COMPUTED_VALUE"""),6.9070500228E10)</f>
        <v>69070500228</v>
      </c>
    </row>
    <row r="422">
      <c r="A422" s="2">
        <v>6.907050822E10</v>
      </c>
      <c r="B422" s="2" t="s">
        <v>1027</v>
      </c>
      <c r="C422" s="2" t="s">
        <v>1050</v>
      </c>
      <c r="D422" s="2">
        <f>IFERROR(__xludf.DUMMYFUNCTION("""COMPUTED_VALUE"""),6.907050822E10)</f>
        <v>69070508220</v>
      </c>
    </row>
    <row r="423">
      <c r="A423" s="2">
        <v>6.9070500409E10</v>
      </c>
      <c r="B423" s="2" t="s">
        <v>1051</v>
      </c>
      <c r="C423" s="2" t="s">
        <v>1052</v>
      </c>
      <c r="D423" s="2">
        <f>IFERROR(__xludf.DUMMYFUNCTION("""COMPUTED_VALUE"""),6.9070500409E10)</f>
        <v>69070500409</v>
      </c>
    </row>
    <row r="424">
      <c r="A424" s="2">
        <v>6.9070500214E10</v>
      </c>
      <c r="B424" s="2" t="s">
        <v>1053</v>
      </c>
      <c r="C424" s="2" t="s">
        <v>1054</v>
      </c>
      <c r="D424" s="2">
        <f>IFERROR(__xludf.DUMMYFUNCTION("""COMPUTED_VALUE"""),6.9070500214E10)</f>
        <v>69070500214</v>
      </c>
    </row>
    <row r="425">
      <c r="A425" s="2">
        <v>6.9070500004E10</v>
      </c>
      <c r="B425" s="2" t="s">
        <v>1055</v>
      </c>
      <c r="C425" s="2" t="s">
        <v>1056</v>
      </c>
      <c r="D425" s="2">
        <f>IFERROR(__xludf.DUMMYFUNCTION("""COMPUTED_VALUE"""),6.9070500004E10)</f>
        <v>69070500004</v>
      </c>
    </row>
    <row r="426">
      <c r="A426" s="2">
        <v>6.9070500007E10</v>
      </c>
      <c r="B426" s="2" t="s">
        <v>1057</v>
      </c>
      <c r="C426" s="2" t="s">
        <v>1058</v>
      </c>
      <c r="D426" s="2">
        <f>IFERROR(__xludf.DUMMYFUNCTION("""COMPUTED_VALUE"""),6.9070500007E10)</f>
        <v>69070500007</v>
      </c>
    </row>
    <row r="427">
      <c r="A427" s="2">
        <v>6.907050064E10</v>
      </c>
      <c r="B427" s="2" t="s">
        <v>1059</v>
      </c>
      <c r="C427" s="2" t="s">
        <v>1060</v>
      </c>
      <c r="D427" s="2">
        <f>IFERROR(__xludf.DUMMYFUNCTION("""COMPUTED_VALUE"""),6.907050064E10)</f>
        <v>69070500640</v>
      </c>
    </row>
    <row r="428">
      <c r="A428" s="2">
        <v>6.9070501838E10</v>
      </c>
      <c r="B428" s="2" t="s">
        <v>1061</v>
      </c>
      <c r="C428" s="2" t="s">
        <v>1062</v>
      </c>
      <c r="D428" s="2">
        <f>IFERROR(__xludf.DUMMYFUNCTION("""COMPUTED_VALUE"""),6.9070501838E10)</f>
        <v>69070501838</v>
      </c>
    </row>
    <row r="429">
      <c r="A429" s="2">
        <v>6.9070501823E10</v>
      </c>
      <c r="B429" s="2" t="s">
        <v>1063</v>
      </c>
      <c r="C429" s="2" t="s">
        <v>1064</v>
      </c>
      <c r="D429" s="2">
        <f>IFERROR(__xludf.DUMMYFUNCTION("""COMPUTED_VALUE"""),6.9070501823E10)</f>
        <v>69070501823</v>
      </c>
    </row>
    <row r="430">
      <c r="A430" s="2">
        <v>6.9070505214E10</v>
      </c>
      <c r="B430" s="2" t="s">
        <v>1065</v>
      </c>
      <c r="C430" s="2" t="s">
        <v>1066</v>
      </c>
      <c r="D430" s="2">
        <f>IFERROR(__xludf.DUMMYFUNCTION("""COMPUTED_VALUE"""),6.9070505214E10)</f>
        <v>69070505214</v>
      </c>
    </row>
    <row r="431">
      <c r="A431" s="2">
        <v>6.9070501043E10</v>
      </c>
      <c r="B431" s="2" t="s">
        <v>1067</v>
      </c>
      <c r="C431" s="2" t="s">
        <v>1068</v>
      </c>
      <c r="D431" s="2">
        <f>IFERROR(__xludf.DUMMYFUNCTION("""COMPUTED_VALUE"""),6.9070501043E10)</f>
        <v>69070501043</v>
      </c>
    </row>
    <row r="432">
      <c r="A432" s="2">
        <v>6.9070501262E10</v>
      </c>
      <c r="B432" s="2" t="s">
        <v>1069</v>
      </c>
      <c r="C432" s="2" t="s">
        <v>1070</v>
      </c>
      <c r="D432" s="2">
        <f>IFERROR(__xludf.DUMMYFUNCTION("""COMPUTED_VALUE"""),6.9070501262E10)</f>
        <v>69070501262</v>
      </c>
    </row>
    <row r="433">
      <c r="A433" s="2">
        <v>6.9070501263E10</v>
      </c>
      <c r="B433" s="2" t="s">
        <v>957</v>
      </c>
      <c r="C433" s="2" t="s">
        <v>1071</v>
      </c>
      <c r="D433" s="2">
        <f>IFERROR(__xludf.DUMMYFUNCTION("""COMPUTED_VALUE"""),6.9070501263E10)</f>
        <v>69070501263</v>
      </c>
    </row>
    <row r="434">
      <c r="A434" s="2">
        <v>6.9070509601E10</v>
      </c>
      <c r="B434" s="2" t="s">
        <v>323</v>
      </c>
      <c r="C434" s="2" t="s">
        <v>1072</v>
      </c>
      <c r="D434" s="2">
        <f>IFERROR(__xludf.DUMMYFUNCTION("""COMPUTED_VALUE"""),6.9070509601E10)</f>
        <v>69070509601</v>
      </c>
    </row>
    <row r="435">
      <c r="A435" s="2">
        <v>6.9070501218E10</v>
      </c>
      <c r="B435" s="2" t="s">
        <v>1073</v>
      </c>
      <c r="C435" s="2" t="s">
        <v>1074</v>
      </c>
      <c r="D435" s="2">
        <f>IFERROR(__xludf.DUMMYFUNCTION("""COMPUTED_VALUE"""),6.9070501218E10)</f>
        <v>69070501218</v>
      </c>
    </row>
    <row r="436">
      <c r="A436" s="2">
        <v>6.9070506405E10</v>
      </c>
      <c r="B436" s="2" t="s">
        <v>358</v>
      </c>
      <c r="C436" s="2" t="s">
        <v>1075</v>
      </c>
      <c r="D436" s="2">
        <f>IFERROR(__xludf.DUMMYFUNCTION("""COMPUTED_VALUE"""),6.9070506405E10)</f>
        <v>69070506405</v>
      </c>
    </row>
    <row r="437">
      <c r="A437" s="2">
        <v>6.9070501009E10</v>
      </c>
      <c r="B437" s="2" t="s">
        <v>1076</v>
      </c>
      <c r="C437" s="2" t="s">
        <v>1077</v>
      </c>
      <c r="D437" s="2">
        <f>IFERROR(__xludf.DUMMYFUNCTION("""COMPUTED_VALUE"""),6.9070501009E10)</f>
        <v>69070501009</v>
      </c>
    </row>
    <row r="438">
      <c r="A438" s="2">
        <v>6.907050247E10</v>
      </c>
      <c r="B438" s="2" t="s">
        <v>1079</v>
      </c>
      <c r="C438" s="2" t="s">
        <v>1081</v>
      </c>
      <c r="D438" s="2">
        <f>IFERROR(__xludf.DUMMYFUNCTION("""COMPUTED_VALUE"""),6.907050247E10)</f>
        <v>69070502470</v>
      </c>
    </row>
    <row r="439">
      <c r="A439" s="2">
        <v>6.9070500209E10</v>
      </c>
      <c r="B439" s="2" t="s">
        <v>1084</v>
      </c>
      <c r="C439" s="2" t="s">
        <v>1085</v>
      </c>
      <c r="D439" s="2">
        <f>IFERROR(__xludf.DUMMYFUNCTION("""COMPUTED_VALUE"""),6.9070500209E10)</f>
        <v>69070500209</v>
      </c>
    </row>
    <row r="440">
      <c r="A440" s="2">
        <v>6.9070501258E10</v>
      </c>
      <c r="B440" s="2" t="s">
        <v>1087</v>
      </c>
      <c r="C440" s="2" t="s">
        <v>1089</v>
      </c>
      <c r="D440" s="2">
        <f>IFERROR(__xludf.DUMMYFUNCTION("""COMPUTED_VALUE"""),6.9070501258E10)</f>
        <v>69070501258</v>
      </c>
    </row>
    <row r="441">
      <c r="A441" s="2">
        <v>6.907050005E10</v>
      </c>
      <c r="B441" s="2" t="s">
        <v>1092</v>
      </c>
      <c r="C441" s="2" t="s">
        <v>1093</v>
      </c>
      <c r="D441" s="2">
        <f>IFERROR(__xludf.DUMMYFUNCTION("""COMPUTED_VALUE"""),6.907050005E10)</f>
        <v>69070500050</v>
      </c>
    </row>
    <row r="442">
      <c r="A442" s="2">
        <v>6.9070500244E10</v>
      </c>
      <c r="B442" s="2" t="s">
        <v>1094</v>
      </c>
      <c r="C442" s="2" t="s">
        <v>1095</v>
      </c>
      <c r="D442" s="2">
        <f>IFERROR(__xludf.DUMMYFUNCTION("""COMPUTED_VALUE"""),6.9070500244E10)</f>
        <v>69070500244</v>
      </c>
    </row>
    <row r="443">
      <c r="A443" s="2">
        <v>6.907050123E10</v>
      </c>
      <c r="B443" s="2" t="s">
        <v>540</v>
      </c>
      <c r="C443" s="2" t="s">
        <v>1096</v>
      </c>
      <c r="D443" s="2">
        <f>IFERROR(__xludf.DUMMYFUNCTION("""COMPUTED_VALUE"""),6.907050123E10)</f>
        <v>69070501230</v>
      </c>
    </row>
    <row r="444">
      <c r="A444" s="2">
        <v>6.9070500449E10</v>
      </c>
      <c r="B444" s="2" t="s">
        <v>1097</v>
      </c>
      <c r="C444" s="2" t="s">
        <v>1098</v>
      </c>
      <c r="D444" s="2">
        <f>IFERROR(__xludf.DUMMYFUNCTION("""COMPUTED_VALUE"""),6.9070500449E10)</f>
        <v>69070500449</v>
      </c>
    </row>
    <row r="445">
      <c r="A445" s="2">
        <v>6.9070502492E10</v>
      </c>
      <c r="B445" s="2" t="s">
        <v>1099</v>
      </c>
      <c r="C445" s="2" t="s">
        <v>1100</v>
      </c>
      <c r="D445" s="2">
        <f>IFERROR(__xludf.DUMMYFUNCTION("""COMPUTED_VALUE"""),6.9070502492E10)</f>
        <v>69070502492</v>
      </c>
    </row>
    <row r="446">
      <c r="A446" s="2">
        <v>6.9070502243E10</v>
      </c>
      <c r="B446" s="2" t="s">
        <v>1101</v>
      </c>
      <c r="C446" s="2" t="s">
        <v>1102</v>
      </c>
      <c r="D446" s="2">
        <f>IFERROR(__xludf.DUMMYFUNCTION("""COMPUTED_VALUE"""),6.9070502243E10)</f>
        <v>69070502243</v>
      </c>
    </row>
    <row r="447">
      <c r="A447" s="2">
        <v>6.9070506452E10</v>
      </c>
      <c r="B447" s="2" t="s">
        <v>1103</v>
      </c>
      <c r="C447" s="2" t="s">
        <v>1104</v>
      </c>
      <c r="D447" s="2">
        <f>IFERROR(__xludf.DUMMYFUNCTION("""COMPUTED_VALUE"""),6.9070506452E10)</f>
        <v>69070506452</v>
      </c>
    </row>
    <row r="448">
      <c r="A448" s="2">
        <v>6.907050242E10</v>
      </c>
      <c r="B448" s="2" t="s">
        <v>1105</v>
      </c>
      <c r="C448" s="2" t="s">
        <v>1106</v>
      </c>
      <c r="D448" s="2">
        <f>IFERROR(__xludf.DUMMYFUNCTION("""COMPUTED_VALUE"""),6.907050242E10)</f>
        <v>69070502420</v>
      </c>
    </row>
    <row r="449">
      <c r="A449" s="2">
        <v>6.9070500211E10</v>
      </c>
      <c r="B449" s="2" t="s">
        <v>1107</v>
      </c>
      <c r="C449" s="2" t="s">
        <v>1108</v>
      </c>
      <c r="D449" s="2">
        <f>IFERROR(__xludf.DUMMYFUNCTION("""COMPUTED_VALUE"""),6.9070500211E10)</f>
        <v>69070500211</v>
      </c>
    </row>
    <row r="450">
      <c r="A450" s="2">
        <v>6.9070501047E10</v>
      </c>
      <c r="B450" s="2" t="s">
        <v>1109</v>
      </c>
      <c r="C450" s="2" t="s">
        <v>1110</v>
      </c>
      <c r="D450" s="2">
        <f>IFERROR(__xludf.DUMMYFUNCTION("""COMPUTED_VALUE"""),6.9070501047E10)</f>
        <v>69070501047</v>
      </c>
    </row>
    <row r="451">
      <c r="A451" s="2">
        <v>6.9070500238E10</v>
      </c>
      <c r="B451" s="2" t="s">
        <v>1111</v>
      </c>
      <c r="C451" s="2" t="s">
        <v>1112</v>
      </c>
      <c r="D451" s="2">
        <f>IFERROR(__xludf.DUMMYFUNCTION("""COMPUTED_VALUE"""),6.9070500238E10)</f>
        <v>69070500238</v>
      </c>
    </row>
    <row r="452">
      <c r="A452" s="2">
        <v>6.9070500499E10</v>
      </c>
      <c r="B452" s="2" t="s">
        <v>1113</v>
      </c>
      <c r="C452" s="2" t="s">
        <v>1114</v>
      </c>
      <c r="D452" s="2">
        <f>IFERROR(__xludf.DUMMYFUNCTION("""COMPUTED_VALUE"""),6.9070500499E10)</f>
        <v>69070500499</v>
      </c>
    </row>
    <row r="453">
      <c r="A453" s="2">
        <v>6.9070500487E10</v>
      </c>
      <c r="B453" s="2" t="s">
        <v>1115</v>
      </c>
      <c r="C453" s="2" t="s">
        <v>1116</v>
      </c>
      <c r="D453" s="2">
        <f>IFERROR(__xludf.DUMMYFUNCTION("""COMPUTED_VALUE"""),6.9070500487E10)</f>
        <v>69070500487</v>
      </c>
    </row>
    <row r="454">
      <c r="A454" s="2">
        <v>6.9070500432E10</v>
      </c>
      <c r="B454" s="2" t="s">
        <v>1117</v>
      </c>
      <c r="C454" s="2" t="s">
        <v>1118</v>
      </c>
      <c r="D454" s="2">
        <f>IFERROR(__xludf.DUMMYFUNCTION("""COMPUTED_VALUE"""),6.9070500432E10)</f>
        <v>69070500432</v>
      </c>
    </row>
    <row r="455">
      <c r="A455" s="2">
        <v>6.9070509625E10</v>
      </c>
      <c r="B455" s="2" t="s">
        <v>1119</v>
      </c>
      <c r="C455" s="2" t="s">
        <v>1120</v>
      </c>
      <c r="D455" s="2">
        <f>IFERROR(__xludf.DUMMYFUNCTION("""COMPUTED_VALUE"""),6.9070509625E10)</f>
        <v>69070509625</v>
      </c>
    </row>
    <row r="456">
      <c r="A456" s="2">
        <v>6.9070500205E10</v>
      </c>
      <c r="B456" s="2" t="s">
        <v>1121</v>
      </c>
      <c r="C456" s="2" t="s">
        <v>1122</v>
      </c>
      <c r="D456" s="2">
        <f>IFERROR(__xludf.DUMMYFUNCTION("""COMPUTED_VALUE"""),6.9070500205E10)</f>
        <v>69070500205</v>
      </c>
    </row>
    <row r="457">
      <c r="A457" s="2">
        <v>6.9070500492E10</v>
      </c>
      <c r="B457" s="2" t="s">
        <v>1123</v>
      </c>
      <c r="C457" s="2" t="s">
        <v>1124</v>
      </c>
      <c r="D457" s="2">
        <f>IFERROR(__xludf.DUMMYFUNCTION("""COMPUTED_VALUE"""),6.9070500492E10)</f>
        <v>69070500492</v>
      </c>
    </row>
    <row r="458">
      <c r="A458" s="2">
        <v>6.9070508822E10</v>
      </c>
      <c r="B458" s="2" t="s">
        <v>1125</v>
      </c>
      <c r="C458" s="2" t="s">
        <v>1126</v>
      </c>
      <c r="D458" s="2">
        <f>IFERROR(__xludf.DUMMYFUNCTION("""COMPUTED_VALUE"""),6.9070508822E10)</f>
        <v>69070508822</v>
      </c>
    </row>
    <row r="459">
      <c r="A459" s="2">
        <v>6.9070502517E10</v>
      </c>
      <c r="B459" s="2" t="s">
        <v>1127</v>
      </c>
      <c r="C459" s="2" t="s">
        <v>1128</v>
      </c>
      <c r="D459" s="2">
        <f>IFERROR(__xludf.DUMMYFUNCTION("""COMPUTED_VALUE"""),6.9070502517E10)</f>
        <v>69070502517</v>
      </c>
    </row>
    <row r="460">
      <c r="A460" s="2">
        <v>6.9070508249E10</v>
      </c>
      <c r="B460" s="2" t="s">
        <v>1129</v>
      </c>
      <c r="C460" s="2" t="s">
        <v>1130</v>
      </c>
      <c r="D460" s="2">
        <f>IFERROR(__xludf.DUMMYFUNCTION("""COMPUTED_VALUE"""),6.9070508249E10)</f>
        <v>69070508249</v>
      </c>
    </row>
    <row r="461">
      <c r="A461" s="2">
        <v>6.9070509638E10</v>
      </c>
      <c r="B461" s="2" t="s">
        <v>249</v>
      </c>
      <c r="C461" s="2" t="s">
        <v>1131</v>
      </c>
      <c r="D461" s="2">
        <f>IFERROR(__xludf.DUMMYFUNCTION("""COMPUTED_VALUE"""),6.9070509638E10)</f>
        <v>69070509638</v>
      </c>
    </row>
    <row r="462">
      <c r="A462" s="2">
        <v>6.9070500296E10</v>
      </c>
      <c r="B462" s="2" t="s">
        <v>1132</v>
      </c>
      <c r="C462" s="2" t="s">
        <v>1133</v>
      </c>
      <c r="D462" s="2">
        <f>IFERROR(__xludf.DUMMYFUNCTION("""COMPUTED_VALUE"""),6.9070500296E10)</f>
        <v>69070500296</v>
      </c>
    </row>
    <row r="463">
      <c r="A463" s="2">
        <v>6.9070500494E10</v>
      </c>
      <c r="B463" s="2" t="s">
        <v>1134</v>
      </c>
      <c r="C463" s="2" t="s">
        <v>1136</v>
      </c>
      <c r="D463" s="2">
        <f>IFERROR(__xludf.DUMMYFUNCTION("""COMPUTED_VALUE"""),6.9070500494E10)</f>
        <v>69070500494</v>
      </c>
    </row>
    <row r="464">
      <c r="A464" s="2">
        <v>6.9070509619E10</v>
      </c>
      <c r="B464" s="2" t="s">
        <v>1139</v>
      </c>
      <c r="C464" s="2" t="s">
        <v>1140</v>
      </c>
      <c r="D464" s="2">
        <f>IFERROR(__xludf.DUMMYFUNCTION("""COMPUTED_VALUE"""),6.9070509619E10)</f>
        <v>69070509619</v>
      </c>
    </row>
    <row r="465">
      <c r="A465" s="2">
        <v>6.9070501288E10</v>
      </c>
      <c r="B465" s="2" t="s">
        <v>701</v>
      </c>
      <c r="C465" s="2" t="s">
        <v>1141</v>
      </c>
      <c r="D465" s="2">
        <f>IFERROR(__xludf.DUMMYFUNCTION("""COMPUTED_VALUE"""),6.9070501288E10)</f>
        <v>69070501288</v>
      </c>
    </row>
    <row r="466">
      <c r="A466" s="2">
        <v>6.9070502418E10</v>
      </c>
      <c r="B466" s="2" t="s">
        <v>1144</v>
      </c>
      <c r="C466" s="2" t="s">
        <v>1145</v>
      </c>
      <c r="D466" s="2">
        <f>IFERROR(__xludf.DUMMYFUNCTION("""COMPUTED_VALUE"""),6.9070502418E10)</f>
        <v>69070502418</v>
      </c>
    </row>
    <row r="467">
      <c r="A467" s="2">
        <v>6.9070501835E10</v>
      </c>
      <c r="B467" s="2" t="s">
        <v>1146</v>
      </c>
      <c r="C467" s="2" t="s">
        <v>1147</v>
      </c>
      <c r="D467" s="2">
        <f>IFERROR(__xludf.DUMMYFUNCTION("""COMPUTED_VALUE"""),6.9070501835E10)</f>
        <v>69070501835</v>
      </c>
    </row>
    <row r="468">
      <c r="A468" s="2">
        <v>6.9070508246E10</v>
      </c>
      <c r="B468" s="2" t="s">
        <v>1149</v>
      </c>
      <c r="C468" s="2" t="s">
        <v>1150</v>
      </c>
      <c r="D468" s="2">
        <f>IFERROR(__xludf.DUMMYFUNCTION("""COMPUTED_VALUE"""),6.9070508246E10)</f>
        <v>69070508246</v>
      </c>
    </row>
    <row r="469">
      <c r="A469" s="2">
        <v>6.9070500883E10</v>
      </c>
      <c r="B469" s="2" t="s">
        <v>1151</v>
      </c>
      <c r="C469" s="2" t="s">
        <v>1152</v>
      </c>
      <c r="D469" s="2">
        <f>IFERROR(__xludf.DUMMYFUNCTION("""COMPUTED_VALUE"""),6.9070500883E10)</f>
        <v>69070500883</v>
      </c>
    </row>
    <row r="470">
      <c r="A470" s="2">
        <v>6.9070500611E10</v>
      </c>
      <c r="B470" s="2" t="s">
        <v>308</v>
      </c>
      <c r="C470" s="2" t="s">
        <v>1153</v>
      </c>
      <c r="D470" s="2">
        <f>IFERROR(__xludf.DUMMYFUNCTION("""COMPUTED_VALUE"""),6.9070500611E10)</f>
        <v>69070500611</v>
      </c>
    </row>
    <row r="471">
      <c r="A471" s="2">
        <v>6.9070500246E10</v>
      </c>
      <c r="B471" s="2" t="s">
        <v>1154</v>
      </c>
      <c r="C471" s="2" t="s">
        <v>1155</v>
      </c>
      <c r="D471" s="2">
        <f>IFERROR(__xludf.DUMMYFUNCTION("""COMPUTED_VALUE"""),6.9070500246E10)</f>
        <v>69070500246</v>
      </c>
    </row>
    <row r="472">
      <c r="A472" s="2">
        <v>6.9070500203E10</v>
      </c>
      <c r="B472" s="2" t="s">
        <v>1156</v>
      </c>
      <c r="C472" s="2" t="s">
        <v>1157</v>
      </c>
      <c r="D472" s="2">
        <f>IFERROR(__xludf.DUMMYFUNCTION("""COMPUTED_VALUE"""),6.9070500203E10)</f>
        <v>69070500203</v>
      </c>
    </row>
    <row r="473">
      <c r="A473" s="2">
        <v>6.9070506463E10</v>
      </c>
      <c r="B473" s="2" t="s">
        <v>1158</v>
      </c>
      <c r="C473" s="2" t="s">
        <v>1159</v>
      </c>
      <c r="D473" s="2">
        <f>IFERROR(__xludf.DUMMYFUNCTION("""COMPUTED_VALUE"""),6.9070506463E10)</f>
        <v>69070506463</v>
      </c>
    </row>
    <row r="474">
      <c r="A474" s="2">
        <v>6.9070505221E10</v>
      </c>
      <c r="B474" s="2" t="s">
        <v>1160</v>
      </c>
      <c r="C474" s="2" t="s">
        <v>1161</v>
      </c>
      <c r="D474" s="2">
        <f>IFERROR(__xludf.DUMMYFUNCTION("""COMPUTED_VALUE"""),6.9070505221E10)</f>
        <v>69070505221</v>
      </c>
    </row>
    <row r="475">
      <c r="A475" s="2">
        <v>6.9070508842E10</v>
      </c>
      <c r="B475" s="2" t="s">
        <v>1162</v>
      </c>
      <c r="C475" s="2" t="s">
        <v>1163</v>
      </c>
      <c r="D475" s="2">
        <f>IFERROR(__xludf.DUMMYFUNCTION("""COMPUTED_VALUE"""),6.9070508842E10)</f>
        <v>69070508842</v>
      </c>
    </row>
    <row r="476">
      <c r="A476" s="2">
        <v>6.907050643E10</v>
      </c>
      <c r="B476" s="2" t="s">
        <v>1164</v>
      </c>
      <c r="C476" s="2" t="s">
        <v>1165</v>
      </c>
      <c r="D476" s="2">
        <f>IFERROR(__xludf.DUMMYFUNCTION("""COMPUTED_VALUE"""),6.907050643E10)</f>
        <v>69070506430</v>
      </c>
    </row>
    <row r="477">
      <c r="A477" s="2">
        <v>6.9070501021E10</v>
      </c>
      <c r="B477" s="2" t="s">
        <v>1166</v>
      </c>
      <c r="C477" s="2" t="s">
        <v>1167</v>
      </c>
      <c r="D477" s="2">
        <f>IFERROR(__xludf.DUMMYFUNCTION("""COMPUTED_VALUE"""),6.9070501021E10)</f>
        <v>69070501021</v>
      </c>
    </row>
    <row r="478">
      <c r="A478" s="2">
        <v>6.9070501226E10</v>
      </c>
      <c r="B478" s="2" t="s">
        <v>1168</v>
      </c>
      <c r="C478" s="2" t="s">
        <v>1169</v>
      </c>
      <c r="D478" s="2">
        <f>IFERROR(__xludf.DUMMYFUNCTION("""COMPUTED_VALUE"""),6.9070501226E10)</f>
        <v>69070501226</v>
      </c>
    </row>
    <row r="479">
      <c r="A479" s="2">
        <v>6.9070501211E10</v>
      </c>
      <c r="B479" s="2" t="s">
        <v>1170</v>
      </c>
      <c r="C479" s="2" t="s">
        <v>1171</v>
      </c>
      <c r="D479" s="2">
        <f>IFERROR(__xludf.DUMMYFUNCTION("""COMPUTED_VALUE"""),6.9070501211E10)</f>
        <v>69070501211</v>
      </c>
    </row>
    <row r="480">
      <c r="A480" s="2">
        <v>6.9070509628E10</v>
      </c>
      <c r="B480" s="2" t="s">
        <v>1172</v>
      </c>
      <c r="C480" s="2" t="s">
        <v>1173</v>
      </c>
      <c r="D480" s="2">
        <f>IFERROR(__xludf.DUMMYFUNCTION("""COMPUTED_VALUE"""),6.9070509628E10)</f>
        <v>69070509628</v>
      </c>
    </row>
    <row r="481">
      <c r="A481" s="2">
        <v>6.9070501216E10</v>
      </c>
      <c r="B481" s="2" t="s">
        <v>1174</v>
      </c>
      <c r="C481" s="2" t="s">
        <v>1175</v>
      </c>
      <c r="D481" s="2">
        <f>IFERROR(__xludf.DUMMYFUNCTION("""COMPUTED_VALUE"""),6.9070501216E10)</f>
        <v>69070501216</v>
      </c>
    </row>
    <row r="482">
      <c r="A482" s="2">
        <v>6.9070508221E10</v>
      </c>
      <c r="B482" s="2" t="s">
        <v>1176</v>
      </c>
      <c r="C482" s="2" t="s">
        <v>1177</v>
      </c>
      <c r="D482" s="2">
        <f>IFERROR(__xludf.DUMMYFUNCTION("""COMPUTED_VALUE"""),6.9070508221E10)</f>
        <v>69070508221</v>
      </c>
    </row>
    <row r="483">
      <c r="A483" s="2">
        <v>6.9070501279E10</v>
      </c>
      <c r="B483" s="2" t="s">
        <v>1178</v>
      </c>
      <c r="C483" s="2" t="s">
        <v>1179</v>
      </c>
      <c r="D483" s="2">
        <f>IFERROR(__xludf.DUMMYFUNCTION("""COMPUTED_VALUE"""),6.9070501279E10)</f>
        <v>69070501279</v>
      </c>
    </row>
    <row r="484">
      <c r="A484" s="2">
        <v>6.9070509633E10</v>
      </c>
      <c r="B484" s="2" t="s">
        <v>1180</v>
      </c>
      <c r="C484" s="2" t="s">
        <v>1181</v>
      </c>
      <c r="D484" s="2">
        <f>IFERROR(__xludf.DUMMYFUNCTION("""COMPUTED_VALUE"""),6.9070509633E10)</f>
        <v>69070509633</v>
      </c>
    </row>
    <row r="485">
      <c r="A485" s="2">
        <v>6.9070500443E10</v>
      </c>
      <c r="B485" s="2" t="s">
        <v>1182</v>
      </c>
      <c r="C485" s="2" t="s">
        <v>1183</v>
      </c>
      <c r="D485" s="2">
        <f>IFERROR(__xludf.DUMMYFUNCTION("""COMPUTED_VALUE"""),6.9070500443E10)</f>
        <v>69070500443</v>
      </c>
    </row>
    <row r="486">
      <c r="A486" s="2">
        <v>6.9070505218E10</v>
      </c>
      <c r="B486" s="2" t="s">
        <v>1184</v>
      </c>
      <c r="C486" s="2" t="s">
        <v>1185</v>
      </c>
      <c r="D486" s="2">
        <f>IFERROR(__xludf.DUMMYFUNCTION("""COMPUTED_VALUE"""),6.9070505218E10)</f>
        <v>69070505218</v>
      </c>
    </row>
    <row r="487">
      <c r="A487" s="2">
        <v>6.9070500002E10</v>
      </c>
      <c r="B487" s="2" t="s">
        <v>1188</v>
      </c>
      <c r="C487" s="2" t="s">
        <v>1190</v>
      </c>
      <c r="D487" s="2">
        <f>IFERROR(__xludf.DUMMYFUNCTION("""COMPUTED_VALUE"""),6.9070500002E10)</f>
        <v>69070500002</v>
      </c>
    </row>
    <row r="488">
      <c r="A488" s="2">
        <v>6.9070500416E10</v>
      </c>
      <c r="B488" s="2" t="s">
        <v>1193</v>
      </c>
      <c r="C488" s="2" t="s">
        <v>1194</v>
      </c>
      <c r="D488" s="2">
        <f>IFERROR(__xludf.DUMMYFUNCTION("""COMPUTED_VALUE"""),6.9070500416E10)</f>
        <v>69070500416</v>
      </c>
    </row>
    <row r="489">
      <c r="A489" s="2">
        <v>6.9070500468E10</v>
      </c>
      <c r="B489" s="2" t="s">
        <v>1196</v>
      </c>
      <c r="C489" s="2" t="s">
        <v>1198</v>
      </c>
      <c r="D489" s="2">
        <f>IFERROR(__xludf.DUMMYFUNCTION("""COMPUTED_VALUE"""),6.9070500468E10)</f>
        <v>69070500468</v>
      </c>
    </row>
    <row r="490">
      <c r="A490" s="2">
        <v>6.9070509604E10</v>
      </c>
      <c r="B490" s="2" t="s">
        <v>1200</v>
      </c>
      <c r="C490" s="2" t="s">
        <v>1201</v>
      </c>
      <c r="D490" s="2">
        <f>IFERROR(__xludf.DUMMYFUNCTION("""COMPUTED_VALUE"""),6.9070509604E10)</f>
        <v>69070509604</v>
      </c>
    </row>
    <row r="491">
      <c r="A491" s="2">
        <v>6.9070501219E10</v>
      </c>
      <c r="B491" s="2" t="s">
        <v>1202</v>
      </c>
      <c r="C491" s="2" t="s">
        <v>1203</v>
      </c>
      <c r="D491" s="2">
        <f>IFERROR(__xludf.DUMMYFUNCTION("""COMPUTED_VALUE"""),6.9070501219E10)</f>
        <v>69070501219</v>
      </c>
    </row>
    <row r="492">
      <c r="A492" s="2">
        <v>6.9070509469E10</v>
      </c>
      <c r="B492" s="2" t="s">
        <v>1204</v>
      </c>
      <c r="C492" s="2" t="s">
        <v>1093</v>
      </c>
      <c r="D492" s="2">
        <f>IFERROR(__xludf.DUMMYFUNCTION("""COMPUTED_VALUE"""),6.9070509469E10)</f>
        <v>69070509469</v>
      </c>
    </row>
    <row r="493">
      <c r="A493" s="2">
        <v>6.9070500845E10</v>
      </c>
      <c r="B493" s="2" t="s">
        <v>1206</v>
      </c>
      <c r="C493" s="2" t="s">
        <v>1207</v>
      </c>
      <c r="D493" s="2">
        <f>IFERROR(__xludf.DUMMYFUNCTION("""COMPUTED_VALUE"""),6.9070500845E10)</f>
        <v>69070500845</v>
      </c>
    </row>
    <row r="494">
      <c r="A494" s="2">
        <v>6.9070506479E10</v>
      </c>
      <c r="B494" s="2" t="s">
        <v>1208</v>
      </c>
      <c r="C494" s="2" t="s">
        <v>1209</v>
      </c>
      <c r="D494" s="2">
        <f>IFERROR(__xludf.DUMMYFUNCTION("""COMPUTED_VALUE"""),6.9070506479E10)</f>
        <v>69070506479</v>
      </c>
    </row>
    <row r="495">
      <c r="A495" s="2">
        <v>6.907050063E10</v>
      </c>
      <c r="B495" s="2" t="s">
        <v>209</v>
      </c>
      <c r="C495" s="2" t="s">
        <v>1212</v>
      </c>
      <c r="D495" s="2">
        <f>IFERROR(__xludf.DUMMYFUNCTION("""COMPUTED_VALUE"""),6.907050063E10)</f>
        <v>69070500630</v>
      </c>
    </row>
    <row r="496">
      <c r="A496" s="2">
        <v>6.9070500274E10</v>
      </c>
      <c r="B496" s="2" t="s">
        <v>1214</v>
      </c>
      <c r="C496" s="2" t="s">
        <v>1215</v>
      </c>
      <c r="D496" s="2">
        <f>IFERROR(__xludf.DUMMYFUNCTION("""COMPUTED_VALUE"""),6.9070500274E10)</f>
        <v>69070500274</v>
      </c>
    </row>
    <row r="497">
      <c r="A497" s="2">
        <v>6.9070500319E10</v>
      </c>
      <c r="B497" s="2" t="s">
        <v>1216</v>
      </c>
      <c r="C497" s="2" t="s">
        <v>1217</v>
      </c>
      <c r="D497" s="2">
        <f>IFERROR(__xludf.DUMMYFUNCTION("""COMPUTED_VALUE"""),6.9070500319E10)</f>
        <v>69070500319</v>
      </c>
    </row>
    <row r="498">
      <c r="A498" s="2">
        <v>6.9070501055E10</v>
      </c>
      <c r="B498" s="2" t="s">
        <v>1218</v>
      </c>
      <c r="C498" s="2" t="s">
        <v>1219</v>
      </c>
      <c r="D498" s="2">
        <f>IFERROR(__xludf.DUMMYFUNCTION("""COMPUTED_VALUE"""),6.9070501055E10)</f>
        <v>69070501055</v>
      </c>
    </row>
    <row r="499">
      <c r="A499" s="2">
        <v>6.9070502422E10</v>
      </c>
      <c r="B499" s="2" t="s">
        <v>1220</v>
      </c>
      <c r="C499" s="2" t="s">
        <v>1221</v>
      </c>
      <c r="D499" s="2">
        <f>IFERROR(__xludf.DUMMYFUNCTION("""COMPUTED_VALUE"""),6.9070502422E10)</f>
        <v>69070502422</v>
      </c>
    </row>
    <row r="500">
      <c r="A500" s="2">
        <v>6.9070500088E10</v>
      </c>
      <c r="B500" s="2" t="s">
        <v>350</v>
      </c>
      <c r="C500" s="2" t="s">
        <v>1222</v>
      </c>
      <c r="D500" s="2">
        <f>IFERROR(__xludf.DUMMYFUNCTION("""COMPUTED_VALUE"""),6.9070500088E10)</f>
        <v>69070500088</v>
      </c>
    </row>
    <row r="501">
      <c r="A501" s="2">
        <v>6.9070500408E10</v>
      </c>
      <c r="B501" s="2" t="s">
        <v>1223</v>
      </c>
      <c r="C501" s="2" t="s">
        <v>1224</v>
      </c>
      <c r="D501" s="2">
        <f>IFERROR(__xludf.DUMMYFUNCTION("""COMPUTED_VALUE"""),6.9070500408E10)</f>
        <v>69070500408</v>
      </c>
    </row>
    <row r="502">
      <c r="A502" s="2">
        <v>6.9070501283E10</v>
      </c>
      <c r="B502" s="2" t="s">
        <v>1225</v>
      </c>
      <c r="C502" s="2" t="s">
        <v>1226</v>
      </c>
      <c r="D502" s="2">
        <f>IFERROR(__xludf.DUMMYFUNCTION("""COMPUTED_VALUE"""),6.9070501283E10)</f>
        <v>69070501283</v>
      </c>
    </row>
    <row r="503">
      <c r="A503" s="2">
        <v>6.9070509828E10</v>
      </c>
      <c r="B503" s="2" t="s">
        <v>1227</v>
      </c>
      <c r="C503" s="2" t="s">
        <v>1228</v>
      </c>
      <c r="D503" s="2">
        <f>IFERROR(__xludf.DUMMYFUNCTION("""COMPUTED_VALUE"""),6.9070509828E10)</f>
        <v>69070509828</v>
      </c>
    </row>
    <row r="504">
      <c r="A504" s="2">
        <v>6.9070505224E10</v>
      </c>
      <c r="B504" s="2" t="s">
        <v>1229</v>
      </c>
      <c r="C504" s="2" t="s">
        <v>1230</v>
      </c>
      <c r="D504" s="2">
        <f>IFERROR(__xludf.DUMMYFUNCTION("""COMPUTED_VALUE"""),6.9070505224E10)</f>
        <v>69070505224</v>
      </c>
    </row>
    <row r="505">
      <c r="A505" s="2">
        <v>6.9070509403E10</v>
      </c>
      <c r="B505" s="2" t="s">
        <v>1231</v>
      </c>
      <c r="C505" s="2" t="s">
        <v>1232</v>
      </c>
      <c r="D505" s="2">
        <f>IFERROR(__xludf.DUMMYFUNCTION("""COMPUTED_VALUE"""),6.9070509403E10)</f>
        <v>69070509403</v>
      </c>
    </row>
    <row r="506">
      <c r="A506" s="2">
        <v>6.9070500453E10</v>
      </c>
      <c r="B506" s="2" t="s">
        <v>1233</v>
      </c>
      <c r="C506" s="2" t="s">
        <v>1234</v>
      </c>
      <c r="D506" s="2">
        <f>IFERROR(__xludf.DUMMYFUNCTION("""COMPUTED_VALUE"""),6.9070500453E10)</f>
        <v>69070500453</v>
      </c>
    </row>
    <row r="507">
      <c r="A507" s="2">
        <v>6.9070501825E10</v>
      </c>
      <c r="B507" s="2" t="s">
        <v>1235</v>
      </c>
      <c r="C507" s="2" t="s">
        <v>944</v>
      </c>
      <c r="D507" s="2">
        <f>IFERROR(__xludf.DUMMYFUNCTION("""COMPUTED_VALUE"""),6.9070501825E10)</f>
        <v>69070501825</v>
      </c>
    </row>
    <row r="508">
      <c r="A508" s="2">
        <v>6.9070506443E10</v>
      </c>
      <c r="B508" s="2" t="s">
        <v>1236</v>
      </c>
      <c r="C508" s="2" t="s">
        <v>1237</v>
      </c>
      <c r="D508" s="2">
        <f>IFERROR(__xludf.DUMMYFUNCTION("""COMPUTED_VALUE"""),6.9070506443E10)</f>
        <v>69070506443</v>
      </c>
    </row>
    <row r="509">
      <c r="A509" s="2">
        <v>6.9070501831E10</v>
      </c>
      <c r="B509" s="2" t="s">
        <v>1238</v>
      </c>
      <c r="C509" s="2" t="s">
        <v>1239</v>
      </c>
      <c r="D509" s="2">
        <f>IFERROR(__xludf.DUMMYFUNCTION("""COMPUTED_VALUE"""),6.9070501831E10)</f>
        <v>69070501831</v>
      </c>
    </row>
    <row r="510">
      <c r="A510" s="2">
        <v>6.9070500321E10</v>
      </c>
      <c r="B510" s="2" t="s">
        <v>1240</v>
      </c>
      <c r="C510" s="2" t="s">
        <v>1242</v>
      </c>
      <c r="D510" s="2">
        <f>IFERROR(__xludf.DUMMYFUNCTION("""COMPUTED_VALUE"""),6.9070500321E10)</f>
        <v>69070500321</v>
      </c>
    </row>
    <row r="511">
      <c r="A511" s="2">
        <v>6.9070502514E10</v>
      </c>
      <c r="B511" s="2" t="s">
        <v>1245</v>
      </c>
      <c r="C511" s="2" t="s">
        <v>1246</v>
      </c>
      <c r="D511" s="2">
        <f>IFERROR(__xludf.DUMMYFUNCTION("""COMPUTED_VALUE"""),6.9070502514E10)</f>
        <v>69070502514</v>
      </c>
    </row>
    <row r="512">
      <c r="A512" s="2">
        <v>6.907050128E10</v>
      </c>
      <c r="B512" s="2" t="s">
        <v>1249</v>
      </c>
      <c r="C512" s="2" t="s">
        <v>1250</v>
      </c>
      <c r="D512" s="2">
        <f>IFERROR(__xludf.DUMMYFUNCTION("""COMPUTED_VALUE"""),6.907050128E10)</f>
        <v>69070501280</v>
      </c>
    </row>
    <row r="513">
      <c r="A513" s="2">
        <v>6.907050101E10</v>
      </c>
      <c r="B513" s="2" t="s">
        <v>1253</v>
      </c>
      <c r="C513" s="2" t="s">
        <v>1254</v>
      </c>
      <c r="D513" s="2">
        <f>IFERROR(__xludf.DUMMYFUNCTION("""COMPUTED_VALUE"""),6.907050101E10)</f>
        <v>69070501010</v>
      </c>
    </row>
    <row r="514">
      <c r="A514" s="2">
        <v>6.9070500498E10</v>
      </c>
      <c r="B514" s="2" t="s">
        <v>1256</v>
      </c>
      <c r="C514" s="2" t="s">
        <v>1257</v>
      </c>
      <c r="D514" s="2">
        <f>IFERROR(__xludf.DUMMYFUNCTION("""COMPUTED_VALUE"""),6.9070500498E10)</f>
        <v>69070500498</v>
      </c>
    </row>
    <row r="515">
      <c r="A515" s="2">
        <v>6.9070502498E10</v>
      </c>
      <c r="B515" s="2" t="s">
        <v>1258</v>
      </c>
      <c r="C515" s="2" t="s">
        <v>1259</v>
      </c>
      <c r="D515" s="2">
        <f>IFERROR(__xludf.DUMMYFUNCTION("""COMPUTED_VALUE"""),6.9070502498E10)</f>
        <v>69070502498</v>
      </c>
    </row>
    <row r="516">
      <c r="A516" s="2">
        <v>6.9070501832E10</v>
      </c>
      <c r="B516" s="2" t="s">
        <v>1260</v>
      </c>
      <c r="C516" s="2" t="s">
        <v>1261</v>
      </c>
      <c r="D516" s="2">
        <f>IFERROR(__xludf.DUMMYFUNCTION("""COMPUTED_VALUE"""),6.9070501832E10)</f>
        <v>69070501832</v>
      </c>
    </row>
    <row r="517">
      <c r="A517" s="2">
        <v>6.9070502427E10</v>
      </c>
      <c r="B517" s="2" t="s">
        <v>1262</v>
      </c>
      <c r="C517" s="2" t="s">
        <v>1263</v>
      </c>
      <c r="D517" s="2">
        <f>IFERROR(__xludf.DUMMYFUNCTION("""COMPUTED_VALUE"""),6.9070502427E10)</f>
        <v>69070502427</v>
      </c>
    </row>
    <row r="518">
      <c r="A518" s="2">
        <v>6.9070502496E10</v>
      </c>
      <c r="B518" s="2" t="s">
        <v>1264</v>
      </c>
      <c r="C518" s="2" t="s">
        <v>1265</v>
      </c>
      <c r="D518" s="2">
        <f>IFERROR(__xludf.DUMMYFUNCTION("""COMPUTED_VALUE"""),6.9070502496E10)</f>
        <v>69070502496</v>
      </c>
    </row>
    <row r="519">
      <c r="A519" s="2">
        <v>6.9070508231E10</v>
      </c>
      <c r="B519" s="2" t="s">
        <v>1267</v>
      </c>
      <c r="C519" s="2" t="s">
        <v>1268</v>
      </c>
      <c r="D519" s="2">
        <f>IFERROR(__xludf.DUMMYFUNCTION("""COMPUTED_VALUE"""),6.9070508231E10)</f>
        <v>69070508231</v>
      </c>
    </row>
    <row r="520">
      <c r="A520" s="2">
        <v>6.9070508803E10</v>
      </c>
      <c r="B520" s="2" t="s">
        <v>1269</v>
      </c>
      <c r="C520" s="2" t="s">
        <v>1270</v>
      </c>
      <c r="D520" s="2">
        <f>IFERROR(__xludf.DUMMYFUNCTION("""COMPUTED_VALUE"""),6.9070508803E10)</f>
        <v>69070508803</v>
      </c>
    </row>
    <row r="521">
      <c r="A521" s="2">
        <v>6.9070506435E10</v>
      </c>
      <c r="B521" s="2" t="s">
        <v>1271</v>
      </c>
      <c r="C521" s="2" t="s">
        <v>1272</v>
      </c>
      <c r="D521" s="2">
        <f>IFERROR(__xludf.DUMMYFUNCTION("""COMPUTED_VALUE"""),6.9070506435E10)</f>
        <v>69070506435</v>
      </c>
    </row>
    <row r="522">
      <c r="A522" s="2">
        <v>6.9070500837E10</v>
      </c>
      <c r="B522" s="2" t="s">
        <v>1273</v>
      </c>
      <c r="C522" s="2" t="s">
        <v>1274</v>
      </c>
      <c r="D522" s="2">
        <f>IFERROR(__xludf.DUMMYFUNCTION("""COMPUTED_VALUE"""),6.9070500837E10)</f>
        <v>69070500837</v>
      </c>
    </row>
    <row r="523">
      <c r="A523" s="2">
        <v>6.9070500279E10</v>
      </c>
      <c r="B523" s="2" t="s">
        <v>1275</v>
      </c>
      <c r="C523" s="2" t="s">
        <v>1276</v>
      </c>
      <c r="D523" s="2">
        <f>IFERROR(__xludf.DUMMYFUNCTION("""COMPUTED_VALUE"""),6.9070500279E10)</f>
        <v>69070500279</v>
      </c>
    </row>
    <row r="524">
      <c r="A524" s="2">
        <v>6.9070501851E10</v>
      </c>
      <c r="B524" s="2" t="s">
        <v>1277</v>
      </c>
      <c r="C524" s="2" t="s">
        <v>1278</v>
      </c>
      <c r="D524" s="2">
        <f>IFERROR(__xludf.DUMMYFUNCTION("""COMPUTED_VALUE"""),6.9070501851E10)</f>
        <v>69070501851</v>
      </c>
    </row>
    <row r="525">
      <c r="A525" s="2">
        <v>6.9070501231E10</v>
      </c>
      <c r="B525" s="2" t="s">
        <v>1279</v>
      </c>
      <c r="C525" s="2" t="s">
        <v>1280</v>
      </c>
      <c r="D525" s="2">
        <f>IFERROR(__xludf.DUMMYFUNCTION("""COMPUTED_VALUE"""),6.9070501231E10)</f>
        <v>69070501231</v>
      </c>
    </row>
    <row r="526">
      <c r="A526" s="2">
        <v>6.9070500607E10</v>
      </c>
      <c r="B526" s="2" t="s">
        <v>1281</v>
      </c>
      <c r="C526" s="2" t="s">
        <v>1282</v>
      </c>
      <c r="D526" s="2">
        <f>IFERROR(__xludf.DUMMYFUNCTION("""COMPUTED_VALUE"""),6.9070500607E10)</f>
        <v>69070500607</v>
      </c>
    </row>
    <row r="527">
      <c r="A527" s="2">
        <v>6.9070501071E10</v>
      </c>
      <c r="B527" s="2" t="s">
        <v>1283</v>
      </c>
      <c r="C527" s="2" t="s">
        <v>1284</v>
      </c>
      <c r="D527" s="2">
        <f>IFERROR(__xludf.DUMMYFUNCTION("""COMPUTED_VALUE"""),6.9070501071E10)</f>
        <v>69070501071</v>
      </c>
    </row>
    <row r="528">
      <c r="A528" s="2">
        <v>6.9070500806E10</v>
      </c>
      <c r="B528" s="2" t="s">
        <v>1285</v>
      </c>
      <c r="C528" s="2" t="s">
        <v>1286</v>
      </c>
      <c r="D528" s="2">
        <f>IFERROR(__xludf.DUMMYFUNCTION("""COMPUTED_VALUE"""),6.9070500806E10)</f>
        <v>69070500806</v>
      </c>
    </row>
    <row r="529">
      <c r="A529" s="2">
        <v>6.9070502486E10</v>
      </c>
      <c r="B529" s="2" t="s">
        <v>1287</v>
      </c>
      <c r="C529" s="2" t="s">
        <v>1288</v>
      </c>
      <c r="D529" s="2">
        <f>IFERROR(__xludf.DUMMYFUNCTION("""COMPUTED_VALUE"""),6.9070502486E10)</f>
        <v>69070502486</v>
      </c>
    </row>
    <row r="530">
      <c r="A530" s="2">
        <v>6.9070508224E10</v>
      </c>
      <c r="B530" s="2" t="s">
        <v>1289</v>
      </c>
      <c r="C530" s="2" t="s">
        <v>1290</v>
      </c>
      <c r="D530" s="2">
        <f>IFERROR(__xludf.DUMMYFUNCTION("""COMPUTED_VALUE"""),6.9070508224E10)</f>
        <v>69070508224</v>
      </c>
    </row>
    <row r="531">
      <c r="A531" s="2">
        <v>6.9070506461E10</v>
      </c>
      <c r="B531" s="2" t="s">
        <v>1291</v>
      </c>
      <c r="C531" s="2" t="s">
        <v>1292</v>
      </c>
      <c r="D531" s="2">
        <f>IFERROR(__xludf.DUMMYFUNCTION("""COMPUTED_VALUE"""),6.9070506461E10)</f>
        <v>69070506461</v>
      </c>
    </row>
    <row r="532">
      <c r="A532" s="2">
        <v>6.9070506402E10</v>
      </c>
      <c r="B532" s="2" t="s">
        <v>1293</v>
      </c>
      <c r="C532" s="2" t="s">
        <v>1294</v>
      </c>
      <c r="D532" s="2">
        <f>IFERROR(__xludf.DUMMYFUNCTION("""COMPUTED_VALUE"""),6.9070506402E10)</f>
        <v>69070506402</v>
      </c>
    </row>
    <row r="533">
      <c r="A533" s="2">
        <v>6.9070500824E10</v>
      </c>
      <c r="B533" s="2" t="s">
        <v>1295</v>
      </c>
      <c r="C533" s="2" t="s">
        <v>1296</v>
      </c>
      <c r="D533" s="2">
        <f>IFERROR(__xludf.DUMMYFUNCTION("""COMPUTED_VALUE"""),6.9070500824E10)</f>
        <v>69070500824</v>
      </c>
    </row>
    <row r="534">
      <c r="A534" s="2">
        <v>6.9070506406E10</v>
      </c>
      <c r="B534" s="2" t="s">
        <v>1298</v>
      </c>
      <c r="C534" s="2" t="s">
        <v>1299</v>
      </c>
      <c r="D534" s="2">
        <f>IFERROR(__xludf.DUMMYFUNCTION("""COMPUTED_VALUE"""),6.9070506406E10)</f>
        <v>69070506406</v>
      </c>
    </row>
    <row r="535">
      <c r="A535" s="2">
        <v>6.9070509829E10</v>
      </c>
      <c r="B535" s="2" t="s">
        <v>1302</v>
      </c>
      <c r="C535" s="2" t="s">
        <v>1303</v>
      </c>
      <c r="D535" s="2">
        <f>IFERROR(__xludf.DUMMYFUNCTION("""COMPUTED_VALUE"""),6.9070509829E10)</f>
        <v>69070509829</v>
      </c>
    </row>
    <row r="536">
      <c r="A536" s="2">
        <v>6.907050106E10</v>
      </c>
      <c r="B536" s="2" t="s">
        <v>211</v>
      </c>
      <c r="C536" s="2" t="s">
        <v>1306</v>
      </c>
      <c r="D536" s="2">
        <f>IFERROR(__xludf.DUMMYFUNCTION("""COMPUTED_VALUE"""),6.907050106E10)</f>
        <v>69070501060</v>
      </c>
    </row>
    <row r="537">
      <c r="A537" s="2">
        <v>6.9070508251E10</v>
      </c>
      <c r="B537" s="2" t="s">
        <v>1308</v>
      </c>
      <c r="C537" s="2" t="s">
        <v>1310</v>
      </c>
      <c r="D537" s="2">
        <f>IFERROR(__xludf.DUMMYFUNCTION("""COMPUTED_VALUE"""),6.9070508251E10)</f>
        <v>69070508251</v>
      </c>
    </row>
    <row r="538">
      <c r="A538" s="2">
        <v>6.9070502404E10</v>
      </c>
      <c r="B538" s="2" t="s">
        <v>1312</v>
      </c>
      <c r="C538" s="2" t="s">
        <v>1313</v>
      </c>
      <c r="D538" s="2">
        <f>IFERROR(__xludf.DUMMYFUNCTION("""COMPUTED_VALUE"""),6.9070502404E10)</f>
        <v>69070502404</v>
      </c>
    </row>
    <row r="539">
      <c r="A539" s="2">
        <v>6.9070502241E10</v>
      </c>
      <c r="B539" s="2" t="s">
        <v>1314</v>
      </c>
      <c r="C539" s="2" t="s">
        <v>1315</v>
      </c>
      <c r="D539" s="2">
        <f>IFERROR(__xludf.DUMMYFUNCTION("""COMPUTED_VALUE"""),6.9070502241E10)</f>
        <v>69070502241</v>
      </c>
    </row>
    <row r="540">
      <c r="A540" s="2">
        <v>6.9070500281E10</v>
      </c>
      <c r="B540" s="2" t="s">
        <v>748</v>
      </c>
      <c r="C540" s="2" t="s">
        <v>1316</v>
      </c>
      <c r="D540" s="2">
        <f>IFERROR(__xludf.DUMMYFUNCTION("""COMPUTED_VALUE"""),6.9070500281E10)</f>
        <v>69070500281</v>
      </c>
    </row>
    <row r="541">
      <c r="A541" s="2">
        <v>6.907050984E10</v>
      </c>
      <c r="B541" s="2" t="s">
        <v>1317</v>
      </c>
      <c r="C541" s="2" t="s">
        <v>1318</v>
      </c>
      <c r="D541" s="2">
        <f>IFERROR(__xludf.DUMMYFUNCTION("""COMPUTED_VALUE"""),6.907050984E10)</f>
        <v>69070509840</v>
      </c>
    </row>
    <row r="542">
      <c r="A542" s="2">
        <v>6.9070502487E10</v>
      </c>
      <c r="B542" s="2" t="s">
        <v>1320</v>
      </c>
      <c r="C542" s="2" t="s">
        <v>1321</v>
      </c>
      <c r="D542" s="2">
        <f>IFERROR(__xludf.DUMMYFUNCTION("""COMPUTED_VALUE"""),6.9070502487E10)</f>
        <v>69070502487</v>
      </c>
    </row>
    <row r="543">
      <c r="A543" s="2">
        <v>6.9070501053E10</v>
      </c>
      <c r="B543" s="2" t="s">
        <v>123</v>
      </c>
      <c r="C543" s="2" t="s">
        <v>1323</v>
      </c>
      <c r="D543" s="2">
        <f>IFERROR(__xludf.DUMMYFUNCTION("""COMPUTED_VALUE"""),6.9070501053E10)</f>
        <v>69070501053</v>
      </c>
    </row>
    <row r="544">
      <c r="A544" s="2">
        <v>6.9070501014E10</v>
      </c>
      <c r="B544" s="2" t="s">
        <v>288</v>
      </c>
      <c r="C544" s="2" t="s">
        <v>1325</v>
      </c>
      <c r="D544" s="2">
        <f>IFERROR(__xludf.DUMMYFUNCTION("""COMPUTED_VALUE"""),6.9070501014E10)</f>
        <v>69070501014</v>
      </c>
    </row>
    <row r="545">
      <c r="A545" s="2">
        <v>6.9070501028E10</v>
      </c>
      <c r="B545" s="2" t="s">
        <v>1327</v>
      </c>
      <c r="C545" s="2" t="s">
        <v>1328</v>
      </c>
      <c r="D545" s="2">
        <f>IFERROR(__xludf.DUMMYFUNCTION("""COMPUTED_VALUE"""),6.9070501028E10)</f>
        <v>69070501028</v>
      </c>
    </row>
    <row r="546">
      <c r="A546" s="2">
        <v>6.9070500051E10</v>
      </c>
      <c r="B546" s="2" t="s">
        <v>1329</v>
      </c>
      <c r="C546" s="2" t="s">
        <v>1330</v>
      </c>
      <c r="D546" s="2">
        <f>IFERROR(__xludf.DUMMYFUNCTION("""COMPUTED_VALUE"""),6.9070500051E10)</f>
        <v>69070500051</v>
      </c>
    </row>
    <row r="547">
      <c r="A547" s="2">
        <v>6.9070501243E10</v>
      </c>
      <c r="B547" s="2" t="s">
        <v>1331</v>
      </c>
      <c r="C547" s="2" t="s">
        <v>1332</v>
      </c>
      <c r="D547" s="2">
        <f>IFERROR(__xludf.DUMMYFUNCTION("""COMPUTED_VALUE"""),6.9070501243E10)</f>
        <v>69070501243</v>
      </c>
    </row>
    <row r="548">
      <c r="A548" s="2">
        <v>6.9070500297E10</v>
      </c>
      <c r="B548" s="2" t="s">
        <v>311</v>
      </c>
      <c r="C548" s="2" t="s">
        <v>1333</v>
      </c>
      <c r="D548" s="2">
        <f>IFERROR(__xludf.DUMMYFUNCTION("""COMPUTED_VALUE"""),6.9070500297E10)</f>
        <v>69070500297</v>
      </c>
    </row>
    <row r="549">
      <c r="A549" s="2">
        <v>6.90705005E10</v>
      </c>
      <c r="B549" s="2" t="s">
        <v>1334</v>
      </c>
      <c r="C549" s="2" t="s">
        <v>1335</v>
      </c>
      <c r="D549" s="2">
        <f>IFERROR(__xludf.DUMMYFUNCTION("""COMPUTED_VALUE"""),6.90705005E10)</f>
        <v>69070500500</v>
      </c>
    </row>
    <row r="550">
      <c r="A550" s="2">
        <v>6.9070502474E10</v>
      </c>
      <c r="B550" s="2" t="s">
        <v>1336</v>
      </c>
      <c r="C550" s="2" t="s">
        <v>1337</v>
      </c>
      <c r="D550" s="2">
        <f>IFERROR(__xludf.DUMMYFUNCTION("""COMPUTED_VALUE"""),6.9070502474E10)</f>
        <v>69070502474</v>
      </c>
    </row>
    <row r="551">
      <c r="A551" s="2">
        <v>6.9070501821E10</v>
      </c>
      <c r="B551" s="2" t="s">
        <v>1338</v>
      </c>
      <c r="C551" s="2" t="s">
        <v>1339</v>
      </c>
      <c r="D551" s="2">
        <f>IFERROR(__xludf.DUMMYFUNCTION("""COMPUTED_VALUE"""),6.9070501821E10)</f>
        <v>69070501821</v>
      </c>
    </row>
    <row r="552">
      <c r="A552" s="2">
        <v>6.9070501239E10</v>
      </c>
      <c r="B552" s="2" t="s">
        <v>1340</v>
      </c>
      <c r="C552" s="2" t="s">
        <v>1341</v>
      </c>
      <c r="D552" s="2">
        <f>IFERROR(__xludf.DUMMYFUNCTION("""COMPUTED_VALUE"""),6.9070501239E10)</f>
        <v>69070501239</v>
      </c>
    </row>
    <row r="553">
      <c r="A553" s="2">
        <v>6.9070505228E10</v>
      </c>
      <c r="B553" s="2" t="s">
        <v>68</v>
      </c>
      <c r="C553" s="2" t="s">
        <v>1342</v>
      </c>
      <c r="D553" s="2">
        <f>IFERROR(__xludf.DUMMYFUNCTION("""COMPUTED_VALUE"""),6.9070505228E10)</f>
        <v>69070505228</v>
      </c>
    </row>
    <row r="554">
      <c r="A554" s="2">
        <v>6.9070500295E10</v>
      </c>
      <c r="B554" s="2" t="s">
        <v>1343</v>
      </c>
      <c r="C554" s="2" t="s">
        <v>1344</v>
      </c>
      <c r="D554" s="2">
        <f>IFERROR(__xludf.DUMMYFUNCTION("""COMPUTED_VALUE"""),6.9070500295E10)</f>
        <v>69070500295</v>
      </c>
    </row>
    <row r="555">
      <c r="A555" s="2">
        <v>6.9070502245E10</v>
      </c>
      <c r="B555" s="2" t="s">
        <v>1345</v>
      </c>
      <c r="C555" s="2" t="s">
        <v>1346</v>
      </c>
      <c r="D555" s="2">
        <f>IFERROR(__xludf.DUMMYFUNCTION("""COMPUTED_VALUE"""),6.9070502245E10)</f>
        <v>69070502245</v>
      </c>
    </row>
    <row r="556">
      <c r="A556" s="2">
        <v>6.907050945E10</v>
      </c>
      <c r="B556" s="2" t="s">
        <v>1347</v>
      </c>
      <c r="C556" s="2" t="s">
        <v>1348</v>
      </c>
      <c r="D556" s="2">
        <f>IFERROR(__xludf.DUMMYFUNCTION("""COMPUTED_VALUE"""),6.907050945E10)</f>
        <v>69070509450</v>
      </c>
    </row>
    <row r="557">
      <c r="A557" s="2">
        <v>6.9070505216E10</v>
      </c>
      <c r="B557" s="2" t="s">
        <v>1349</v>
      </c>
      <c r="C557" s="2" t="s">
        <v>1350</v>
      </c>
      <c r="D557" s="2">
        <f>IFERROR(__xludf.DUMMYFUNCTION("""COMPUTED_VALUE"""),6.9070505216E10)</f>
        <v>69070505216</v>
      </c>
    </row>
    <row r="558">
      <c r="A558" s="2">
        <v>6.9070501852E10</v>
      </c>
      <c r="B558" s="2" t="s">
        <v>1351</v>
      </c>
      <c r="C558" s="2" t="s">
        <v>1352</v>
      </c>
      <c r="D558" s="2">
        <f>IFERROR(__xludf.DUMMYFUNCTION("""COMPUTED_VALUE"""),6.9070501852E10)</f>
        <v>69070501852</v>
      </c>
    </row>
    <row r="559">
      <c r="A559" s="2">
        <v>6.9070501013E10</v>
      </c>
      <c r="B559" s="2" t="s">
        <v>1353</v>
      </c>
      <c r="C559" s="2" t="s">
        <v>1354</v>
      </c>
      <c r="D559" s="2">
        <f>IFERROR(__xludf.DUMMYFUNCTION("""COMPUTED_VALUE"""),6.9070501013E10)</f>
        <v>69070501013</v>
      </c>
    </row>
    <row r="560">
      <c r="A560" s="2">
        <v>6.9070502435E10</v>
      </c>
      <c r="B560" s="2" t="s">
        <v>1355</v>
      </c>
      <c r="C560" s="2" t="s">
        <v>1356</v>
      </c>
      <c r="D560" s="2">
        <f>IFERROR(__xludf.DUMMYFUNCTION("""COMPUTED_VALUE"""),6.9070502435E10)</f>
        <v>69070502435</v>
      </c>
    </row>
    <row r="561">
      <c r="A561" s="2">
        <v>6.9070501064E10</v>
      </c>
      <c r="B561" s="2" t="s">
        <v>1357</v>
      </c>
      <c r="C561" s="2" t="s">
        <v>1358</v>
      </c>
      <c r="D561" s="2">
        <f>IFERROR(__xludf.DUMMYFUNCTION("""COMPUTED_VALUE"""),6.9070501064E10)</f>
        <v>69070501064</v>
      </c>
    </row>
    <row r="562">
      <c r="A562" s="2">
        <v>6.9070502444E10</v>
      </c>
      <c r="B562" s="2" t="s">
        <v>1359</v>
      </c>
      <c r="C562" s="2" t="s">
        <v>1360</v>
      </c>
      <c r="D562" s="2">
        <f>IFERROR(__xludf.DUMMYFUNCTION("""COMPUTED_VALUE"""),6.9070502444E10)</f>
        <v>69070502444</v>
      </c>
    </row>
    <row r="563">
      <c r="A563" s="2">
        <v>6.9070501814E10</v>
      </c>
      <c r="B563" s="2" t="s">
        <v>1362</v>
      </c>
      <c r="C563" s="2" t="s">
        <v>1363</v>
      </c>
      <c r="D563" s="2">
        <f>IFERROR(__xludf.DUMMYFUNCTION("""COMPUTED_VALUE"""),6.9070501814E10)</f>
        <v>69070501814</v>
      </c>
    </row>
    <row r="564">
      <c r="A564" s="2">
        <v>6.9070500451E10</v>
      </c>
      <c r="B564" s="2" t="s">
        <v>1366</v>
      </c>
      <c r="C564" s="2" t="s">
        <v>1367</v>
      </c>
      <c r="D564" s="2">
        <f>IFERROR(__xludf.DUMMYFUNCTION("""COMPUTED_VALUE"""),6.9070500451E10)</f>
        <v>69070500451</v>
      </c>
    </row>
    <row r="565">
      <c r="A565" s="2">
        <v>6.9070500232E10</v>
      </c>
      <c r="B565" s="2" t="s">
        <v>1370</v>
      </c>
      <c r="C565" s="2" t="s">
        <v>1372</v>
      </c>
      <c r="D565" s="2">
        <f>IFERROR(__xludf.DUMMYFUNCTION("""COMPUTED_VALUE"""),6.9070500232E10)</f>
        <v>69070500232</v>
      </c>
    </row>
    <row r="566">
      <c r="A566" s="2">
        <v>6.9070501052E10</v>
      </c>
      <c r="B566" s="2" t="s">
        <v>1375</v>
      </c>
      <c r="C566" s="2" t="s">
        <v>1376</v>
      </c>
      <c r="D566" s="2">
        <f>IFERROR(__xludf.DUMMYFUNCTION("""COMPUTED_VALUE"""),6.9070501052E10)</f>
        <v>69070501052</v>
      </c>
    </row>
    <row r="567">
      <c r="A567" s="2">
        <v>6.9070508248E10</v>
      </c>
      <c r="B567" s="2" t="s">
        <v>1378</v>
      </c>
      <c r="C567" s="2" t="s">
        <v>1379</v>
      </c>
      <c r="D567" s="2">
        <f>IFERROR(__xludf.DUMMYFUNCTION("""COMPUTED_VALUE"""),6.9070508248E10)</f>
        <v>69070508248</v>
      </c>
    </row>
    <row r="568">
      <c r="A568" s="2">
        <v>6.9070509611E10</v>
      </c>
      <c r="B568" s="2" t="s">
        <v>1380</v>
      </c>
      <c r="C568" s="2" t="s">
        <v>1381</v>
      </c>
      <c r="D568" s="2">
        <f>IFERROR(__xludf.DUMMYFUNCTION("""COMPUTED_VALUE"""),6.9070509611E10)</f>
        <v>69070509611</v>
      </c>
    </row>
    <row r="569">
      <c r="A569" s="2">
        <v>6.9070508828E10</v>
      </c>
      <c r="B569" s="2" t="s">
        <v>1382</v>
      </c>
      <c r="C569" s="2" t="s">
        <v>1383</v>
      </c>
      <c r="D569" s="2">
        <f>IFERROR(__xludf.DUMMYFUNCTION("""COMPUTED_VALUE"""),6.9070508828E10)</f>
        <v>69070508828</v>
      </c>
    </row>
    <row r="570">
      <c r="A570" s="2">
        <v>6.9070500818E10</v>
      </c>
      <c r="B570" s="2" t="s">
        <v>1384</v>
      </c>
      <c r="C570" s="2" t="s">
        <v>1385</v>
      </c>
      <c r="D570" s="2">
        <f>IFERROR(__xludf.DUMMYFUNCTION("""COMPUTED_VALUE"""),6.9070500818E10)</f>
        <v>69070500818</v>
      </c>
    </row>
    <row r="571">
      <c r="A571" s="2">
        <v>6.9070502505E10</v>
      </c>
      <c r="B571" s="2" t="s">
        <v>1386</v>
      </c>
      <c r="C571" s="2" t="s">
        <v>1387</v>
      </c>
      <c r="D571" s="2">
        <f>IFERROR(__xludf.DUMMYFUNCTION("""COMPUTED_VALUE"""),6.9070502505E10)</f>
        <v>69070502505</v>
      </c>
    </row>
    <row r="572">
      <c r="A572" s="2">
        <v>6.9070500803E10</v>
      </c>
      <c r="B572" s="2" t="s">
        <v>1388</v>
      </c>
      <c r="C572" s="2" t="s">
        <v>1389</v>
      </c>
      <c r="D572" s="2">
        <f>IFERROR(__xludf.DUMMYFUNCTION("""COMPUTED_VALUE"""),6.9070500803E10)</f>
        <v>69070500803</v>
      </c>
    </row>
    <row r="573">
      <c r="A573" s="2">
        <v>6.9070502471E10</v>
      </c>
      <c r="B573" s="2" t="s">
        <v>1390</v>
      </c>
      <c r="C573" s="2" t="s">
        <v>1391</v>
      </c>
      <c r="D573" s="2">
        <f>IFERROR(__xludf.DUMMYFUNCTION("""COMPUTED_VALUE"""),6.9070502471E10)</f>
        <v>69070502471</v>
      </c>
    </row>
    <row r="574">
      <c r="A574" s="2">
        <v>6.9070501802E10</v>
      </c>
      <c r="B574" s="2" t="s">
        <v>1392</v>
      </c>
      <c r="C574" s="2" t="s">
        <v>1393</v>
      </c>
      <c r="D574" s="2">
        <f>IFERROR(__xludf.DUMMYFUNCTION("""COMPUTED_VALUE"""),6.9070501802E10)</f>
        <v>69070501802</v>
      </c>
    </row>
    <row r="575">
      <c r="A575" s="2">
        <v>6.9070502469E10</v>
      </c>
      <c r="B575" s="2" t="s">
        <v>1394</v>
      </c>
      <c r="C575" s="2" t="s">
        <v>1395</v>
      </c>
      <c r="D575" s="2">
        <f>IFERROR(__xludf.DUMMYFUNCTION("""COMPUTED_VALUE"""),6.9070502469E10)</f>
        <v>69070502469</v>
      </c>
    </row>
    <row r="576">
      <c r="A576" s="2">
        <v>6.9070502462E10</v>
      </c>
      <c r="B576" s="2" t="s">
        <v>1396</v>
      </c>
      <c r="C576" s="2" t="s">
        <v>1397</v>
      </c>
      <c r="D576" s="2">
        <f>IFERROR(__xludf.DUMMYFUNCTION("""COMPUTED_VALUE"""),6.9070502462E10)</f>
        <v>69070502462</v>
      </c>
    </row>
    <row r="577">
      <c r="A577" s="2">
        <v>6.9070500247E10</v>
      </c>
      <c r="B577" s="2" t="s">
        <v>60</v>
      </c>
      <c r="C577" s="2" t="s">
        <v>1398</v>
      </c>
      <c r="D577" s="2">
        <f>IFERROR(__xludf.DUMMYFUNCTION("""COMPUTED_VALUE"""),6.9070500247E10)</f>
        <v>69070500247</v>
      </c>
    </row>
    <row r="578">
      <c r="A578" s="2">
        <v>6.9070508233E10</v>
      </c>
      <c r="B578" s="2" t="s">
        <v>1399</v>
      </c>
      <c r="C578" s="2" t="s">
        <v>1400</v>
      </c>
      <c r="D578" s="2">
        <f>IFERROR(__xludf.DUMMYFUNCTION("""COMPUTED_VALUE"""),6.9070508233E10)</f>
        <v>69070508233</v>
      </c>
    </row>
    <row r="579">
      <c r="A579" s="2">
        <v>6.907050081E10</v>
      </c>
      <c r="B579" s="2" t="s">
        <v>1401</v>
      </c>
      <c r="C579" s="2" t="s">
        <v>1402</v>
      </c>
      <c r="D579" s="2">
        <f>IFERROR(__xludf.DUMMYFUNCTION("""COMPUTED_VALUE"""),6.907050081E10)</f>
        <v>69070500810</v>
      </c>
    </row>
    <row r="580">
      <c r="A580" s="2">
        <v>6.9070500854E10</v>
      </c>
      <c r="B580" s="2" t="s">
        <v>1403</v>
      </c>
      <c r="C580" s="2" t="s">
        <v>1404</v>
      </c>
      <c r="D580" s="2">
        <f>IFERROR(__xludf.DUMMYFUNCTION("""COMPUTED_VALUE"""),6.9070500854E10)</f>
        <v>69070500854</v>
      </c>
    </row>
    <row r="581">
      <c r="A581" s="2">
        <v>6.907050088E10</v>
      </c>
      <c r="B581" s="2" t="s">
        <v>1405</v>
      </c>
      <c r="C581" s="2" t="s">
        <v>1406</v>
      </c>
      <c r="D581" s="2">
        <f>IFERROR(__xludf.DUMMYFUNCTION("""COMPUTED_VALUE"""),6.907050088E10)</f>
        <v>69070500880</v>
      </c>
    </row>
    <row r="582">
      <c r="A582" s="2">
        <v>6.907050523E10</v>
      </c>
      <c r="B582" s="2" t="s">
        <v>1320</v>
      </c>
      <c r="C582" s="2" t="s">
        <v>1407</v>
      </c>
      <c r="D582" s="2">
        <f>IFERROR(__xludf.DUMMYFUNCTION("""COMPUTED_VALUE"""),6.907050523E10)</f>
        <v>69070505230</v>
      </c>
    </row>
    <row r="583">
      <c r="A583" s="2">
        <v>6.9070506476E10</v>
      </c>
      <c r="B583" s="2" t="s">
        <v>1408</v>
      </c>
      <c r="C583" s="2" t="s">
        <v>1409</v>
      </c>
      <c r="D583" s="2">
        <f>IFERROR(__xludf.DUMMYFUNCTION("""COMPUTED_VALUE"""),6.9070506476E10)</f>
        <v>69070506476</v>
      </c>
    </row>
    <row r="584">
      <c r="A584" s="2">
        <v>6.9070500828E10</v>
      </c>
      <c r="B584" s="2" t="s">
        <v>1410</v>
      </c>
      <c r="C584" s="2" t="s">
        <v>1411</v>
      </c>
      <c r="D584" s="2">
        <f>IFERROR(__xludf.DUMMYFUNCTION("""COMPUTED_VALUE"""),6.9070500828E10)</f>
        <v>69070500828</v>
      </c>
    </row>
    <row r="585">
      <c r="A585" s="2">
        <v>6.9070502436E10</v>
      </c>
      <c r="B585" s="2" t="s">
        <v>1412</v>
      </c>
      <c r="C585" s="2" t="s">
        <v>1413</v>
      </c>
      <c r="D585" s="2">
        <f>IFERROR(__xludf.DUMMYFUNCTION("""COMPUTED_VALUE"""),6.9070502436E10)</f>
        <v>69070502436</v>
      </c>
    </row>
    <row r="586">
      <c r="A586" s="2">
        <v>6.9070509454E10</v>
      </c>
      <c r="B586" s="2" t="s">
        <v>1414</v>
      </c>
      <c r="C586" s="2" t="s">
        <v>1415</v>
      </c>
      <c r="D586" s="2">
        <f>IFERROR(__xludf.DUMMYFUNCTION("""COMPUTED_VALUE"""),6.9070509454E10)</f>
        <v>69070509454</v>
      </c>
    </row>
    <row r="587">
      <c r="A587" s="2">
        <v>6.907050961E10</v>
      </c>
      <c r="B587" s="2" t="s">
        <v>1417</v>
      </c>
      <c r="C587" s="2" t="s">
        <v>1418</v>
      </c>
      <c r="D587" s="2">
        <f>IFERROR(__xludf.DUMMYFUNCTION("""COMPUTED_VALUE"""),6.907050961E10)</f>
        <v>69070509610</v>
      </c>
    </row>
    <row r="588">
      <c r="A588" s="2">
        <v>6.9070509847E10</v>
      </c>
      <c r="B588" s="2" t="s">
        <v>1420</v>
      </c>
      <c r="C588" s="2" t="s">
        <v>1421</v>
      </c>
      <c r="D588" s="2">
        <f>IFERROR(__xludf.DUMMYFUNCTION("""COMPUTED_VALUE"""),6.9070509847E10)</f>
        <v>69070509847</v>
      </c>
    </row>
    <row r="589">
      <c r="A589" s="2">
        <v>6.9070509408E10</v>
      </c>
      <c r="B589" s="2" t="s">
        <v>1424</v>
      </c>
      <c r="C589" s="2" t="s">
        <v>1426</v>
      </c>
      <c r="D589" s="2">
        <f>IFERROR(__xludf.DUMMYFUNCTION("""COMPUTED_VALUE"""),6.9070509408E10)</f>
        <v>69070509408</v>
      </c>
    </row>
    <row r="590">
      <c r="A590" s="2">
        <v>6.9070502476E10</v>
      </c>
      <c r="B590" s="2" t="s">
        <v>1429</v>
      </c>
      <c r="C590" s="2" t="s">
        <v>1430</v>
      </c>
      <c r="D590" s="2">
        <f>IFERROR(__xludf.DUMMYFUNCTION("""COMPUTED_VALUE"""),6.9070502476E10)</f>
        <v>69070502476</v>
      </c>
    </row>
    <row r="591">
      <c r="A591" s="2">
        <v>6.9070501249E10</v>
      </c>
      <c r="B591" s="2" t="s">
        <v>1431</v>
      </c>
      <c r="C591" s="2" t="s">
        <v>1432</v>
      </c>
      <c r="D591" s="2">
        <f>IFERROR(__xludf.DUMMYFUNCTION("""COMPUTED_VALUE"""),6.9070501249E10)</f>
        <v>69070501249</v>
      </c>
    </row>
    <row r="592">
      <c r="A592" s="2">
        <v>6.9070501261E10</v>
      </c>
      <c r="B592" s="2" t="s">
        <v>1433</v>
      </c>
      <c r="C592" s="2" t="s">
        <v>1434</v>
      </c>
      <c r="D592" s="2">
        <f>IFERROR(__xludf.DUMMYFUNCTION("""COMPUTED_VALUE"""),6.9070501261E10)</f>
        <v>69070501261</v>
      </c>
    </row>
    <row r="593">
      <c r="A593" s="2">
        <v>6.9070502499E10</v>
      </c>
      <c r="B593" s="2" t="s">
        <v>1435</v>
      </c>
      <c r="C593" s="2" t="s">
        <v>1436</v>
      </c>
      <c r="D593" s="2">
        <f>IFERROR(__xludf.DUMMYFUNCTION("""COMPUTED_VALUE"""),6.9070502499E10)</f>
        <v>69070502499</v>
      </c>
    </row>
    <row r="594">
      <c r="A594" s="2">
        <v>6.9070500865E10</v>
      </c>
      <c r="B594" s="2" t="s">
        <v>1437</v>
      </c>
      <c r="C594" s="2" t="s">
        <v>1438</v>
      </c>
      <c r="D594" s="2">
        <f>IFERROR(__xludf.DUMMYFUNCTION("""COMPUTED_VALUE"""),6.9070500865E10)</f>
        <v>69070500865</v>
      </c>
    </row>
    <row r="595">
      <c r="A595" s="2">
        <v>6.9070502205E10</v>
      </c>
      <c r="B595" s="2" t="s">
        <v>1439</v>
      </c>
      <c r="C595" s="2" t="s">
        <v>1440</v>
      </c>
      <c r="D595" s="2">
        <f>IFERROR(__xludf.DUMMYFUNCTION("""COMPUTED_VALUE"""),6.9070502205E10)</f>
        <v>69070502205</v>
      </c>
    </row>
    <row r="596">
      <c r="A596" s="2">
        <v>6.907050125E10</v>
      </c>
      <c r="B596" s="2" t="s">
        <v>209</v>
      </c>
      <c r="C596" s="2" t="s">
        <v>1441</v>
      </c>
      <c r="D596" s="2">
        <f>IFERROR(__xludf.DUMMYFUNCTION("""COMPUTED_VALUE"""),6.907050125E10)</f>
        <v>69070501250</v>
      </c>
    </row>
    <row r="597">
      <c r="A597" s="2">
        <v>6.9070500269E10</v>
      </c>
      <c r="B597" s="2" t="s">
        <v>1442</v>
      </c>
      <c r="C597" s="2" t="s">
        <v>1443</v>
      </c>
      <c r="D597" s="2">
        <f>IFERROR(__xludf.DUMMYFUNCTION("""COMPUTED_VALUE"""),6.9070500269E10)</f>
        <v>69070500269</v>
      </c>
    </row>
    <row r="598">
      <c r="A598" s="2">
        <v>6.9070502204E10</v>
      </c>
      <c r="B598" s="2" t="s">
        <v>1444</v>
      </c>
      <c r="C598" s="2" t="s">
        <v>1445</v>
      </c>
      <c r="D598" s="2">
        <f>IFERROR(__xludf.DUMMYFUNCTION("""COMPUTED_VALUE"""),6.9070502204E10)</f>
        <v>69070502204</v>
      </c>
    </row>
    <row r="599">
      <c r="A599" s="2">
        <v>6.9070502468E10</v>
      </c>
      <c r="B599" s="2" t="s">
        <v>1446</v>
      </c>
      <c r="C599" s="2" t="s">
        <v>1447</v>
      </c>
      <c r="D599" s="2">
        <f>IFERROR(__xludf.DUMMYFUNCTION("""COMPUTED_VALUE"""),6.9070502468E10)</f>
        <v>69070502468</v>
      </c>
    </row>
    <row r="600">
      <c r="A600" s="2">
        <v>6.9070502234E10</v>
      </c>
      <c r="B600" s="2" t="s">
        <v>1448</v>
      </c>
      <c r="C600" s="2" t="s">
        <v>1449</v>
      </c>
      <c r="D600" s="2">
        <f>IFERROR(__xludf.DUMMYFUNCTION("""COMPUTED_VALUE"""),6.9070502234E10)</f>
        <v>69070502234</v>
      </c>
    </row>
    <row r="601">
      <c r="A601" s="2">
        <v>6.9070501277E10</v>
      </c>
      <c r="B601" s="2" t="s">
        <v>1450</v>
      </c>
      <c r="C601" s="2" t="s">
        <v>1451</v>
      </c>
      <c r="D601" s="2">
        <f>IFERROR(__xludf.DUMMYFUNCTION("""COMPUTED_VALUE"""),6.9070501277E10)</f>
        <v>69070501277</v>
      </c>
    </row>
    <row r="602">
      <c r="A602" s="2">
        <v>6.9070501048E10</v>
      </c>
      <c r="B602" s="2" t="s">
        <v>1452</v>
      </c>
      <c r="C602" s="2" t="s">
        <v>1453</v>
      </c>
      <c r="D602" s="2">
        <f>IFERROR(__xludf.DUMMYFUNCTION("""COMPUTED_VALUE"""),6.9070501048E10)</f>
        <v>69070501048</v>
      </c>
    </row>
    <row r="603">
      <c r="A603" s="2">
        <v>6.9070500073E10</v>
      </c>
      <c r="B603" s="2" t="s">
        <v>1454</v>
      </c>
      <c r="C603" s="2" t="s">
        <v>1455</v>
      </c>
      <c r="D603" s="2">
        <f>IFERROR(__xludf.DUMMYFUNCTION("""COMPUTED_VALUE"""),6.9070500073E10)</f>
        <v>69070500073</v>
      </c>
    </row>
    <row r="604">
      <c r="A604" s="2">
        <v>6.9070500251E10</v>
      </c>
      <c r="B604" s="2" t="s">
        <v>1456</v>
      </c>
      <c r="C604" s="2" t="s">
        <v>1457</v>
      </c>
      <c r="D604" s="2">
        <f>IFERROR(__xludf.DUMMYFUNCTION("""COMPUTED_VALUE"""),6.9070500251E10)</f>
        <v>69070500251</v>
      </c>
    </row>
    <row r="605">
      <c r="A605" s="2">
        <v>6.907050083E10</v>
      </c>
      <c r="B605" s="2" t="s">
        <v>1458</v>
      </c>
      <c r="C605" s="2" t="s">
        <v>1459</v>
      </c>
      <c r="D605" s="2">
        <f>IFERROR(__xludf.DUMMYFUNCTION("""COMPUTED_VALUE"""),6.907050083E10)</f>
        <v>69070500830</v>
      </c>
    </row>
    <row r="606">
      <c r="A606" s="2">
        <v>6.9070509816E10</v>
      </c>
      <c r="B606" s="2" t="s">
        <v>1460</v>
      </c>
      <c r="C606" s="2" t="s">
        <v>1461</v>
      </c>
      <c r="D606" s="2">
        <f>IFERROR(__xludf.DUMMYFUNCTION("""COMPUTED_VALUE"""),6.9070509816E10)</f>
        <v>69070509816</v>
      </c>
    </row>
    <row r="607">
      <c r="A607" s="2">
        <v>6.9070509421E10</v>
      </c>
      <c r="B607" s="2" t="s">
        <v>1462</v>
      </c>
      <c r="C607" s="2" t="s">
        <v>1463</v>
      </c>
      <c r="D607" s="2">
        <f>IFERROR(__xludf.DUMMYFUNCTION("""COMPUTED_VALUE"""),6.9070509421E10)</f>
        <v>69070509421</v>
      </c>
    </row>
    <row r="608">
      <c r="A608" s="2">
        <v>6.9070506464E10</v>
      </c>
      <c r="B608" s="2" t="s">
        <v>1464</v>
      </c>
      <c r="C608" s="2" t="s">
        <v>1465</v>
      </c>
      <c r="D608" s="2">
        <f>IFERROR(__xludf.DUMMYFUNCTION("""COMPUTED_VALUE"""),6.9070506464E10)</f>
        <v>69070506464</v>
      </c>
    </row>
    <row r="609">
      <c r="A609" s="2">
        <v>6.907050084E10</v>
      </c>
      <c r="B609" s="2" t="s">
        <v>1466</v>
      </c>
      <c r="C609" s="2" t="s">
        <v>1467</v>
      </c>
      <c r="D609" s="2">
        <f>IFERROR(__xludf.DUMMYFUNCTION("""COMPUTED_VALUE"""),6.907050084E10)</f>
        <v>69070500840</v>
      </c>
    </row>
    <row r="610">
      <c r="A610" s="2">
        <v>6.9070500291E10</v>
      </c>
      <c r="B610" s="2" t="s">
        <v>1468</v>
      </c>
      <c r="C610" s="2" t="s">
        <v>1469</v>
      </c>
      <c r="D610" s="2">
        <f>IFERROR(__xludf.DUMMYFUNCTION("""COMPUTED_VALUE"""),6.9070500291E10)</f>
        <v>69070500291</v>
      </c>
    </row>
    <row r="611">
      <c r="A611" s="2">
        <v>6.9070500223E10</v>
      </c>
      <c r="B611" s="2" t="s">
        <v>358</v>
      </c>
      <c r="C611" s="2" t="s">
        <v>1471</v>
      </c>
      <c r="D611" s="2">
        <f>IFERROR(__xludf.DUMMYFUNCTION("""COMPUTED_VALUE"""),6.9070500223E10)</f>
        <v>69070500223</v>
      </c>
    </row>
    <row r="612">
      <c r="A612" s="2">
        <v>6.9070504026E10</v>
      </c>
      <c r="B612" s="2" t="s">
        <v>1473</v>
      </c>
      <c r="C612" s="2" t="s">
        <v>1475</v>
      </c>
      <c r="D612" s="2">
        <f>IFERROR(__xludf.DUMMYFUNCTION("""COMPUTED_VALUE"""),6.9070504026E10)</f>
        <v>69070504026</v>
      </c>
    </row>
    <row r="613">
      <c r="A613" s="2">
        <v>6.9070501016E10</v>
      </c>
      <c r="B613" s="2" t="s">
        <v>1123</v>
      </c>
      <c r="C613" s="2" t="s">
        <v>1478</v>
      </c>
      <c r="D613" s="2">
        <f>IFERROR(__xludf.DUMMYFUNCTION("""COMPUTED_VALUE"""),6.9070501016E10)</f>
        <v>69070501016</v>
      </c>
    </row>
    <row r="614">
      <c r="A614" s="2">
        <v>6.9070501225E10</v>
      </c>
      <c r="B614" s="2" t="s">
        <v>1480</v>
      </c>
      <c r="C614" s="2" t="s">
        <v>1482</v>
      </c>
      <c r="D614" s="2">
        <f>IFERROR(__xludf.DUMMYFUNCTION("""COMPUTED_VALUE"""),6.9070501225E10)</f>
        <v>69070501225</v>
      </c>
    </row>
    <row r="615">
      <c r="A615" s="2">
        <v>6.9070502225E10</v>
      </c>
      <c r="B615" s="2" t="s">
        <v>1484</v>
      </c>
      <c r="C615" s="2" t="s">
        <v>1486</v>
      </c>
      <c r="D615" s="2">
        <f>IFERROR(__xludf.DUMMYFUNCTION("""COMPUTED_VALUE"""),6.9070502225E10)</f>
        <v>69070502225</v>
      </c>
    </row>
    <row r="616">
      <c r="A616" s="2">
        <v>6.9070509607E10</v>
      </c>
      <c r="B616" s="2" t="s">
        <v>1487</v>
      </c>
      <c r="C616" s="2" t="s">
        <v>1488</v>
      </c>
      <c r="D616" s="2">
        <f>IFERROR(__xludf.DUMMYFUNCTION("""COMPUTED_VALUE"""),6.9070509607E10)</f>
        <v>69070509607</v>
      </c>
    </row>
    <row r="617">
      <c r="A617" s="2">
        <v>6.9070500235E10</v>
      </c>
      <c r="B617" s="2" t="s">
        <v>1489</v>
      </c>
      <c r="C617" s="2" t="s">
        <v>1490</v>
      </c>
      <c r="D617" s="2">
        <f>IFERROR(__xludf.DUMMYFUNCTION("""COMPUTED_VALUE"""),6.9070500235E10)</f>
        <v>69070500235</v>
      </c>
    </row>
    <row r="618">
      <c r="A618" s="2">
        <v>6.9070500821E10</v>
      </c>
      <c r="B618" s="2" t="s">
        <v>1491</v>
      </c>
      <c r="C618" s="2" t="s">
        <v>1492</v>
      </c>
      <c r="D618" s="2">
        <f>IFERROR(__xludf.DUMMYFUNCTION("""COMPUTED_VALUE"""),6.9070500821E10)</f>
        <v>69070500821</v>
      </c>
    </row>
    <row r="619">
      <c r="A619" s="2">
        <v>6.9070500208E10</v>
      </c>
      <c r="B619" s="2" t="s">
        <v>1493</v>
      </c>
      <c r="C619" s="2" t="s">
        <v>1494</v>
      </c>
      <c r="D619" s="2">
        <f>IFERROR(__xludf.DUMMYFUNCTION("""COMPUTED_VALUE"""),6.9070500208E10)</f>
        <v>69070500208</v>
      </c>
    </row>
    <row r="620">
      <c r="A620" s="2">
        <v>6.9070501246E10</v>
      </c>
      <c r="B620" s="2" t="s">
        <v>1495</v>
      </c>
      <c r="C620" s="2" t="s">
        <v>1496</v>
      </c>
      <c r="D620" s="2">
        <f>IFERROR(__xludf.DUMMYFUNCTION("""COMPUTED_VALUE"""),6.9070501246E10)</f>
        <v>69070501246</v>
      </c>
    </row>
    <row r="621">
      <c r="A621" s="2">
        <v>6.9070501077E10</v>
      </c>
      <c r="B621" s="2" t="s">
        <v>1497</v>
      </c>
      <c r="C621" s="2" t="s">
        <v>1498</v>
      </c>
      <c r="D621" s="2">
        <f>IFERROR(__xludf.DUMMYFUNCTION("""COMPUTED_VALUE"""),6.9070501077E10)</f>
        <v>69070501077</v>
      </c>
    </row>
    <row r="622">
      <c r="A622" s="2">
        <v>6.9070509412E10</v>
      </c>
      <c r="B622" s="2" t="s">
        <v>1499</v>
      </c>
      <c r="C622" s="2" t="s">
        <v>1500</v>
      </c>
      <c r="D622" s="2">
        <f>IFERROR(__xludf.DUMMYFUNCTION("""COMPUTED_VALUE"""),6.9070509412E10)</f>
        <v>69070509412</v>
      </c>
    </row>
    <row r="623">
      <c r="A623" s="2">
        <v>6.9070509407E10</v>
      </c>
      <c r="B623" s="2" t="s">
        <v>1501</v>
      </c>
      <c r="C623" s="2" t="s">
        <v>1502</v>
      </c>
      <c r="D623" s="2">
        <f>IFERROR(__xludf.DUMMYFUNCTION("""COMPUTED_VALUE"""),6.9070509407E10)</f>
        <v>69070509407</v>
      </c>
    </row>
    <row r="624">
      <c r="A624" s="2">
        <v>6.9070500861E10</v>
      </c>
      <c r="B624" s="2" t="s">
        <v>1503</v>
      </c>
      <c r="C624" s="2" t="s">
        <v>1504</v>
      </c>
      <c r="D624" s="2">
        <f>IFERROR(__xludf.DUMMYFUNCTION("""COMPUTED_VALUE"""),6.9070500861E10)</f>
        <v>69070500861</v>
      </c>
    </row>
    <row r="625">
      <c r="A625" s="2">
        <v>6.9070505226E10</v>
      </c>
      <c r="B625" s="2" t="s">
        <v>1505</v>
      </c>
      <c r="C625" s="2" t="s">
        <v>1506</v>
      </c>
      <c r="D625" s="2">
        <f>IFERROR(__xludf.DUMMYFUNCTION("""COMPUTED_VALUE"""),6.9070505226E10)</f>
        <v>69070505226</v>
      </c>
    </row>
    <row r="626">
      <c r="A626" s="2">
        <v>6.9070500085E10</v>
      </c>
      <c r="B626" s="2" t="s">
        <v>1507</v>
      </c>
      <c r="C626" s="2" t="s">
        <v>1508</v>
      </c>
      <c r="D626" s="2">
        <f>IFERROR(__xludf.DUMMYFUNCTION("""COMPUTED_VALUE"""),6.9070500085E10)</f>
        <v>69070500085</v>
      </c>
    </row>
    <row r="627">
      <c r="A627" s="2">
        <v>6.9070500242E10</v>
      </c>
      <c r="B627" s="2" t="s">
        <v>1509</v>
      </c>
      <c r="C627" s="2" t="s">
        <v>1510</v>
      </c>
      <c r="D627" s="2">
        <f>IFERROR(__xludf.DUMMYFUNCTION("""COMPUTED_VALUE"""),6.9070500242E10)</f>
        <v>69070500242</v>
      </c>
    </row>
    <row r="628">
      <c r="A628" s="2">
        <v>6.9070501273E10</v>
      </c>
      <c r="B628" s="2" t="s">
        <v>1511</v>
      </c>
      <c r="C628" s="2" t="s">
        <v>1512</v>
      </c>
      <c r="D628" s="2">
        <f>IFERROR(__xludf.DUMMYFUNCTION("""COMPUTED_VALUE"""),6.9070501273E10)</f>
        <v>69070501273</v>
      </c>
    </row>
    <row r="629">
      <c r="A629" s="2">
        <v>6.9070500309E10</v>
      </c>
      <c r="B629" s="2" t="s">
        <v>1513</v>
      </c>
      <c r="C629" s="2" t="s">
        <v>1514</v>
      </c>
      <c r="D629" s="2">
        <f>IFERROR(__xludf.DUMMYFUNCTION("""COMPUTED_VALUE"""),6.9070500309E10)</f>
        <v>69070500309</v>
      </c>
    </row>
    <row r="630">
      <c r="A630" s="2">
        <v>6.9070502473E10</v>
      </c>
      <c r="B630" s="2" t="s">
        <v>1515</v>
      </c>
      <c r="C630" s="2" t="s">
        <v>1516</v>
      </c>
      <c r="D630" s="2">
        <f>IFERROR(__xludf.DUMMYFUNCTION("""COMPUTED_VALUE"""),6.9070502473E10)</f>
        <v>69070502473</v>
      </c>
    </row>
    <row r="631">
      <c r="A631" s="2">
        <v>6.907050943E10</v>
      </c>
      <c r="B631" s="2" t="s">
        <v>1517</v>
      </c>
      <c r="C631" s="2" t="s">
        <v>1518</v>
      </c>
      <c r="D631" s="2">
        <f>IFERROR(__xludf.DUMMYFUNCTION("""COMPUTED_VALUE"""),6.907050943E10)</f>
        <v>69070509430</v>
      </c>
    </row>
    <row r="632">
      <c r="A632" s="2">
        <v>6.9070501824E10</v>
      </c>
      <c r="B632" s="2" t="s">
        <v>1519</v>
      </c>
      <c r="C632" s="2" t="s">
        <v>1520</v>
      </c>
      <c r="D632" s="2">
        <f>IFERROR(__xludf.DUMMYFUNCTION("""COMPUTED_VALUE"""),6.9070501824E10)</f>
        <v>69070501824</v>
      </c>
    </row>
    <row r="633">
      <c r="A633" s="2">
        <v>6.9070502425E10</v>
      </c>
      <c r="B633" s="2" t="s">
        <v>1464</v>
      </c>
      <c r="C633" s="2" t="s">
        <v>1521</v>
      </c>
      <c r="D633" s="2">
        <f>IFERROR(__xludf.DUMMYFUNCTION("""COMPUTED_VALUE"""),6.9070502425E10)</f>
        <v>69070502425</v>
      </c>
    </row>
    <row r="634">
      <c r="A634" s="2">
        <v>6.9070502843E10</v>
      </c>
      <c r="B634" s="2" t="s">
        <v>1522</v>
      </c>
      <c r="C634" s="2" t="s">
        <v>1523</v>
      </c>
      <c r="D634" s="2">
        <f>IFERROR(__xludf.DUMMYFUNCTION("""COMPUTED_VALUE"""),6.9070502843E10)</f>
        <v>69070502843</v>
      </c>
    </row>
    <row r="635">
      <c r="A635" s="2">
        <v>6.9070502456E10</v>
      </c>
      <c r="B635" s="2" t="s">
        <v>1524</v>
      </c>
      <c r="C635" s="2" t="s">
        <v>1525</v>
      </c>
      <c r="D635" s="2">
        <f>IFERROR(__xludf.DUMMYFUNCTION("""COMPUTED_VALUE"""),6.9070502456E10)</f>
        <v>69070502456</v>
      </c>
    </row>
    <row r="636">
      <c r="A636" s="2">
        <v>6.9070500226E10</v>
      </c>
      <c r="B636" s="2" t="s">
        <v>209</v>
      </c>
      <c r="C636" s="2" t="s">
        <v>1526</v>
      </c>
      <c r="D636" s="2">
        <f>IFERROR(__xludf.DUMMYFUNCTION("""COMPUTED_VALUE"""),6.9070500226E10)</f>
        <v>69070500226</v>
      </c>
    </row>
    <row r="637">
      <c r="A637" s="2">
        <v>6.9070500862E10</v>
      </c>
      <c r="B637" s="2" t="s">
        <v>1527</v>
      </c>
      <c r="C637" s="2" t="s">
        <v>1528</v>
      </c>
      <c r="D637" s="2">
        <f>IFERROR(__xludf.DUMMYFUNCTION("""COMPUTED_VALUE"""),6.9070500862E10)</f>
        <v>69070500862</v>
      </c>
    </row>
    <row r="638">
      <c r="A638" s="2">
        <v>6.9070502402E10</v>
      </c>
      <c r="B638" s="2" t="s">
        <v>1530</v>
      </c>
      <c r="C638" s="2" t="s">
        <v>1531</v>
      </c>
      <c r="D638" s="2">
        <f>IFERROR(__xludf.DUMMYFUNCTION("""COMPUTED_VALUE"""),6.9070502402E10)</f>
        <v>69070502402</v>
      </c>
    </row>
    <row r="639">
      <c r="A639" s="2">
        <v>6.9070506409E10</v>
      </c>
      <c r="B639" s="2" t="s">
        <v>945</v>
      </c>
      <c r="C639" s="2" t="s">
        <v>1535</v>
      </c>
      <c r="D639" s="2">
        <f>IFERROR(__xludf.DUMMYFUNCTION("""COMPUTED_VALUE"""),6.9070506409E10)</f>
        <v>69070506409</v>
      </c>
    </row>
    <row r="640">
      <c r="A640" s="2">
        <v>6.9070501238E10</v>
      </c>
      <c r="B640" s="2" t="s">
        <v>1537</v>
      </c>
      <c r="C640" s="2" t="s">
        <v>1538</v>
      </c>
      <c r="D640" s="2">
        <f>IFERROR(__xludf.DUMMYFUNCTION("""COMPUTED_VALUE"""),6.9070501238E10)</f>
        <v>69070501238</v>
      </c>
    </row>
    <row r="641">
      <c r="A641" s="2">
        <v>6.9070501255E10</v>
      </c>
      <c r="B641" s="2" t="s">
        <v>1541</v>
      </c>
      <c r="C641" s="2" t="s">
        <v>1543</v>
      </c>
      <c r="D641" s="2">
        <f>IFERROR(__xludf.DUMMYFUNCTION("""COMPUTED_VALUE"""),6.9070501255E10)</f>
        <v>69070501255</v>
      </c>
    </row>
    <row r="642">
      <c r="A642" s="2">
        <v>6.9070501818E10</v>
      </c>
      <c r="B642" s="2" t="s">
        <v>1544</v>
      </c>
      <c r="C642" s="2" t="s">
        <v>1296</v>
      </c>
      <c r="D642" s="2">
        <f>IFERROR(__xludf.DUMMYFUNCTION("""COMPUTED_VALUE"""),6.9070501818E10)</f>
        <v>69070501818</v>
      </c>
    </row>
    <row r="643">
      <c r="A643" s="2">
        <v>6.9070501007E10</v>
      </c>
      <c r="B643" s="2" t="s">
        <v>1545</v>
      </c>
      <c r="C643" s="2" t="s">
        <v>1546</v>
      </c>
      <c r="D643" s="2">
        <f>IFERROR(__xludf.DUMMYFUNCTION("""COMPUTED_VALUE"""),6.9070501007E10)</f>
        <v>69070501007</v>
      </c>
    </row>
    <row r="644">
      <c r="A644" s="2">
        <v>6.9070500204E10</v>
      </c>
      <c r="B644" s="2" t="s">
        <v>1547</v>
      </c>
      <c r="C644" s="2" t="s">
        <v>1548</v>
      </c>
      <c r="D644" s="2">
        <f>IFERROR(__xludf.DUMMYFUNCTION("""COMPUTED_VALUE"""),6.9070500204E10)</f>
        <v>69070500204</v>
      </c>
    </row>
    <row r="645">
      <c r="A645" s="2">
        <v>6.9070502224E10</v>
      </c>
      <c r="B645" s="2" t="s">
        <v>789</v>
      </c>
      <c r="C645" s="2" t="s">
        <v>1549</v>
      </c>
      <c r="D645" s="2">
        <f>IFERROR(__xludf.DUMMYFUNCTION("""COMPUTED_VALUE"""),6.9070502224E10)</f>
        <v>69070502224</v>
      </c>
    </row>
    <row r="646">
      <c r="A646" s="2">
        <v>6.9070500602E10</v>
      </c>
      <c r="B646" s="2" t="s">
        <v>1550</v>
      </c>
      <c r="C646" s="2" t="s">
        <v>1551</v>
      </c>
      <c r="D646" s="2">
        <f>IFERROR(__xludf.DUMMYFUNCTION("""COMPUTED_VALUE"""),6.9070500602E10)</f>
        <v>69070500602</v>
      </c>
    </row>
    <row r="647">
      <c r="A647" s="2">
        <v>6.9070508245E10</v>
      </c>
      <c r="B647" s="2" t="s">
        <v>1552</v>
      </c>
      <c r="C647" s="2" t="s">
        <v>1553</v>
      </c>
      <c r="D647" s="2">
        <f>IFERROR(__xludf.DUMMYFUNCTION("""COMPUTED_VALUE"""),6.9070508245E10)</f>
        <v>69070508245</v>
      </c>
    </row>
    <row r="648">
      <c r="A648" s="2">
        <v>6.907050026E10</v>
      </c>
      <c r="B648" s="2" t="s">
        <v>655</v>
      </c>
      <c r="C648" s="2" t="s">
        <v>1554</v>
      </c>
      <c r="D648" s="2">
        <f>IFERROR(__xludf.DUMMYFUNCTION("""COMPUTED_VALUE"""),6.907050026E10)</f>
        <v>69070500260</v>
      </c>
    </row>
    <row r="649">
      <c r="A649" s="2">
        <v>6.9070508219E10</v>
      </c>
      <c r="B649" s="2" t="s">
        <v>1555</v>
      </c>
      <c r="C649" s="2" t="s">
        <v>1556</v>
      </c>
      <c r="D649" s="2">
        <f>IFERROR(__xludf.DUMMYFUNCTION("""COMPUTED_VALUE"""),6.9070508219E10)</f>
        <v>69070508219</v>
      </c>
    </row>
    <row r="650">
      <c r="A650" s="2">
        <v>6.907050825E10</v>
      </c>
      <c r="B650" s="2" t="s">
        <v>1557</v>
      </c>
      <c r="C650" s="2" t="s">
        <v>1558</v>
      </c>
      <c r="D650" s="2">
        <f>IFERROR(__xludf.DUMMYFUNCTION("""COMPUTED_VALUE"""),6.907050825E10)</f>
        <v>69070508250</v>
      </c>
    </row>
    <row r="651">
      <c r="A651" s="2">
        <v>6.9070501813E10</v>
      </c>
      <c r="B651" s="2" t="s">
        <v>1559</v>
      </c>
      <c r="C651" s="2" t="s">
        <v>1560</v>
      </c>
      <c r="D651" s="2">
        <f>IFERROR(__xludf.DUMMYFUNCTION("""COMPUTED_VALUE"""),6.9070501813E10)</f>
        <v>69070501813</v>
      </c>
    </row>
    <row r="652">
      <c r="A652" s="2">
        <v>6.9070500482E10</v>
      </c>
      <c r="B652" s="2" t="s">
        <v>1561</v>
      </c>
      <c r="C652" s="2" t="s">
        <v>1562</v>
      </c>
      <c r="D652" s="2">
        <f>IFERROR(__xludf.DUMMYFUNCTION("""COMPUTED_VALUE"""),6.9070500482E10)</f>
        <v>69070500482</v>
      </c>
    </row>
    <row r="653">
      <c r="A653" s="2">
        <v>6.9070500842E10</v>
      </c>
      <c r="B653" s="2" t="s">
        <v>1563</v>
      </c>
      <c r="C653" s="2" t="s">
        <v>1564</v>
      </c>
      <c r="D653" s="2">
        <f>IFERROR(__xludf.DUMMYFUNCTION("""COMPUTED_VALUE"""),6.9070500842E10)</f>
        <v>69070500842</v>
      </c>
    </row>
    <row r="654">
      <c r="A654" s="2">
        <v>6.9070509411E10</v>
      </c>
      <c r="B654" s="2" t="s">
        <v>1565</v>
      </c>
      <c r="C654" s="2" t="s">
        <v>1566</v>
      </c>
      <c r="D654" s="2">
        <f>IFERROR(__xludf.DUMMYFUNCTION("""COMPUTED_VALUE"""),6.9070509411E10)</f>
        <v>69070509411</v>
      </c>
    </row>
    <row r="655">
      <c r="A655" s="2">
        <v>6.9070502221E10</v>
      </c>
      <c r="B655" s="2" t="s">
        <v>1567</v>
      </c>
      <c r="C655" s="2" t="s">
        <v>1163</v>
      </c>
      <c r="D655" s="2">
        <f>IFERROR(__xludf.DUMMYFUNCTION("""COMPUTED_VALUE"""),6.9070502221E10)</f>
        <v>69070502221</v>
      </c>
    </row>
    <row r="656">
      <c r="A656" s="2">
        <v>6.9070501023E10</v>
      </c>
      <c r="B656" s="2" t="s">
        <v>1568</v>
      </c>
      <c r="C656" s="2" t="s">
        <v>1569</v>
      </c>
      <c r="D656" s="2">
        <f>IFERROR(__xludf.DUMMYFUNCTION("""COMPUTED_VALUE"""),6.9070501023E10)</f>
        <v>69070501023</v>
      </c>
    </row>
    <row r="657">
      <c r="A657" s="2">
        <v>6.9070500267E10</v>
      </c>
      <c r="B657" s="2" t="s">
        <v>1570</v>
      </c>
      <c r="C657" s="2" t="s">
        <v>1571</v>
      </c>
      <c r="D657" s="2">
        <f>IFERROR(__xludf.DUMMYFUNCTION("""COMPUTED_VALUE"""),6.9070500267E10)</f>
        <v>69070500267</v>
      </c>
    </row>
    <row r="658">
      <c r="A658" s="2">
        <v>6.9070502229E10</v>
      </c>
      <c r="B658" s="2" t="s">
        <v>1572</v>
      </c>
      <c r="C658" s="2" t="s">
        <v>1573</v>
      </c>
      <c r="D658" s="2">
        <f>IFERROR(__xludf.DUMMYFUNCTION("""COMPUTED_VALUE"""),6.9070502229E10)</f>
        <v>69070502229</v>
      </c>
    </row>
    <row r="659">
      <c r="A659" s="2">
        <v>6.9070501253E10</v>
      </c>
      <c r="B659" s="2" t="s">
        <v>1574</v>
      </c>
      <c r="C659" s="2" t="s">
        <v>1575</v>
      </c>
      <c r="D659" s="2">
        <f>IFERROR(__xludf.DUMMYFUNCTION("""COMPUTED_VALUE"""),6.9070501253E10)</f>
        <v>69070501253</v>
      </c>
    </row>
    <row r="660">
      <c r="A660" s="2">
        <v>6.907050086E10</v>
      </c>
      <c r="B660" s="2" t="s">
        <v>1576</v>
      </c>
      <c r="C660" s="2" t="s">
        <v>1577</v>
      </c>
      <c r="D660" s="2">
        <f>IFERROR(__xludf.DUMMYFUNCTION("""COMPUTED_VALUE"""),6.907050086E10)</f>
        <v>69070500860</v>
      </c>
    </row>
    <row r="661">
      <c r="A661" s="2">
        <v>6.9070508244E10</v>
      </c>
      <c r="B661" s="2" t="s">
        <v>1578</v>
      </c>
      <c r="C661" s="2" t="s">
        <v>1579</v>
      </c>
      <c r="D661" s="2">
        <f>IFERROR(__xludf.DUMMYFUNCTION("""COMPUTED_VALUE"""),6.9070508244E10)</f>
        <v>69070508244</v>
      </c>
    </row>
    <row r="662">
      <c r="A662" s="2">
        <v>6.9070506456E10</v>
      </c>
      <c r="B662" s="2" t="s">
        <v>1000</v>
      </c>
      <c r="C662" s="2" t="s">
        <v>1580</v>
      </c>
      <c r="D662" s="2">
        <f>IFERROR(__xludf.DUMMYFUNCTION("""COMPUTED_VALUE"""),6.9070506456E10)</f>
        <v>69070506456</v>
      </c>
    </row>
    <row r="663">
      <c r="A663" s="2">
        <v>6.9070509818E10</v>
      </c>
      <c r="B663" s="2" t="s">
        <v>1581</v>
      </c>
      <c r="C663" s="2" t="s">
        <v>1582</v>
      </c>
      <c r="D663" s="2">
        <f>IFERROR(__xludf.DUMMYFUNCTION("""COMPUTED_VALUE"""),6.9070509818E10)</f>
        <v>69070509818</v>
      </c>
    </row>
    <row r="664">
      <c r="A664" s="2">
        <v>6.9070502426E10</v>
      </c>
      <c r="B664" s="2" t="s">
        <v>1583</v>
      </c>
      <c r="C664" s="2" t="s">
        <v>1584</v>
      </c>
      <c r="D664" s="2">
        <f>IFERROR(__xludf.DUMMYFUNCTION("""COMPUTED_VALUE"""),6.9070502426E10)</f>
        <v>69070502426</v>
      </c>
    </row>
    <row r="665">
      <c r="A665" s="2">
        <v>6.9070501278E10</v>
      </c>
      <c r="B665" s="2" t="s">
        <v>1586</v>
      </c>
      <c r="C665" s="2" t="s">
        <v>1587</v>
      </c>
      <c r="D665" s="2">
        <f>IFERROR(__xludf.DUMMYFUNCTION("""COMPUTED_VALUE"""),6.9070501278E10)</f>
        <v>69070501278</v>
      </c>
    </row>
    <row r="666">
      <c r="A666" s="2">
        <v>6.9070501256E10</v>
      </c>
      <c r="B666" s="2" t="s">
        <v>1590</v>
      </c>
      <c r="C666" s="2" t="s">
        <v>1591</v>
      </c>
      <c r="D666" s="2">
        <f>IFERROR(__xludf.DUMMYFUNCTION("""COMPUTED_VALUE"""),6.9070501256E10)</f>
        <v>69070501256</v>
      </c>
    </row>
    <row r="667">
      <c r="A667" s="2">
        <v>6.9070501266E10</v>
      </c>
      <c r="B667" s="2" t="s">
        <v>1594</v>
      </c>
      <c r="C667" s="2" t="s">
        <v>1595</v>
      </c>
      <c r="D667" s="2">
        <f>IFERROR(__xludf.DUMMYFUNCTION("""COMPUTED_VALUE"""),6.9070501266E10)</f>
        <v>69070501266</v>
      </c>
    </row>
    <row r="668">
      <c r="A668" s="2">
        <v>6.9070509843E10</v>
      </c>
      <c r="B668" s="2" t="s">
        <v>1431</v>
      </c>
      <c r="C668" s="2" t="s">
        <v>1599</v>
      </c>
      <c r="D668" s="2">
        <f>IFERROR(__xludf.DUMMYFUNCTION("""COMPUTED_VALUE"""),6.9070509843E10)</f>
        <v>69070509843</v>
      </c>
    </row>
    <row r="669">
      <c r="A669" s="2">
        <v>6.9070501839E10</v>
      </c>
      <c r="B669" s="2" t="s">
        <v>1600</v>
      </c>
      <c r="C669" s="2" t="s">
        <v>1601</v>
      </c>
      <c r="D669" s="2">
        <f>IFERROR(__xludf.DUMMYFUNCTION("""COMPUTED_VALUE"""),6.9070501839E10)</f>
        <v>69070501839</v>
      </c>
    </row>
    <row r="670">
      <c r="A670" s="2">
        <v>6.9070501036E10</v>
      </c>
      <c r="B670" s="2" t="s">
        <v>1602</v>
      </c>
      <c r="C670" s="2" t="s">
        <v>1603</v>
      </c>
      <c r="D670" s="2">
        <f>IFERROR(__xludf.DUMMYFUNCTION("""COMPUTED_VALUE"""),6.9070501036E10)</f>
        <v>69070501036</v>
      </c>
    </row>
    <row r="671">
      <c r="A671" s="2">
        <v>6.9070502805E10</v>
      </c>
      <c r="B671" s="2" t="s">
        <v>153</v>
      </c>
      <c r="C671" s="2" t="s">
        <v>1604</v>
      </c>
      <c r="D671" s="2">
        <f>IFERROR(__xludf.DUMMYFUNCTION("""COMPUTED_VALUE"""),6.9070502805E10)</f>
        <v>69070502805</v>
      </c>
    </row>
    <row r="672">
      <c r="A672" s="2">
        <v>6.9070506423E10</v>
      </c>
      <c r="B672" s="2" t="s">
        <v>1605</v>
      </c>
      <c r="C672" s="2" t="s">
        <v>1606</v>
      </c>
      <c r="D672" s="2">
        <f>IFERROR(__xludf.DUMMYFUNCTION("""COMPUTED_VALUE"""),6.9070506423E10)</f>
        <v>69070506423</v>
      </c>
    </row>
    <row r="673">
      <c r="A673" s="2">
        <v>6.907050883E10</v>
      </c>
      <c r="B673" s="2" t="s">
        <v>1607</v>
      </c>
      <c r="C673" s="2" t="s">
        <v>1608</v>
      </c>
      <c r="D673" s="2">
        <f>IFERROR(__xludf.DUMMYFUNCTION("""COMPUTED_VALUE"""),6.907050883E10)</f>
        <v>69070508830</v>
      </c>
    </row>
    <row r="674">
      <c r="A674" s="2">
        <v>6.9070502237E10</v>
      </c>
      <c r="B674" s="2" t="s">
        <v>1609</v>
      </c>
      <c r="C674" s="2" t="s">
        <v>1610</v>
      </c>
      <c r="D674" s="2">
        <f>IFERROR(__xludf.DUMMYFUNCTION("""COMPUTED_VALUE"""),6.9070502237E10)</f>
        <v>69070502237</v>
      </c>
    </row>
    <row r="675">
      <c r="A675" s="2">
        <v>6.9070500065E10</v>
      </c>
      <c r="B675" s="2" t="s">
        <v>1611</v>
      </c>
      <c r="C675" s="2" t="s">
        <v>1612</v>
      </c>
      <c r="D675" s="2">
        <f>IFERROR(__xludf.DUMMYFUNCTION("""COMPUTED_VALUE"""),6.9070500065E10)</f>
        <v>69070500065</v>
      </c>
    </row>
    <row r="676">
      <c r="A676" s="2">
        <v>6.9070500404E10</v>
      </c>
      <c r="B676" s="2" t="s">
        <v>1613</v>
      </c>
      <c r="C676" s="2" t="s">
        <v>1614</v>
      </c>
      <c r="D676" s="2">
        <f>IFERROR(__xludf.DUMMYFUNCTION("""COMPUTED_VALUE"""),6.9070500404E10)</f>
        <v>69070500404</v>
      </c>
    </row>
    <row r="677">
      <c r="A677" s="2">
        <v>6.9070500869E10</v>
      </c>
      <c r="B677" s="2" t="s">
        <v>1615</v>
      </c>
      <c r="C677" s="2" t="s">
        <v>1616</v>
      </c>
      <c r="D677" s="2">
        <f>IFERROR(__xludf.DUMMYFUNCTION("""COMPUTED_VALUE"""),6.9070500869E10)</f>
        <v>69070500869</v>
      </c>
    </row>
    <row r="678">
      <c r="A678" s="2">
        <v>6.9070500277E10</v>
      </c>
      <c r="B678" s="2" t="s">
        <v>1617</v>
      </c>
      <c r="C678" s="2" t="s">
        <v>1618</v>
      </c>
      <c r="D678" s="2">
        <f>IFERROR(__xludf.DUMMYFUNCTION("""COMPUTED_VALUE"""),6.9070500277E10)</f>
        <v>69070500277</v>
      </c>
    </row>
    <row r="679">
      <c r="A679" s="2">
        <v>6.9070508242E10</v>
      </c>
      <c r="B679" s="2" t="s">
        <v>1491</v>
      </c>
      <c r="C679" s="2" t="s">
        <v>1619</v>
      </c>
      <c r="D679" s="2">
        <f>IFERROR(__xludf.DUMMYFUNCTION("""COMPUTED_VALUE"""),6.9070508242E10)</f>
        <v>69070508242</v>
      </c>
    </row>
    <row r="680">
      <c r="A680" s="2">
        <v>6.9070502433E10</v>
      </c>
      <c r="B680" s="2" t="s">
        <v>1620</v>
      </c>
      <c r="C680" s="2" t="s">
        <v>1621</v>
      </c>
      <c r="D680" s="2">
        <f>IFERROR(__xludf.DUMMYFUNCTION("""COMPUTED_VALUE"""),6.9070502433E10)</f>
        <v>69070502433</v>
      </c>
    </row>
    <row r="681">
      <c r="A681" s="2">
        <v>6.9070502452E10</v>
      </c>
      <c r="B681" s="2" t="s">
        <v>1622</v>
      </c>
      <c r="C681" s="2" t="s">
        <v>1623</v>
      </c>
      <c r="D681" s="2">
        <f>IFERROR(__xludf.DUMMYFUNCTION("""COMPUTED_VALUE"""),6.9070502452E10)</f>
        <v>69070502452</v>
      </c>
    </row>
    <row r="682">
      <c r="A682" s="2">
        <v>6.9070500258E10</v>
      </c>
      <c r="B682" s="2" t="s">
        <v>1624</v>
      </c>
      <c r="C682" s="2" t="s">
        <v>1625</v>
      </c>
      <c r="D682" s="2">
        <f>IFERROR(__xludf.DUMMYFUNCTION("""COMPUTED_VALUE"""),6.9070500258E10)</f>
        <v>69070500258</v>
      </c>
    </row>
    <row r="683">
      <c r="A683" s="2">
        <v>6.9070502828E10</v>
      </c>
      <c r="B683" s="2" t="s">
        <v>1626</v>
      </c>
      <c r="C683" s="2" t="s">
        <v>1627</v>
      </c>
      <c r="D683" s="2">
        <f>IFERROR(__xludf.DUMMYFUNCTION("""COMPUTED_VALUE"""),6.9070502828E10)</f>
        <v>69070502828</v>
      </c>
    </row>
    <row r="684">
      <c r="A684" s="2">
        <v>6.907050252E10</v>
      </c>
      <c r="B684" s="2" t="s">
        <v>1628</v>
      </c>
      <c r="C684" s="2" t="s">
        <v>1629</v>
      </c>
      <c r="D684" s="2">
        <f>IFERROR(__xludf.DUMMYFUNCTION("""COMPUTED_VALUE"""),6.907050252E10)</f>
        <v>69070502520</v>
      </c>
    </row>
    <row r="685">
      <c r="A685" s="2">
        <v>6.9070500293E10</v>
      </c>
      <c r="B685" s="2" t="s">
        <v>1630</v>
      </c>
      <c r="C685" s="2" t="s">
        <v>1631</v>
      </c>
      <c r="D685" s="2">
        <f>IFERROR(__xludf.DUMMYFUNCTION("""COMPUTED_VALUE"""),6.9070500293E10)</f>
        <v>69070500293</v>
      </c>
    </row>
    <row r="686">
      <c r="A686" s="2">
        <v>6.9070500236E10</v>
      </c>
      <c r="B686" s="2" t="s">
        <v>1632</v>
      </c>
      <c r="C686" s="2" t="s">
        <v>1633</v>
      </c>
      <c r="D686" s="2">
        <f>IFERROR(__xludf.DUMMYFUNCTION("""COMPUTED_VALUE"""),6.9070500236E10)</f>
        <v>69070500236</v>
      </c>
    </row>
    <row r="687">
      <c r="A687" s="2">
        <v>6.9070502488E10</v>
      </c>
      <c r="B687" s="2" t="s">
        <v>1362</v>
      </c>
      <c r="C687" s="2" t="s">
        <v>1634</v>
      </c>
      <c r="D687" s="2">
        <f>IFERROR(__xludf.DUMMYFUNCTION("""COMPUTED_VALUE"""),6.9070502488E10)</f>
        <v>69070502488</v>
      </c>
    </row>
    <row r="688">
      <c r="A688" s="2">
        <v>6.9070508203E10</v>
      </c>
      <c r="B688" s="2" t="s">
        <v>1635</v>
      </c>
      <c r="C688" s="2" t="s">
        <v>1636</v>
      </c>
      <c r="D688" s="2">
        <f>IFERROR(__xludf.DUMMYFUNCTION("""COMPUTED_VALUE"""),6.9070508203E10)</f>
        <v>69070508203</v>
      </c>
    </row>
    <row r="689">
      <c r="A689" s="2">
        <v>6.9070508222E10</v>
      </c>
      <c r="B689" s="2" t="s">
        <v>1637</v>
      </c>
      <c r="C689" s="2" t="s">
        <v>1638</v>
      </c>
      <c r="D689" s="2">
        <f>IFERROR(__xludf.DUMMYFUNCTION("""COMPUTED_VALUE"""),6.9070508222E10)</f>
        <v>69070508222</v>
      </c>
    </row>
    <row r="690">
      <c r="A690" s="2">
        <v>6.9070502518E10</v>
      </c>
      <c r="B690" s="2" t="s">
        <v>1639</v>
      </c>
      <c r="C690" s="2" t="s">
        <v>1640</v>
      </c>
      <c r="D690" s="2">
        <f>IFERROR(__xludf.DUMMYFUNCTION("""COMPUTED_VALUE"""),6.9070502518E10)</f>
        <v>69070502518</v>
      </c>
    </row>
    <row r="691">
      <c r="A691" s="2">
        <v>6.90705025E10</v>
      </c>
      <c r="B691" s="2" t="s">
        <v>1642</v>
      </c>
      <c r="C691" s="2" t="s">
        <v>1644</v>
      </c>
      <c r="D691" s="2">
        <f>IFERROR(__xludf.DUMMYFUNCTION("""COMPUTED_VALUE"""),6.90705025E10)</f>
        <v>69070502500</v>
      </c>
    </row>
    <row r="692">
      <c r="A692" s="2">
        <v>6.9070509417E10</v>
      </c>
      <c r="B692" s="2" t="s">
        <v>1646</v>
      </c>
      <c r="C692" s="2" t="s">
        <v>1648</v>
      </c>
      <c r="D692" s="2">
        <f>IFERROR(__xludf.DUMMYFUNCTION("""COMPUTED_VALUE"""),6.9070509417E10)</f>
        <v>69070509417</v>
      </c>
    </row>
    <row r="693">
      <c r="A693" s="2">
        <v>6.9070500882E10</v>
      </c>
      <c r="B693" s="2" t="s">
        <v>1650</v>
      </c>
      <c r="C693" s="2" t="s">
        <v>1651</v>
      </c>
      <c r="D693" s="2">
        <f>IFERROR(__xludf.DUMMYFUNCTION("""COMPUTED_VALUE"""),6.9070500882E10)</f>
        <v>69070500882</v>
      </c>
    </row>
    <row r="694">
      <c r="A694" s="2">
        <v>6.9070501836E10</v>
      </c>
      <c r="B694" s="2" t="s">
        <v>1654</v>
      </c>
      <c r="C694" s="2" t="s">
        <v>1656</v>
      </c>
      <c r="D694" s="2">
        <f>IFERROR(__xludf.DUMMYFUNCTION("""COMPUTED_VALUE"""),6.9070501836E10)</f>
        <v>69070501836</v>
      </c>
    </row>
    <row r="695">
      <c r="A695" s="2">
        <v>6.907050522E10</v>
      </c>
      <c r="B695" s="2" t="s">
        <v>1659</v>
      </c>
      <c r="C695" s="2" t="s">
        <v>1660</v>
      </c>
      <c r="D695" s="2">
        <f>IFERROR(__xludf.DUMMYFUNCTION("""COMPUTED_VALUE"""),6.907050522E10)</f>
        <v>69070505220</v>
      </c>
    </row>
    <row r="696">
      <c r="A696" s="2">
        <v>6.9070501233E10</v>
      </c>
      <c r="B696" s="2" t="s">
        <v>947</v>
      </c>
      <c r="C696" s="2" t="s">
        <v>1163</v>
      </c>
      <c r="D696" s="2">
        <f>IFERROR(__xludf.DUMMYFUNCTION("""COMPUTED_VALUE"""),6.9070501233E10)</f>
        <v>69070501233</v>
      </c>
    </row>
    <row r="697">
      <c r="A697" s="2">
        <v>6.9070501075E10</v>
      </c>
      <c r="B697" s="2" t="s">
        <v>1661</v>
      </c>
      <c r="C697" s="2" t="s">
        <v>1662</v>
      </c>
      <c r="D697" s="2">
        <f>IFERROR(__xludf.DUMMYFUNCTION("""COMPUTED_VALUE"""),6.9070501075E10)</f>
        <v>69070501075</v>
      </c>
    </row>
    <row r="698">
      <c r="A698" s="2">
        <v>6.9070500255E10</v>
      </c>
      <c r="B698" s="2" t="s">
        <v>1663</v>
      </c>
      <c r="C698" s="2" t="s">
        <v>1664</v>
      </c>
      <c r="D698" s="2">
        <f>IFERROR(__xludf.DUMMYFUNCTION("""COMPUTED_VALUE"""),6.9070500255E10)</f>
        <v>69070500255</v>
      </c>
    </row>
    <row r="699">
      <c r="A699" s="2">
        <v>6.9070506471E10</v>
      </c>
      <c r="B699" s="2" t="s">
        <v>1665</v>
      </c>
      <c r="C699" s="2" t="s">
        <v>1666</v>
      </c>
      <c r="D699" s="2">
        <f>IFERROR(__xludf.DUMMYFUNCTION("""COMPUTED_VALUE"""),6.9070506471E10)</f>
        <v>69070506471</v>
      </c>
    </row>
    <row r="700">
      <c r="A700" s="2">
        <v>6.9070509609E10</v>
      </c>
      <c r="B700" s="2" t="s">
        <v>1667</v>
      </c>
      <c r="C700" s="2" t="s">
        <v>1668</v>
      </c>
      <c r="D700" s="2">
        <f>IFERROR(__xludf.DUMMYFUNCTION("""COMPUTED_VALUE"""),6.9070509609E10)</f>
        <v>69070509609</v>
      </c>
    </row>
    <row r="701">
      <c r="A701" s="2">
        <v>6.9070509637E10</v>
      </c>
      <c r="B701" s="2" t="s">
        <v>1670</v>
      </c>
      <c r="C701" s="2" t="s">
        <v>1671</v>
      </c>
      <c r="D701" s="2">
        <f>IFERROR(__xludf.DUMMYFUNCTION("""COMPUTED_VALUE"""),6.9070509637E10)</f>
        <v>69070509637</v>
      </c>
    </row>
    <row r="702">
      <c r="A702" s="2">
        <v>6.9070502803E10</v>
      </c>
      <c r="B702" s="2" t="s">
        <v>1672</v>
      </c>
      <c r="C702" s="2" t="s">
        <v>1673</v>
      </c>
      <c r="D702" s="2">
        <f>IFERROR(__xludf.DUMMYFUNCTION("""COMPUTED_VALUE"""),6.9070502803E10)</f>
        <v>69070502803</v>
      </c>
    </row>
    <row r="703">
      <c r="A703" s="2">
        <v>6.9070500308E10</v>
      </c>
      <c r="B703" s="2" t="s">
        <v>1674</v>
      </c>
      <c r="C703" s="2" t="s">
        <v>1675</v>
      </c>
      <c r="D703" s="2">
        <f>IFERROR(__xludf.DUMMYFUNCTION("""COMPUTED_VALUE"""),6.9070500308E10)</f>
        <v>69070500308</v>
      </c>
    </row>
    <row r="704">
      <c r="A704" s="2">
        <v>6.9070501204E10</v>
      </c>
      <c r="B704" s="2" t="s">
        <v>1676</v>
      </c>
      <c r="C704" s="2" t="s">
        <v>1677</v>
      </c>
      <c r="D704" s="2">
        <f>IFERROR(__xludf.DUMMYFUNCTION("""COMPUTED_VALUE"""),6.9070501204E10)</f>
        <v>69070501204</v>
      </c>
    </row>
    <row r="705">
      <c r="A705" s="2">
        <v>6.9070502238E10</v>
      </c>
      <c r="B705" s="2" t="s">
        <v>1678</v>
      </c>
      <c r="C705" s="2" t="s">
        <v>1679</v>
      </c>
      <c r="D705" s="2">
        <f>IFERROR(__xludf.DUMMYFUNCTION("""COMPUTED_VALUE"""),6.9070502238E10)</f>
        <v>69070502238</v>
      </c>
    </row>
    <row r="706">
      <c r="A706" s="2">
        <v>6.9070509437E10</v>
      </c>
      <c r="B706" s="2" t="s">
        <v>800</v>
      </c>
      <c r="C706" s="2" t="s">
        <v>1680</v>
      </c>
      <c r="D706" s="2">
        <f>IFERROR(__xludf.DUMMYFUNCTION("""COMPUTED_VALUE"""),6.9070509437E10)</f>
        <v>69070509437</v>
      </c>
    </row>
    <row r="707">
      <c r="A707" s="2">
        <v>6.9070500249E10</v>
      </c>
      <c r="B707" s="2" t="s">
        <v>1468</v>
      </c>
      <c r="C707" s="2" t="s">
        <v>1681</v>
      </c>
      <c r="D707" s="2">
        <f>IFERROR(__xludf.DUMMYFUNCTION("""COMPUTED_VALUE"""),6.9070500249E10)</f>
        <v>69070500249</v>
      </c>
    </row>
    <row r="708">
      <c r="A708" s="2">
        <v>6.9070508234E10</v>
      </c>
      <c r="B708" s="2" t="s">
        <v>1682</v>
      </c>
      <c r="C708" s="2" t="s">
        <v>1683</v>
      </c>
      <c r="D708" s="2">
        <f>IFERROR(__xludf.DUMMYFUNCTION("""COMPUTED_VALUE"""),6.9070508234E10)</f>
        <v>69070508234</v>
      </c>
    </row>
    <row r="709">
      <c r="A709" s="2">
        <v>6.9070505231E10</v>
      </c>
      <c r="B709" s="2" t="s">
        <v>1684</v>
      </c>
      <c r="C709" s="2" t="s">
        <v>1685</v>
      </c>
      <c r="D709" s="2">
        <f>IFERROR(__xludf.DUMMYFUNCTION("""COMPUTED_VALUE"""),6.9070505231E10)</f>
        <v>69070505231</v>
      </c>
    </row>
    <row r="710">
      <c r="A710" s="2">
        <v>6.9070501833E10</v>
      </c>
      <c r="B710" s="2" t="s">
        <v>1686</v>
      </c>
      <c r="C710" s="2" t="s">
        <v>1687</v>
      </c>
      <c r="D710" s="2">
        <f>IFERROR(__xludf.DUMMYFUNCTION("""COMPUTED_VALUE"""),6.9070501833E10)</f>
        <v>69070501833</v>
      </c>
    </row>
    <row r="711">
      <c r="A711" s="2">
        <v>6.9070500298E10</v>
      </c>
      <c r="B711" s="2" t="s">
        <v>1688</v>
      </c>
      <c r="C711" s="2" t="s">
        <v>1689</v>
      </c>
      <c r="D711" s="2">
        <f>IFERROR(__xludf.DUMMYFUNCTION("""COMPUTED_VALUE"""),6.9070500298E10)</f>
        <v>69070500298</v>
      </c>
    </row>
    <row r="712">
      <c r="A712" s="2">
        <v>6.907050824E10</v>
      </c>
      <c r="B712" s="2" t="s">
        <v>871</v>
      </c>
      <c r="C712" s="2" t="s">
        <v>1690</v>
      </c>
      <c r="D712" s="2">
        <f>IFERROR(__xludf.DUMMYFUNCTION("""COMPUTED_VALUE"""),6.907050824E10)</f>
        <v>69070508240</v>
      </c>
    </row>
    <row r="713">
      <c r="A713" s="2">
        <v>6.9070502223E10</v>
      </c>
      <c r="B713" s="2" t="s">
        <v>1691</v>
      </c>
      <c r="C713" s="2" t="s">
        <v>1692</v>
      </c>
      <c r="D713" s="2">
        <f>IFERROR(__xludf.DUMMYFUNCTION("""COMPUTED_VALUE"""),6.9070502223E10)</f>
        <v>69070502223</v>
      </c>
    </row>
    <row r="714">
      <c r="A714" s="2">
        <v>6.9070501269E10</v>
      </c>
      <c r="B714" s="2" t="s">
        <v>1693</v>
      </c>
      <c r="C714" s="2" t="s">
        <v>1694</v>
      </c>
      <c r="D714" s="2">
        <f>IFERROR(__xludf.DUMMYFUNCTION("""COMPUTED_VALUE"""),6.9070501269E10)</f>
        <v>69070501269</v>
      </c>
    </row>
    <row r="715">
      <c r="A715" s="2">
        <v>6.9070501221E10</v>
      </c>
      <c r="B715" s="2" t="s">
        <v>338</v>
      </c>
      <c r="C715" s="2" t="s">
        <v>1695</v>
      </c>
      <c r="D715" s="2">
        <f>IFERROR(__xludf.DUMMYFUNCTION("""COMPUTED_VALUE"""),6.9070501221E10)</f>
        <v>69070501221</v>
      </c>
    </row>
    <row r="716">
      <c r="A716" s="2">
        <v>6.9070500218E10</v>
      </c>
      <c r="B716" s="2" t="s">
        <v>1696</v>
      </c>
      <c r="C716" s="2" t="s">
        <v>1697</v>
      </c>
      <c r="D716" s="2">
        <f>IFERROR(__xludf.DUMMYFUNCTION("""COMPUTED_VALUE"""),6.9070500218E10)</f>
        <v>69070500218</v>
      </c>
    </row>
    <row r="717">
      <c r="A717" s="2">
        <v>6.9070505202E10</v>
      </c>
      <c r="B717" s="2" t="s">
        <v>1698</v>
      </c>
      <c r="C717" s="2" t="s">
        <v>1699</v>
      </c>
      <c r="D717" s="2">
        <f>IFERROR(__xludf.DUMMYFUNCTION("""COMPUTED_VALUE"""),6.9070505202E10)</f>
        <v>69070505202</v>
      </c>
    </row>
    <row r="718">
      <c r="A718" s="2">
        <v>6.9070501209E10</v>
      </c>
      <c r="B718" s="2" t="s">
        <v>1701</v>
      </c>
      <c r="C718" s="2" t="s">
        <v>1702</v>
      </c>
      <c r="D718" s="2">
        <f>IFERROR(__xludf.DUMMYFUNCTION("""COMPUTED_VALUE"""),6.9070501209E10)</f>
        <v>69070501209</v>
      </c>
    </row>
    <row r="719">
      <c r="A719" s="2">
        <v>6.907050025E10</v>
      </c>
      <c r="B719" s="2" t="s">
        <v>558</v>
      </c>
      <c r="C719" s="2" t="s">
        <v>1706</v>
      </c>
      <c r="D719" s="2">
        <f>IFERROR(__xludf.DUMMYFUNCTION("""COMPUTED_VALUE"""),6.907050025E10)</f>
        <v>69070500250</v>
      </c>
    </row>
    <row r="720">
      <c r="A720" s="2">
        <v>6.907050023E10</v>
      </c>
      <c r="B720" s="2" t="s">
        <v>1708</v>
      </c>
      <c r="C720" s="2" t="s">
        <v>1709</v>
      </c>
      <c r="D720" s="2">
        <f>IFERROR(__xludf.DUMMYFUNCTION("""COMPUTED_VALUE"""),6.907050023E10)</f>
        <v>69070500230</v>
      </c>
    </row>
    <row r="721">
      <c r="A721" s="2">
        <v>6.9070500018E10</v>
      </c>
      <c r="B721" s="2" t="s">
        <v>68</v>
      </c>
      <c r="C721" s="2" t="s">
        <v>1713</v>
      </c>
      <c r="D721" s="2">
        <f>IFERROR(__xludf.DUMMYFUNCTION("""COMPUTED_VALUE"""),6.9070500018E10)</f>
        <v>69070500018</v>
      </c>
    </row>
    <row r="722">
      <c r="A722" s="2">
        <v>6.9070506475E10</v>
      </c>
      <c r="B722" s="2" t="s">
        <v>1714</v>
      </c>
      <c r="C722" s="2" t="s">
        <v>1715</v>
      </c>
      <c r="D722" s="2">
        <f>IFERROR(__xludf.DUMMYFUNCTION("""COMPUTED_VALUE"""),6.9070506475E10)</f>
        <v>69070506475</v>
      </c>
    </row>
    <row r="723">
      <c r="A723" s="2">
        <v>6.9070501845E10</v>
      </c>
      <c r="B723" s="2" t="s">
        <v>1716</v>
      </c>
      <c r="C723" s="2" t="s">
        <v>1717</v>
      </c>
      <c r="D723" s="2">
        <f>IFERROR(__xludf.DUMMYFUNCTION("""COMPUTED_VALUE"""),6.9070501845E10)</f>
        <v>69070501845</v>
      </c>
    </row>
    <row r="724">
      <c r="A724" s="2">
        <v>6.9070501828E10</v>
      </c>
      <c r="B724" s="2" t="s">
        <v>1718</v>
      </c>
      <c r="C724" s="2" t="s">
        <v>1719</v>
      </c>
      <c r="D724" s="2">
        <f>IFERROR(__xludf.DUMMYFUNCTION("""COMPUTED_VALUE"""),6.9070501828E10)</f>
        <v>69070501828</v>
      </c>
    </row>
    <row r="725">
      <c r="A725" s="2">
        <v>6.9070506411E10</v>
      </c>
      <c r="B725" s="2" t="s">
        <v>600</v>
      </c>
      <c r="C725" s="2" t="s">
        <v>1720</v>
      </c>
      <c r="D725" s="2">
        <f>IFERROR(__xludf.DUMMYFUNCTION("""COMPUTED_VALUE"""),6.9070506411E10)</f>
        <v>69070506411</v>
      </c>
    </row>
    <row r="726">
      <c r="A726" s="2">
        <v>6.9070509423E10</v>
      </c>
      <c r="B726" s="2" t="s">
        <v>1721</v>
      </c>
      <c r="C726" s="2" t="s">
        <v>1722</v>
      </c>
      <c r="D726" s="2">
        <f>IFERROR(__xludf.DUMMYFUNCTION("""COMPUTED_VALUE"""),6.9070509423E10)</f>
        <v>69070509423</v>
      </c>
    </row>
    <row r="727">
      <c r="A727" s="2">
        <v>6.9070509468E10</v>
      </c>
      <c r="B727" s="2" t="s">
        <v>205</v>
      </c>
      <c r="C727" s="2" t="s">
        <v>1724</v>
      </c>
      <c r="D727" s="2">
        <f>IFERROR(__xludf.DUMMYFUNCTION("""COMPUTED_VALUE"""),6.9070509468E10)</f>
        <v>69070509468</v>
      </c>
    </row>
    <row r="728">
      <c r="A728" s="2">
        <v>6.9070509425E10</v>
      </c>
      <c r="B728" s="2" t="s">
        <v>1725</v>
      </c>
      <c r="C728" s="2" t="s">
        <v>1726</v>
      </c>
      <c r="D728" s="2">
        <f>IFERROR(__xludf.DUMMYFUNCTION("""COMPUTED_VALUE"""),6.9070509425E10)</f>
        <v>69070509425</v>
      </c>
    </row>
    <row r="729">
      <c r="A729" s="2">
        <v>6.9070509464E10</v>
      </c>
      <c r="B729" s="2" t="s">
        <v>1727</v>
      </c>
      <c r="C729" s="2" t="s">
        <v>1728</v>
      </c>
      <c r="D729" s="2">
        <f>IFERROR(__xludf.DUMMYFUNCTION("""COMPUTED_VALUE"""),6.9070509464E10)</f>
        <v>69070509464</v>
      </c>
    </row>
    <row r="730">
      <c r="A730" s="2">
        <v>6.9070508216E10</v>
      </c>
      <c r="B730" s="2" t="s">
        <v>1729</v>
      </c>
      <c r="C730" s="2" t="s">
        <v>1730</v>
      </c>
      <c r="D730" s="2">
        <f>IFERROR(__xludf.DUMMYFUNCTION("""COMPUTED_VALUE"""),6.9070508216E10)</f>
        <v>69070508216</v>
      </c>
    </row>
    <row r="731">
      <c r="A731" s="2">
        <v>6.9070502216E10</v>
      </c>
      <c r="B731" s="2" t="s">
        <v>1731</v>
      </c>
      <c r="C731" s="2" t="s">
        <v>1732</v>
      </c>
      <c r="D731" s="2">
        <f>IFERROR(__xludf.DUMMYFUNCTION("""COMPUTED_VALUE"""),6.9070502216E10)</f>
        <v>69070502216</v>
      </c>
    </row>
    <row r="732">
      <c r="A732" s="2">
        <v>6.9070502203E10</v>
      </c>
      <c r="B732" s="2" t="s">
        <v>1733</v>
      </c>
      <c r="C732" s="2" t="s">
        <v>986</v>
      </c>
      <c r="D732" s="2">
        <f>IFERROR(__xludf.DUMMYFUNCTION("""COMPUTED_VALUE"""),6.9070502203E10)</f>
        <v>69070502203</v>
      </c>
    </row>
    <row r="733">
      <c r="A733" s="2">
        <v>6.907050102E10</v>
      </c>
      <c r="B733" s="2" t="s">
        <v>296</v>
      </c>
      <c r="C733" s="2" t="s">
        <v>1734</v>
      </c>
      <c r="D733" s="2">
        <f>IFERROR(__xludf.DUMMYFUNCTION("""COMPUTED_VALUE"""),6.907050102E10)</f>
        <v>69070501020</v>
      </c>
    </row>
    <row r="734">
      <c r="A734" s="2">
        <v>6.907050042E10</v>
      </c>
      <c r="B734" s="2" t="s">
        <v>1464</v>
      </c>
      <c r="C734" s="2" t="s">
        <v>1735</v>
      </c>
      <c r="D734" s="2">
        <f>IFERROR(__xludf.DUMMYFUNCTION("""COMPUTED_VALUE"""),6.907050042E10)</f>
        <v>69070500420</v>
      </c>
    </row>
    <row r="735">
      <c r="A735" s="2">
        <v>6.9070506473E10</v>
      </c>
      <c r="B735" s="2" t="s">
        <v>1736</v>
      </c>
      <c r="C735" s="2" t="s">
        <v>1737</v>
      </c>
      <c r="D735" s="2">
        <f>IFERROR(__xludf.DUMMYFUNCTION("""COMPUTED_VALUE"""),6.9070506473E10)</f>
        <v>69070506473</v>
      </c>
    </row>
    <row r="736">
      <c r="A736" s="2">
        <v>6.9070506455E10</v>
      </c>
      <c r="B736" s="2" t="s">
        <v>1738</v>
      </c>
      <c r="C736" s="2" t="s">
        <v>1739</v>
      </c>
      <c r="D736" s="2">
        <f>IFERROR(__xludf.DUMMYFUNCTION("""COMPUTED_VALUE"""),6.9070506455E10)</f>
        <v>69070506455</v>
      </c>
    </row>
    <row r="737">
      <c r="A737" s="2">
        <v>6.9070502521E10</v>
      </c>
      <c r="B737" s="2" t="s">
        <v>1740</v>
      </c>
      <c r="C737" s="2" t="s">
        <v>1741</v>
      </c>
      <c r="D737" s="2">
        <f>IFERROR(__xludf.DUMMYFUNCTION("""COMPUTED_VALUE"""),6.9070502521E10)</f>
        <v>69070502521</v>
      </c>
    </row>
    <row r="738">
      <c r="A738" s="2">
        <v>6.9070500263E10</v>
      </c>
      <c r="B738" s="2" t="s">
        <v>159</v>
      </c>
      <c r="C738" s="2" t="s">
        <v>1742</v>
      </c>
      <c r="D738" s="2">
        <f>IFERROR(__xludf.DUMMYFUNCTION("""COMPUTED_VALUE"""),6.9070500263E10)</f>
        <v>69070500263</v>
      </c>
    </row>
    <row r="739">
      <c r="A739" s="2">
        <v>6.9070509449E10</v>
      </c>
      <c r="B739" s="2" t="s">
        <v>1743</v>
      </c>
      <c r="C739" s="2" t="s">
        <v>1744</v>
      </c>
      <c r="D739" s="2">
        <f>IFERROR(__xludf.DUMMYFUNCTION("""COMPUTED_VALUE"""),6.9070509449E10)</f>
        <v>69070509449</v>
      </c>
    </row>
    <row r="740">
      <c r="A740" s="2">
        <v>6.9070502211E10</v>
      </c>
      <c r="B740" s="2" t="s">
        <v>1745</v>
      </c>
      <c r="C740" s="2" t="s">
        <v>1746</v>
      </c>
      <c r="D740" s="2">
        <f>IFERROR(__xludf.DUMMYFUNCTION("""COMPUTED_VALUE"""),6.9070502211E10)</f>
        <v>69070502211</v>
      </c>
    </row>
    <row r="741">
      <c r="A741" s="2">
        <v>6.9070506419E10</v>
      </c>
      <c r="B741" s="2" t="s">
        <v>1747</v>
      </c>
      <c r="C741" s="2" t="s">
        <v>1748</v>
      </c>
      <c r="D741" s="2">
        <f>IFERROR(__xludf.DUMMYFUNCTION("""COMPUTED_VALUE"""),6.9070506419E10)</f>
        <v>69070506419</v>
      </c>
    </row>
    <row r="742">
      <c r="A742" s="2">
        <v>6.9070506416E10</v>
      </c>
      <c r="B742" s="2" t="s">
        <v>902</v>
      </c>
      <c r="C742" s="2" t="s">
        <v>1749</v>
      </c>
      <c r="D742" s="2">
        <f>IFERROR(__xludf.DUMMYFUNCTION("""COMPUTED_VALUE"""),6.9070506416E10)</f>
        <v>69070506416</v>
      </c>
    </row>
    <row r="743">
      <c r="A743" s="2">
        <v>6.9070500484E10</v>
      </c>
      <c r="B743" s="2" t="s">
        <v>1751</v>
      </c>
      <c r="C743" s="2" t="s">
        <v>1752</v>
      </c>
      <c r="D743" s="2">
        <f>IFERROR(__xludf.DUMMYFUNCTION("""COMPUTED_VALUE"""),6.9070500484E10)</f>
        <v>69070500484</v>
      </c>
    </row>
    <row r="744">
      <c r="A744" s="2">
        <v>6.9070500264E10</v>
      </c>
      <c r="B744" s="2" t="s">
        <v>159</v>
      </c>
      <c r="C744" s="2" t="s">
        <v>1755</v>
      </c>
      <c r="D744" s="2">
        <f>IFERROR(__xludf.DUMMYFUNCTION("""COMPUTED_VALUE"""),6.9070500264E10)</f>
        <v>69070500264</v>
      </c>
    </row>
    <row r="745">
      <c r="A745" s="2">
        <v>6.9070502441E10</v>
      </c>
      <c r="B745" s="2" t="s">
        <v>1758</v>
      </c>
      <c r="C745" s="2" t="s">
        <v>1759</v>
      </c>
      <c r="D745" s="2">
        <f>IFERROR(__xludf.DUMMYFUNCTION("""COMPUTED_VALUE"""),6.9070502441E10)</f>
        <v>69070502441</v>
      </c>
    </row>
    <row r="746">
      <c r="A746" s="2">
        <v>6.9070508204E10</v>
      </c>
      <c r="B746" s="2" t="s">
        <v>1762</v>
      </c>
      <c r="C746" s="2" t="s">
        <v>1764</v>
      </c>
      <c r="D746" s="2">
        <f>IFERROR(__xludf.DUMMYFUNCTION("""COMPUTED_VALUE"""),6.9070508204E10)</f>
        <v>69070508204</v>
      </c>
    </row>
    <row r="747">
      <c r="A747" s="2">
        <v>6.9070501271E10</v>
      </c>
      <c r="B747" s="2" t="s">
        <v>1765</v>
      </c>
      <c r="C747" s="2" t="s">
        <v>1766</v>
      </c>
      <c r="D747" s="2">
        <f>IFERROR(__xludf.DUMMYFUNCTION("""COMPUTED_VALUE"""),6.9070501271E10)</f>
        <v>69070501271</v>
      </c>
    </row>
    <row r="748">
      <c r="A748" s="2">
        <v>6.9070502434E10</v>
      </c>
      <c r="B748" s="2" t="s">
        <v>1202</v>
      </c>
      <c r="C748" s="2" t="s">
        <v>1767</v>
      </c>
      <c r="D748" s="2">
        <f>IFERROR(__xludf.DUMMYFUNCTION("""COMPUTED_VALUE"""),6.9070502434E10)</f>
        <v>69070502434</v>
      </c>
    </row>
    <row r="749">
      <c r="A749" s="2">
        <v>6.9070508247E10</v>
      </c>
      <c r="B749" s="2" t="s">
        <v>107</v>
      </c>
      <c r="C749" s="2" t="s">
        <v>1768</v>
      </c>
      <c r="D749" s="2">
        <f>IFERROR(__xludf.DUMMYFUNCTION("""COMPUTED_VALUE"""),6.9070508247E10)</f>
        <v>69070508247</v>
      </c>
    </row>
    <row r="750">
      <c r="A750" s="2">
        <v>6.907050963E10</v>
      </c>
      <c r="B750" s="2" t="s">
        <v>1769</v>
      </c>
      <c r="C750" s="2" t="s">
        <v>1770</v>
      </c>
      <c r="D750" s="2">
        <f>IFERROR(__xludf.DUMMYFUNCTION("""COMPUTED_VALUE"""),6.907050963E10)</f>
        <v>69070509630</v>
      </c>
    </row>
    <row r="751">
      <c r="A751" s="2">
        <v>6.9070502401E10</v>
      </c>
      <c r="B751" s="2" t="s">
        <v>104</v>
      </c>
      <c r="C751" s="2" t="s">
        <v>1771</v>
      </c>
      <c r="D751" s="2">
        <f>IFERROR(__xludf.DUMMYFUNCTION("""COMPUTED_VALUE"""),6.9070502401E10)</f>
        <v>69070502401</v>
      </c>
    </row>
    <row r="752">
      <c r="A752" s="2">
        <v>6.9070508225E10</v>
      </c>
      <c r="B752" s="2" t="s">
        <v>1772</v>
      </c>
      <c r="C752" s="2" t="s">
        <v>1773</v>
      </c>
      <c r="D752" s="2">
        <f>IFERROR(__xludf.DUMMYFUNCTION("""COMPUTED_VALUE"""),6.9070508225E10)</f>
        <v>69070508225</v>
      </c>
    </row>
    <row r="753">
      <c r="A753" s="2">
        <v>6.9070501848E10</v>
      </c>
      <c r="B753" s="2" t="s">
        <v>1774</v>
      </c>
      <c r="C753" s="2" t="s">
        <v>1775</v>
      </c>
      <c r="D753" s="2">
        <f>IFERROR(__xludf.DUMMYFUNCTION("""COMPUTED_VALUE"""),6.9070501848E10)</f>
        <v>69070501848</v>
      </c>
    </row>
    <row r="754">
      <c r="A754" s="2">
        <v>6.9070506415E10</v>
      </c>
      <c r="B754" s="2" t="s">
        <v>1776</v>
      </c>
      <c r="C754" s="2" t="s">
        <v>1777</v>
      </c>
      <c r="D754" s="2">
        <f>IFERROR(__xludf.DUMMYFUNCTION("""COMPUTED_VALUE"""),6.9070506415E10)</f>
        <v>69070506415</v>
      </c>
    </row>
    <row r="755">
      <c r="A755" s="2">
        <v>6.9070500306E10</v>
      </c>
      <c r="B755" s="2" t="s">
        <v>920</v>
      </c>
      <c r="C755" s="2" t="s">
        <v>1778</v>
      </c>
      <c r="D755" s="2">
        <f>IFERROR(__xludf.DUMMYFUNCTION("""COMPUTED_VALUE"""),6.9070500306E10)</f>
        <v>69070500306</v>
      </c>
    </row>
    <row r="756">
      <c r="A756" s="2">
        <v>6.9070509815E10</v>
      </c>
      <c r="B756" s="2" t="s">
        <v>60</v>
      </c>
      <c r="C756" s="2" t="s">
        <v>1779</v>
      </c>
      <c r="D756" s="2">
        <f>IFERROR(__xludf.DUMMYFUNCTION("""COMPUTED_VALUE"""),6.9070509815E10)</f>
        <v>69070509815</v>
      </c>
    </row>
    <row r="757">
      <c r="A757" s="2">
        <v>6.9070500266E10</v>
      </c>
      <c r="B757" s="2" t="s">
        <v>1780</v>
      </c>
      <c r="C757" s="2" t="s">
        <v>1781</v>
      </c>
      <c r="D757" s="2">
        <f>IFERROR(__xludf.DUMMYFUNCTION("""COMPUTED_VALUE"""),6.9070500266E10)</f>
        <v>69070500266</v>
      </c>
    </row>
    <row r="758">
      <c r="A758" s="2">
        <v>6.9070508806E10</v>
      </c>
      <c r="B758" s="2" t="s">
        <v>1782</v>
      </c>
      <c r="C758" s="2" t="s">
        <v>1783</v>
      </c>
      <c r="D758" s="2">
        <f>IFERROR(__xludf.DUMMYFUNCTION("""COMPUTED_VALUE"""),6.9070508806E10)</f>
        <v>69070508806</v>
      </c>
    </row>
    <row r="759">
      <c r="A759" s="2">
        <v>6.9070509445E10</v>
      </c>
      <c r="B759" s="2" t="s">
        <v>1784</v>
      </c>
      <c r="C759" s="2" t="s">
        <v>1785</v>
      </c>
      <c r="D759" s="2">
        <f>IFERROR(__xludf.DUMMYFUNCTION("""COMPUTED_VALUE"""),6.9070509445E10)</f>
        <v>69070509445</v>
      </c>
    </row>
    <row r="760">
      <c r="A760" s="2">
        <v>6.9070509459E10</v>
      </c>
      <c r="B760" s="2" t="s">
        <v>1786</v>
      </c>
      <c r="C760" s="2" t="s">
        <v>1787</v>
      </c>
      <c r="D760" s="2">
        <f>IFERROR(__xludf.DUMMYFUNCTION("""COMPUTED_VALUE"""),6.9070509459E10)</f>
        <v>69070509459</v>
      </c>
    </row>
    <row r="761">
      <c r="A761" s="2">
        <v>6.9070502437E10</v>
      </c>
      <c r="B761" s="2" t="s">
        <v>1788</v>
      </c>
      <c r="C761" s="2" t="s">
        <v>1789</v>
      </c>
      <c r="D761" s="2">
        <f>IFERROR(__xludf.DUMMYFUNCTION("""COMPUTED_VALUE"""),6.9070502437E10)</f>
        <v>69070502437</v>
      </c>
    </row>
    <row r="762">
      <c r="A762" s="2">
        <v>6.9070509402E10</v>
      </c>
      <c r="B762" s="2" t="s">
        <v>1790</v>
      </c>
      <c r="C762" s="2" t="s">
        <v>1791</v>
      </c>
      <c r="D762" s="2">
        <f>IFERROR(__xludf.DUMMYFUNCTION("""COMPUTED_VALUE"""),6.9070509402E10)</f>
        <v>69070509402</v>
      </c>
    </row>
    <row r="763">
      <c r="A763" s="2">
        <v>6.9070500278E10</v>
      </c>
      <c r="B763" s="2" t="s">
        <v>1792</v>
      </c>
      <c r="C763" s="2" t="s">
        <v>1793</v>
      </c>
      <c r="D763" s="2">
        <f>IFERROR(__xludf.DUMMYFUNCTION("""COMPUTED_VALUE"""),6.9070500278E10)</f>
        <v>69070500278</v>
      </c>
    </row>
    <row r="764">
      <c r="A764" s="2">
        <v>6.9070506407E10</v>
      </c>
      <c r="B764" s="2" t="s">
        <v>1794</v>
      </c>
      <c r="C764" s="2" t="s">
        <v>1796</v>
      </c>
      <c r="D764" s="2">
        <f>IFERROR(__xludf.DUMMYFUNCTION("""COMPUTED_VALUE"""),6.9070506407E10)</f>
        <v>69070506407</v>
      </c>
    </row>
    <row r="765">
      <c r="A765" s="2">
        <v>6.9070508237E10</v>
      </c>
      <c r="B765" s="2" t="s">
        <v>1799</v>
      </c>
      <c r="C765" s="2" t="s">
        <v>1800</v>
      </c>
      <c r="D765" s="2">
        <f>IFERROR(__xludf.DUMMYFUNCTION("""COMPUTED_VALUE"""),6.9070508237E10)</f>
        <v>69070508237</v>
      </c>
    </row>
    <row r="766">
      <c r="A766" s="2">
        <v>6.9070509404E10</v>
      </c>
      <c r="B766" s="2" t="s">
        <v>1803</v>
      </c>
      <c r="C766" s="2" t="s">
        <v>1805</v>
      </c>
      <c r="D766" s="2">
        <f>IFERROR(__xludf.DUMMYFUNCTION("""COMPUTED_VALUE"""),6.9070509404E10)</f>
        <v>69070509404</v>
      </c>
    </row>
    <row r="767">
      <c r="A767" s="2">
        <v>6.9070502431E10</v>
      </c>
      <c r="B767" s="2" t="s">
        <v>1807</v>
      </c>
      <c r="C767" s="2" t="s">
        <v>1808</v>
      </c>
      <c r="D767" s="2">
        <f>IFERROR(__xludf.DUMMYFUNCTION("""COMPUTED_VALUE"""),6.9070502431E10)</f>
        <v>69070502431</v>
      </c>
    </row>
    <row r="768">
      <c r="A768" s="2">
        <v>6.9070509446E10</v>
      </c>
      <c r="B768" s="2" t="s">
        <v>1811</v>
      </c>
      <c r="C768" s="2" t="s">
        <v>1812</v>
      </c>
      <c r="D768" s="2">
        <f>IFERROR(__xludf.DUMMYFUNCTION("""COMPUTED_VALUE"""),6.9070509446E10)</f>
        <v>69070509446</v>
      </c>
    </row>
    <row r="769">
      <c r="A769" s="2">
        <v>6.9070502233E10</v>
      </c>
      <c r="B769" s="2" t="s">
        <v>249</v>
      </c>
      <c r="C769" s="2" t="s">
        <v>1813</v>
      </c>
      <c r="D769" s="2">
        <f>IFERROR(__xludf.DUMMYFUNCTION("""COMPUTED_VALUE"""),6.9070502233E10)</f>
        <v>69070502233</v>
      </c>
    </row>
    <row r="770">
      <c r="A770" s="2">
        <v>6.9070500303E10</v>
      </c>
      <c r="B770" s="2" t="s">
        <v>1814</v>
      </c>
      <c r="C770" s="2" t="s">
        <v>1815</v>
      </c>
      <c r="D770" s="2">
        <f>IFERROR(__xludf.DUMMYFUNCTION("""COMPUTED_VALUE"""),6.9070500303E10)</f>
        <v>69070500303</v>
      </c>
    </row>
    <row r="771">
      <c r="A771" s="2">
        <v>6.9070501242E10</v>
      </c>
      <c r="B771" s="2" t="s">
        <v>1816</v>
      </c>
      <c r="C771" s="2" t="s">
        <v>1817</v>
      </c>
      <c r="D771" s="2">
        <f>IFERROR(__xludf.DUMMYFUNCTION("""COMPUTED_VALUE"""),6.9070501242E10)</f>
        <v>69070501242</v>
      </c>
    </row>
    <row r="772">
      <c r="A772" s="2">
        <v>6.9070501251E10</v>
      </c>
      <c r="B772" s="2" t="s">
        <v>1818</v>
      </c>
      <c r="C772" s="2" t="s">
        <v>1819</v>
      </c>
      <c r="D772" s="2">
        <f>IFERROR(__xludf.DUMMYFUNCTION("""COMPUTED_VALUE"""),6.9070501251E10)</f>
        <v>69070501251</v>
      </c>
    </row>
    <row r="773">
      <c r="A773" s="2">
        <v>6.9070500431E10</v>
      </c>
      <c r="B773" s="2" t="s">
        <v>636</v>
      </c>
      <c r="C773" s="2" t="s">
        <v>637</v>
      </c>
      <c r="D773" s="2">
        <f>IFERROR(__xludf.DUMMYFUNCTION("""COMPUTED_VALUE"""),6.9070500431E10)</f>
        <v>69070500431</v>
      </c>
    </row>
    <row r="774">
      <c r="A774" s="2">
        <v>6.9070502405E10</v>
      </c>
      <c r="B774" s="2" t="s">
        <v>1820</v>
      </c>
      <c r="C774" s="2" t="s">
        <v>1821</v>
      </c>
      <c r="D774" s="2">
        <f>IFERROR(__xludf.DUMMYFUNCTION("""COMPUTED_VALUE"""),6.9070502405E10)</f>
        <v>69070502405</v>
      </c>
    </row>
    <row r="775">
      <c r="A775" s="2">
        <v>6.9070501213E10</v>
      </c>
      <c r="B775" s="2" t="s">
        <v>1822</v>
      </c>
      <c r="C775" s="2" t="s">
        <v>1823</v>
      </c>
      <c r="D775" s="2">
        <f>IFERROR(__xludf.DUMMYFUNCTION("""COMPUTED_VALUE"""),6.9070501213E10)</f>
        <v>69070501213</v>
      </c>
    </row>
    <row r="776">
      <c r="A776" s="2">
        <v>6.9070508804E10</v>
      </c>
      <c r="B776" s="2" t="s">
        <v>1824</v>
      </c>
      <c r="C776" s="2" t="s">
        <v>1825</v>
      </c>
      <c r="D776" s="2">
        <f>IFERROR(__xludf.DUMMYFUNCTION("""COMPUTED_VALUE"""),6.9070508804E10)</f>
        <v>69070508804</v>
      </c>
    </row>
    <row r="777">
      <c r="A777" s="2">
        <v>6.9070500628E10</v>
      </c>
      <c r="B777" s="2" t="s">
        <v>1046</v>
      </c>
      <c r="C777" s="2" t="s">
        <v>1826</v>
      </c>
      <c r="D777" s="2">
        <f>IFERROR(__xludf.DUMMYFUNCTION("""COMPUTED_VALUE"""),6.9070500628E10)</f>
        <v>69070500628</v>
      </c>
    </row>
    <row r="778">
      <c r="A778" s="2">
        <v>6.9070500825E10</v>
      </c>
      <c r="B778" s="2" t="s">
        <v>1827</v>
      </c>
      <c r="C778" s="2" t="s">
        <v>1828</v>
      </c>
      <c r="D778" s="2">
        <f>IFERROR(__xludf.DUMMYFUNCTION("""COMPUTED_VALUE"""),6.9070500825E10)</f>
        <v>69070500825</v>
      </c>
    </row>
    <row r="779">
      <c r="A779" s="2">
        <v>6.9070508235E10</v>
      </c>
      <c r="B779" s="2" t="s">
        <v>574</v>
      </c>
      <c r="C779" s="2" t="s">
        <v>1829</v>
      </c>
      <c r="D779" s="2">
        <f>IFERROR(__xludf.DUMMYFUNCTION("""COMPUTED_VALUE"""),6.9070508235E10)</f>
        <v>69070508235</v>
      </c>
    </row>
    <row r="780">
      <c r="A780" s="2">
        <v>6.9070509826E10</v>
      </c>
      <c r="B780" s="2" t="s">
        <v>1830</v>
      </c>
      <c r="C780" s="2" t="s">
        <v>1831</v>
      </c>
      <c r="D780" s="2">
        <f>IFERROR(__xludf.DUMMYFUNCTION("""COMPUTED_VALUE"""),6.9070509826E10)</f>
        <v>69070509826</v>
      </c>
    </row>
    <row r="781">
      <c r="A781" s="2">
        <v>6.9070502454E10</v>
      </c>
      <c r="B781" s="2" t="s">
        <v>1832</v>
      </c>
      <c r="C781" s="2" t="s">
        <v>1833</v>
      </c>
      <c r="D781" s="2">
        <f>IFERROR(__xludf.DUMMYFUNCTION("""COMPUTED_VALUE"""),6.9070502454E10)</f>
        <v>69070502454</v>
      </c>
    </row>
    <row r="782">
      <c r="A782" s="2">
        <v>6.9070500886E10</v>
      </c>
      <c r="B782" s="2" t="s">
        <v>1834</v>
      </c>
      <c r="C782" s="2" t="s">
        <v>1835</v>
      </c>
      <c r="D782" s="2">
        <f>IFERROR(__xludf.DUMMYFUNCTION("""COMPUTED_VALUE"""),6.9070500886E10)</f>
        <v>69070500886</v>
      </c>
    </row>
    <row r="783">
      <c r="A783" s="2">
        <v>6.9070502222E10</v>
      </c>
      <c r="B783" s="2" t="s">
        <v>172</v>
      </c>
      <c r="C783" s="2" t="s">
        <v>1836</v>
      </c>
      <c r="D783" s="2">
        <f>IFERROR(__xludf.DUMMYFUNCTION("""COMPUTED_VALUE"""),6.9070502222E10)</f>
        <v>69070502222</v>
      </c>
    </row>
    <row r="784">
      <c r="A784" s="2">
        <v>6.9070502495E10</v>
      </c>
      <c r="B784" s="2" t="s">
        <v>1837</v>
      </c>
      <c r="C784" s="2" t="s">
        <v>1838</v>
      </c>
      <c r="D784" s="2">
        <f>IFERROR(__xludf.DUMMYFUNCTION("""COMPUTED_VALUE"""),6.9070502495E10)</f>
        <v>69070502495</v>
      </c>
    </row>
    <row r="785">
      <c r="A785" s="2">
        <v>6.9070500678E10</v>
      </c>
      <c r="B785" s="2" t="s">
        <v>1839</v>
      </c>
      <c r="C785" s="2" t="s">
        <v>1840</v>
      </c>
      <c r="D785" s="2">
        <f>IFERROR(__xludf.DUMMYFUNCTION("""COMPUTED_VALUE"""),6.9070500678E10)</f>
        <v>69070500678</v>
      </c>
    </row>
    <row r="786">
      <c r="A786" s="2">
        <v>6.9070500006E10</v>
      </c>
      <c r="B786" s="2" t="s">
        <v>1841</v>
      </c>
      <c r="C786" s="2" t="s">
        <v>1842</v>
      </c>
      <c r="D786" s="2">
        <f>IFERROR(__xludf.DUMMYFUNCTION("""COMPUTED_VALUE"""),6.9070500006E10)</f>
        <v>69070500006</v>
      </c>
    </row>
    <row r="787">
      <c r="A787" s="2">
        <v>6.907050045E10</v>
      </c>
      <c r="B787" s="2" t="s">
        <v>1845</v>
      </c>
      <c r="C787" s="2" t="s">
        <v>1846</v>
      </c>
      <c r="D787" s="2">
        <f>IFERROR(__xludf.DUMMYFUNCTION("""COMPUTED_VALUE"""),6.907050045E10)</f>
        <v>69070500450</v>
      </c>
    </row>
    <row r="788">
      <c r="A788" s="2">
        <v>6.9070500032E10</v>
      </c>
      <c r="B788" s="2" t="s">
        <v>1849</v>
      </c>
      <c r="C788" s="2" t="s">
        <v>1851</v>
      </c>
      <c r="D788" s="2">
        <f>IFERROR(__xludf.DUMMYFUNCTION("""COMPUTED_VALUE"""),6.9070500032E10)</f>
        <v>69070500032</v>
      </c>
    </row>
    <row r="789">
      <c r="A789" s="2">
        <v>6.9070501008E10</v>
      </c>
      <c r="B789" s="2" t="s">
        <v>1853</v>
      </c>
      <c r="C789" s="2" t="s">
        <v>1855</v>
      </c>
      <c r="D789" s="2">
        <f>IFERROR(__xludf.DUMMYFUNCTION("""COMPUTED_VALUE"""),6.9070501008E10)</f>
        <v>69070501008</v>
      </c>
    </row>
    <row r="790">
      <c r="A790" s="2">
        <v>6.9070501066E10</v>
      </c>
      <c r="B790" s="2" t="s">
        <v>1858</v>
      </c>
      <c r="C790" s="2" t="s">
        <v>1859</v>
      </c>
      <c r="D790" s="2">
        <f>IFERROR(__xludf.DUMMYFUNCTION("""COMPUTED_VALUE"""),6.9070501066E10)</f>
        <v>69070501066</v>
      </c>
    </row>
    <row r="791">
      <c r="A791" s="2">
        <v>6.9070509418E10</v>
      </c>
      <c r="B791" s="2" t="s">
        <v>1860</v>
      </c>
      <c r="C791" s="2" t="s">
        <v>1861</v>
      </c>
      <c r="D791" s="2">
        <f>IFERROR(__xludf.DUMMYFUNCTION("""COMPUTED_VALUE"""),6.9070509418E10)</f>
        <v>69070509418</v>
      </c>
    </row>
    <row r="792">
      <c r="A792" s="2">
        <v>6.9070509401E10</v>
      </c>
      <c r="B792" s="2" t="s">
        <v>1862</v>
      </c>
      <c r="C792" s="2" t="s">
        <v>1863</v>
      </c>
      <c r="D792" s="2">
        <f>IFERROR(__xludf.DUMMYFUNCTION("""COMPUTED_VALUE"""),6.9070509401E10)</f>
        <v>69070509401</v>
      </c>
    </row>
    <row r="793">
      <c r="A793" s="2">
        <v>6.9070501041E10</v>
      </c>
      <c r="B793" s="2" t="s">
        <v>1864</v>
      </c>
      <c r="C793" s="2" t="s">
        <v>1865</v>
      </c>
      <c r="D793" s="2">
        <f>IFERROR(__xludf.DUMMYFUNCTION("""COMPUTED_VALUE"""),6.9070501041E10)</f>
        <v>69070501041</v>
      </c>
    </row>
    <row r="794">
      <c r="A794" s="2">
        <v>6.9070500016E10</v>
      </c>
      <c r="B794" s="2" t="s">
        <v>1866</v>
      </c>
      <c r="C794" s="2" t="s">
        <v>1867</v>
      </c>
      <c r="D794" s="2">
        <f>IFERROR(__xludf.DUMMYFUNCTION("""COMPUTED_VALUE"""),6.9070500016E10)</f>
        <v>69070500016</v>
      </c>
    </row>
    <row r="795">
      <c r="A795" s="2">
        <v>6.9070505201E10</v>
      </c>
      <c r="B795" s="2" t="s">
        <v>1868</v>
      </c>
      <c r="C795" s="2" t="s">
        <v>1869</v>
      </c>
      <c r="D795" s="2">
        <f>IFERROR(__xludf.DUMMYFUNCTION("""COMPUTED_VALUE"""),6.9070505201E10)</f>
        <v>69070505201</v>
      </c>
    </row>
    <row r="796">
      <c r="A796" s="2">
        <v>6.9070502443E10</v>
      </c>
      <c r="B796" s="2" t="s">
        <v>1870</v>
      </c>
      <c r="C796" s="2" t="s">
        <v>1871</v>
      </c>
      <c r="D796" s="2">
        <f>IFERROR(__xludf.DUMMYFUNCTION("""COMPUTED_VALUE"""),6.9070502443E10)</f>
        <v>69070502443</v>
      </c>
    </row>
    <row r="797">
      <c r="A797" s="2">
        <v>6.9070505205E10</v>
      </c>
      <c r="B797" s="2" t="s">
        <v>1872</v>
      </c>
      <c r="C797" s="2" t="s">
        <v>1873</v>
      </c>
      <c r="D797" s="2">
        <f>IFERROR(__xludf.DUMMYFUNCTION("""COMPUTED_VALUE"""),6.9070505205E10)</f>
        <v>69070505205</v>
      </c>
    </row>
    <row r="798">
      <c r="A798" s="2">
        <v>6.9070505233E10</v>
      </c>
      <c r="B798" s="2" t="s">
        <v>1456</v>
      </c>
      <c r="C798" s="2" t="s">
        <v>1874</v>
      </c>
      <c r="D798" s="2">
        <f>IFERROR(__xludf.DUMMYFUNCTION("""COMPUTED_VALUE"""),6.9070505233E10)</f>
        <v>69070505233</v>
      </c>
    </row>
    <row r="799">
      <c r="A799" s="2">
        <v>6.9070501247E10</v>
      </c>
      <c r="B799" s="2" t="s">
        <v>1875</v>
      </c>
      <c r="C799" s="2" t="s">
        <v>1876</v>
      </c>
      <c r="D799" s="2">
        <f>IFERROR(__xludf.DUMMYFUNCTION("""COMPUTED_VALUE"""),6.9070501247E10)</f>
        <v>69070501247</v>
      </c>
    </row>
    <row r="800">
      <c r="A800" s="2">
        <v>6.9070500868E10</v>
      </c>
      <c r="B800" s="2" t="s">
        <v>1877</v>
      </c>
      <c r="C800" s="2" t="s">
        <v>1878</v>
      </c>
      <c r="D800" s="2">
        <f>IFERROR(__xludf.DUMMYFUNCTION("""COMPUTED_VALUE"""),6.9070500868E10)</f>
        <v>69070500868</v>
      </c>
    </row>
    <row r="801">
      <c r="A801" s="2">
        <v>6.9070500609E10</v>
      </c>
      <c r="B801" s="2" t="s">
        <v>1879</v>
      </c>
      <c r="C801" s="2" t="s">
        <v>1880</v>
      </c>
      <c r="D801" s="2">
        <f>IFERROR(__xludf.DUMMYFUNCTION("""COMPUTED_VALUE"""),6.9070500609E10)</f>
        <v>69070500609</v>
      </c>
    </row>
    <row r="802">
      <c r="A802" s="2">
        <v>6.9070500253E10</v>
      </c>
      <c r="B802" s="2" t="s">
        <v>1881</v>
      </c>
      <c r="C802" s="2" t="s">
        <v>1882</v>
      </c>
      <c r="D802" s="2">
        <f>IFERROR(__xludf.DUMMYFUNCTION("""COMPUTED_VALUE"""),6.9070500253E10)</f>
        <v>69070500253</v>
      </c>
    </row>
    <row r="803">
      <c r="A803" s="2">
        <v>6.9070501074E10</v>
      </c>
      <c r="B803" s="2" t="s">
        <v>1883</v>
      </c>
      <c r="C803" s="2" t="s">
        <v>1884</v>
      </c>
      <c r="D803" s="2">
        <f>IFERROR(__xludf.DUMMYFUNCTION("""COMPUTED_VALUE"""),6.9070501074E10)</f>
        <v>69070501074</v>
      </c>
    </row>
    <row r="804">
      <c r="A804" s="2">
        <v>6.907050024E10</v>
      </c>
      <c r="B804" s="2" t="s">
        <v>1885</v>
      </c>
      <c r="C804" s="2" t="s">
        <v>1886</v>
      </c>
      <c r="D804" s="2">
        <f>IFERROR(__xludf.DUMMYFUNCTION("""COMPUTED_VALUE"""),6.907050024E10)</f>
        <v>69070500240</v>
      </c>
    </row>
    <row r="805">
      <c r="A805" s="2">
        <v>6.9070500875E10</v>
      </c>
      <c r="B805" s="2" t="s">
        <v>1887</v>
      </c>
      <c r="C805" s="2" t="s">
        <v>1888</v>
      </c>
      <c r="D805" s="2">
        <f>IFERROR(__xludf.DUMMYFUNCTION("""COMPUTED_VALUE"""),6.9070500875E10)</f>
        <v>69070500875</v>
      </c>
    </row>
    <row r="806">
      <c r="A806" s="2">
        <v>6.9070500038E10</v>
      </c>
      <c r="B806" s="2" t="s">
        <v>1889</v>
      </c>
      <c r="C806" s="2" t="s">
        <v>1890</v>
      </c>
      <c r="D806" s="2">
        <f>IFERROR(__xludf.DUMMYFUNCTION("""COMPUTED_VALUE"""),6.9070500038E10)</f>
        <v>69070500038</v>
      </c>
    </row>
    <row r="807">
      <c r="A807" s="2">
        <v>6.9070502497E10</v>
      </c>
      <c r="B807" s="2" t="s">
        <v>1891</v>
      </c>
      <c r="C807" s="2" t="s">
        <v>1892</v>
      </c>
      <c r="D807" s="2">
        <f>IFERROR(__xludf.DUMMYFUNCTION("""COMPUTED_VALUE"""),6.9070502497E10)</f>
        <v>69070502497</v>
      </c>
    </row>
    <row r="808">
      <c r="A808" s="2">
        <v>6.907050941E10</v>
      </c>
      <c r="B808" s="2" t="s">
        <v>1893</v>
      </c>
      <c r="C808" s="2" t="s">
        <v>1894</v>
      </c>
      <c r="D808" s="2">
        <f>IFERROR(__xludf.DUMMYFUNCTION("""COMPUTED_VALUE"""),6.907050941E10)</f>
        <v>69070509410</v>
      </c>
    </row>
    <row r="809">
      <c r="A809" s="2">
        <v>6.9070500318E10</v>
      </c>
      <c r="B809" s="2" t="s">
        <v>107</v>
      </c>
      <c r="C809" s="2" t="s">
        <v>1895</v>
      </c>
      <c r="D809" s="2">
        <f>IFERROR(__xludf.DUMMYFUNCTION("""COMPUTED_VALUE"""),6.9070500318E10)</f>
        <v>69070500318</v>
      </c>
    </row>
    <row r="810">
      <c r="A810" s="2">
        <v>6.9070502214E10</v>
      </c>
      <c r="B810" s="2" t="s">
        <v>1896</v>
      </c>
      <c r="C810" s="2" t="s">
        <v>1897</v>
      </c>
      <c r="D810" s="2">
        <f>IFERROR(__xludf.DUMMYFUNCTION("""COMPUTED_VALUE"""),6.9070502214E10)</f>
        <v>69070502214</v>
      </c>
    </row>
    <row r="811">
      <c r="A811" s="2">
        <v>6.9070506442E10</v>
      </c>
      <c r="B811" s="2" t="s">
        <v>1898</v>
      </c>
      <c r="C811" s="2" t="s">
        <v>1899</v>
      </c>
      <c r="D811" s="2">
        <f>IFERROR(__xludf.DUMMYFUNCTION("""COMPUTED_VALUE"""),6.9070506442E10)</f>
        <v>69070506442</v>
      </c>
    </row>
    <row r="812">
      <c r="A812" s="2">
        <v>6.9070501285E10</v>
      </c>
      <c r="B812" s="2" t="s">
        <v>1900</v>
      </c>
      <c r="C812" s="2" t="s">
        <v>1902</v>
      </c>
      <c r="D812" s="2">
        <f>IFERROR(__xludf.DUMMYFUNCTION("""COMPUTED_VALUE"""),6.9070501285E10)</f>
        <v>69070501285</v>
      </c>
    </row>
    <row r="813">
      <c r="A813" s="2">
        <v>6.9070500812E10</v>
      </c>
      <c r="B813" s="2" t="s">
        <v>1905</v>
      </c>
      <c r="C813" s="2" t="s">
        <v>1906</v>
      </c>
      <c r="D813" s="2">
        <f>IFERROR(__xludf.DUMMYFUNCTION("""COMPUTED_VALUE"""),6.9070500812E10)</f>
        <v>69070500812</v>
      </c>
    </row>
    <row r="814">
      <c r="A814" s="2">
        <v>6.9070500815E10</v>
      </c>
      <c r="B814" s="2" t="s">
        <v>1909</v>
      </c>
      <c r="C814" s="2" t="s">
        <v>1911</v>
      </c>
      <c r="D814" s="2">
        <f>IFERROR(__xludf.DUMMYFUNCTION("""COMPUTED_VALUE"""),6.9070500815E10)</f>
        <v>69070500815</v>
      </c>
    </row>
    <row r="815">
      <c r="A815" s="2">
        <v>6.9070500801E10</v>
      </c>
      <c r="B815" s="2" t="s">
        <v>1914</v>
      </c>
      <c r="C815" s="2" t="s">
        <v>1915</v>
      </c>
      <c r="D815" s="2">
        <f>IFERROR(__xludf.DUMMYFUNCTION("""COMPUTED_VALUE"""),6.9070500801E10)</f>
        <v>69070500801</v>
      </c>
    </row>
    <row r="816">
      <c r="A816" s="2">
        <v>6.9070500241E10</v>
      </c>
      <c r="B816" s="2" t="s">
        <v>1917</v>
      </c>
      <c r="C816" s="2" t="s">
        <v>1918</v>
      </c>
      <c r="D816" s="2">
        <f>IFERROR(__xludf.DUMMYFUNCTION("""COMPUTED_VALUE"""),6.9070500241E10)</f>
        <v>69070500241</v>
      </c>
    </row>
    <row r="817">
      <c r="A817" s="2">
        <v>6.9070505209E10</v>
      </c>
      <c r="B817" s="2" t="s">
        <v>1919</v>
      </c>
      <c r="C817" s="2" t="s">
        <v>1920</v>
      </c>
      <c r="D817" s="2">
        <f>IFERROR(__xludf.DUMMYFUNCTION("""COMPUTED_VALUE"""),6.9070505209E10)</f>
        <v>69070505209</v>
      </c>
    </row>
    <row r="818">
      <c r="A818" s="2">
        <v>6.9070506468E10</v>
      </c>
      <c r="B818" s="2" t="s">
        <v>1921</v>
      </c>
      <c r="C818" s="2" t="s">
        <v>1922</v>
      </c>
      <c r="D818" s="2">
        <f>IFERROR(__xludf.DUMMYFUNCTION("""COMPUTED_VALUE"""),6.9070506468E10)</f>
        <v>69070506468</v>
      </c>
    </row>
    <row r="819">
      <c r="A819" s="2">
        <v>6.9070502464E10</v>
      </c>
      <c r="B819" s="2" t="s">
        <v>1392</v>
      </c>
      <c r="C819" s="2" t="s">
        <v>1923</v>
      </c>
      <c r="D819" s="2">
        <f>IFERROR(__xludf.DUMMYFUNCTION("""COMPUTED_VALUE"""),6.9070502464E10)</f>
        <v>69070502464</v>
      </c>
    </row>
    <row r="820">
      <c r="A820" s="2">
        <v>6.9070502515E10</v>
      </c>
      <c r="B820" s="2" t="s">
        <v>1924</v>
      </c>
      <c r="C820" s="2" t="s">
        <v>1925</v>
      </c>
      <c r="D820" s="2">
        <f>IFERROR(__xludf.DUMMYFUNCTION("""COMPUTED_VALUE"""),6.9070502515E10)</f>
        <v>69070502515</v>
      </c>
    </row>
    <row r="821">
      <c r="A821" s="2">
        <v>6.9070501004E10</v>
      </c>
      <c r="B821" s="2" t="s">
        <v>1926</v>
      </c>
      <c r="C821" s="2" t="s">
        <v>1927</v>
      </c>
      <c r="D821" s="2">
        <f>IFERROR(__xludf.DUMMYFUNCTION("""COMPUTED_VALUE"""),6.9070501004E10)</f>
        <v>69070501004</v>
      </c>
    </row>
    <row r="822">
      <c r="A822" s="2">
        <v>6.9070501214E10</v>
      </c>
      <c r="B822" s="2" t="s">
        <v>1928</v>
      </c>
      <c r="C822" s="2" t="s">
        <v>1929</v>
      </c>
      <c r="D822" s="2">
        <f>IFERROR(__xludf.DUMMYFUNCTION("""COMPUTED_VALUE"""),6.9070501214E10)</f>
        <v>69070501214</v>
      </c>
    </row>
    <row r="823">
      <c r="A823" s="2">
        <v>6.9070509426E10</v>
      </c>
      <c r="B823" s="2" t="s">
        <v>1930</v>
      </c>
      <c r="C823" s="2" t="s">
        <v>1931</v>
      </c>
      <c r="D823" s="2">
        <f>IFERROR(__xludf.DUMMYFUNCTION("""COMPUTED_VALUE"""),6.9070509426E10)</f>
        <v>69070509426</v>
      </c>
    </row>
    <row r="824">
      <c r="A824" s="2">
        <v>6.9070500301E10</v>
      </c>
      <c r="B824" s="2" t="s">
        <v>1932</v>
      </c>
      <c r="C824" s="2" t="s">
        <v>1933</v>
      </c>
      <c r="D824" s="2">
        <f>IFERROR(__xludf.DUMMYFUNCTION("""COMPUTED_VALUE"""),6.9070500301E10)</f>
        <v>69070500301</v>
      </c>
    </row>
    <row r="825">
      <c r="A825" s="2">
        <v>6.9070502228E10</v>
      </c>
      <c r="B825" s="2" t="s">
        <v>693</v>
      </c>
      <c r="C825" s="2" t="s">
        <v>1934</v>
      </c>
      <c r="D825" s="2">
        <f>IFERROR(__xludf.DUMMYFUNCTION("""COMPUTED_VALUE"""),6.9070502228E10)</f>
        <v>69070502228</v>
      </c>
    </row>
    <row r="826">
      <c r="A826" s="2">
        <v>6.9070500013E10</v>
      </c>
      <c r="B826" s="2" t="s">
        <v>1935</v>
      </c>
      <c r="C826" s="2" t="s">
        <v>1936</v>
      </c>
      <c r="D826" s="2">
        <f>IFERROR(__xludf.DUMMYFUNCTION("""COMPUTED_VALUE"""),6.9070500013E10)</f>
        <v>69070500013</v>
      </c>
    </row>
    <row r="827">
      <c r="A827" s="2">
        <v>6.907050127E10</v>
      </c>
      <c r="B827" s="2" t="s">
        <v>249</v>
      </c>
      <c r="C827" s="2" t="s">
        <v>1937</v>
      </c>
      <c r="D827" s="2">
        <f>IFERROR(__xludf.DUMMYFUNCTION("""COMPUTED_VALUE"""),6.907050127E10)</f>
        <v>69070501270</v>
      </c>
    </row>
    <row r="828">
      <c r="A828" s="2">
        <v>6.9070505325E10</v>
      </c>
      <c r="B828" s="2" t="s">
        <v>1938</v>
      </c>
      <c r="C828" s="2" t="s">
        <v>1939</v>
      </c>
      <c r="D828" s="2">
        <f>IFERROR(__xludf.DUMMYFUNCTION("""COMPUTED_VALUE"""),6.9070505325E10)</f>
        <v>69070505325</v>
      </c>
    </row>
    <row r="829">
      <c r="A829" s="2">
        <v>6.9070500054E10</v>
      </c>
      <c r="B829" s="2" t="s">
        <v>1940</v>
      </c>
      <c r="C829" s="2" t="s">
        <v>1941</v>
      </c>
      <c r="D829" s="2">
        <f>IFERROR(__xludf.DUMMYFUNCTION("""COMPUTED_VALUE"""),6.9070500054E10)</f>
        <v>69070500054</v>
      </c>
    </row>
    <row r="830">
      <c r="A830" s="2">
        <v>6.9070501006E10</v>
      </c>
      <c r="B830" s="2" t="s">
        <v>1942</v>
      </c>
      <c r="C830" s="2" t="s">
        <v>1943</v>
      </c>
      <c r="D830" s="2">
        <f>IFERROR(__xludf.DUMMYFUNCTION("""COMPUTED_VALUE"""),6.9070501006E10)</f>
        <v>69070501006</v>
      </c>
    </row>
    <row r="831">
      <c r="A831" s="2">
        <v>6.9070509627E10</v>
      </c>
      <c r="B831" s="2" t="s">
        <v>1944</v>
      </c>
      <c r="C831" s="2" t="s">
        <v>1945</v>
      </c>
      <c r="D831" s="2">
        <f>IFERROR(__xludf.DUMMYFUNCTION("""COMPUTED_VALUE"""),6.9070509627E10)</f>
        <v>69070509627</v>
      </c>
    </row>
    <row r="832">
      <c r="A832" s="2">
        <v>6.9070501807E10</v>
      </c>
      <c r="B832" s="2" t="s">
        <v>1946</v>
      </c>
      <c r="C832" s="2" t="s">
        <v>1947</v>
      </c>
      <c r="D832" s="2">
        <f>IFERROR(__xludf.DUMMYFUNCTION("""COMPUTED_VALUE"""),6.9070501807E10)</f>
        <v>69070501807</v>
      </c>
    </row>
    <row r="833">
      <c r="A833" s="2">
        <v>6.9070509416E10</v>
      </c>
      <c r="B833" s="2" t="s">
        <v>1948</v>
      </c>
      <c r="C833" s="2" t="s">
        <v>1949</v>
      </c>
      <c r="D833" s="2">
        <f>IFERROR(__xludf.DUMMYFUNCTION("""COMPUTED_VALUE"""),6.9070509416E10)</f>
        <v>69070509416</v>
      </c>
    </row>
    <row r="834">
      <c r="A834" s="2">
        <v>6.9070502439E10</v>
      </c>
      <c r="B834" s="2" t="s">
        <v>1027</v>
      </c>
      <c r="C834" s="2" t="s">
        <v>1950</v>
      </c>
      <c r="D834" s="2">
        <f>IFERROR(__xludf.DUMMYFUNCTION("""COMPUTED_VALUE"""),6.9070502439E10)</f>
        <v>69070502439</v>
      </c>
    </row>
    <row r="835">
      <c r="A835" s="2">
        <v>6.9070500454E10</v>
      </c>
      <c r="B835" s="2" t="s">
        <v>1953</v>
      </c>
      <c r="C835" s="2" t="s">
        <v>1955</v>
      </c>
      <c r="D835" s="2">
        <f>IFERROR(__xludf.DUMMYFUNCTION("""COMPUTED_VALUE"""),6.9070500454E10)</f>
        <v>69070500454</v>
      </c>
    </row>
    <row r="836">
      <c r="A836" s="2">
        <v>6.907050126E10</v>
      </c>
      <c r="B836" s="2" t="s">
        <v>1958</v>
      </c>
      <c r="C836" s="2" t="s">
        <v>1959</v>
      </c>
      <c r="D836" s="2">
        <f>IFERROR(__xludf.DUMMYFUNCTION("""COMPUTED_VALUE"""),6.907050126E10)</f>
        <v>69070501260</v>
      </c>
    </row>
    <row r="837">
      <c r="A837" s="2">
        <v>6.9070509466E10</v>
      </c>
      <c r="B837" s="2" t="s">
        <v>284</v>
      </c>
      <c r="C837" s="2" t="s">
        <v>1962</v>
      </c>
      <c r="D837" s="2">
        <f>IFERROR(__xludf.DUMMYFUNCTION("""COMPUTED_VALUE"""),6.9070509466E10)</f>
        <v>69070509466</v>
      </c>
    </row>
    <row r="838">
      <c r="A838" s="2">
        <v>6.9070500261E10</v>
      </c>
      <c r="B838" s="2" t="s">
        <v>1965</v>
      </c>
      <c r="C838" s="2" t="s">
        <v>1966</v>
      </c>
      <c r="D838" s="2">
        <f>IFERROR(__xludf.DUMMYFUNCTION("""COMPUTED_VALUE"""),6.9070500261E10)</f>
        <v>69070500261</v>
      </c>
    </row>
    <row r="839">
      <c r="A839" s="2">
        <v>6.9070500838E10</v>
      </c>
      <c r="B839" s="2" t="s">
        <v>1968</v>
      </c>
      <c r="C839" s="2" t="s">
        <v>1969</v>
      </c>
      <c r="D839" s="2">
        <f>IFERROR(__xludf.DUMMYFUNCTION("""COMPUTED_VALUE"""),6.9070500838E10)</f>
        <v>69070500838</v>
      </c>
    </row>
    <row r="840">
      <c r="A840" s="2">
        <v>6.9070500847E10</v>
      </c>
      <c r="B840" s="2" t="s">
        <v>1970</v>
      </c>
      <c r="C840" s="2" t="s">
        <v>1971</v>
      </c>
      <c r="D840" s="2">
        <f>IFERROR(__xludf.DUMMYFUNCTION("""COMPUTED_VALUE"""),6.9070500847E10)</f>
        <v>69070500847</v>
      </c>
    </row>
    <row r="841">
      <c r="A841" s="2">
        <v>6.9070509413E10</v>
      </c>
      <c r="B841" s="2" t="s">
        <v>1972</v>
      </c>
      <c r="C841" s="2" t="s">
        <v>1973</v>
      </c>
      <c r="D841" s="2">
        <f>IFERROR(__xludf.DUMMYFUNCTION("""COMPUTED_VALUE"""),6.9070509413E10)</f>
        <v>69070509413</v>
      </c>
    </row>
    <row r="842">
      <c r="A842" s="2">
        <v>6.9070501282E10</v>
      </c>
      <c r="B842" s="2" t="s">
        <v>1974</v>
      </c>
      <c r="C842" s="2" t="s">
        <v>1975</v>
      </c>
      <c r="D842" s="2">
        <f>IFERROR(__xludf.DUMMYFUNCTION("""COMPUTED_VALUE"""),6.9070501282E10)</f>
        <v>69070501282</v>
      </c>
    </row>
    <row r="843">
      <c r="A843" s="2">
        <v>6.9070501207E10</v>
      </c>
      <c r="B843" s="2" t="s">
        <v>1976</v>
      </c>
      <c r="C843" s="2" t="s">
        <v>1977</v>
      </c>
      <c r="D843" s="2">
        <f>IFERROR(__xludf.DUMMYFUNCTION("""COMPUTED_VALUE"""),6.9070501207E10)</f>
        <v>69070501207</v>
      </c>
    </row>
    <row r="844">
      <c r="A844" s="2">
        <v>6.9070502483E10</v>
      </c>
      <c r="B844" s="2" t="s">
        <v>1978</v>
      </c>
      <c r="C844" s="2" t="s">
        <v>1979</v>
      </c>
      <c r="D844" s="2">
        <f>IFERROR(__xludf.DUMMYFUNCTION("""COMPUTED_VALUE"""),6.9070502483E10)</f>
        <v>69070502483</v>
      </c>
    </row>
    <row r="845">
      <c r="A845" s="2">
        <v>6.9070502826E10</v>
      </c>
      <c r="B845" s="2" t="s">
        <v>1497</v>
      </c>
      <c r="C845" s="2" t="s">
        <v>1980</v>
      </c>
      <c r="D845" s="2">
        <f>IFERROR(__xludf.DUMMYFUNCTION("""COMPUTED_VALUE"""),6.9070502826E10)</f>
        <v>69070502826</v>
      </c>
    </row>
    <row r="846">
      <c r="A846" s="2">
        <v>6.9070500857E10</v>
      </c>
      <c r="B846" s="2" t="s">
        <v>1981</v>
      </c>
      <c r="C846" s="2" t="s">
        <v>1982</v>
      </c>
      <c r="D846" s="2">
        <f>IFERROR(__xludf.DUMMYFUNCTION("""COMPUTED_VALUE"""),6.9070500857E10)</f>
        <v>69070500857</v>
      </c>
    </row>
    <row r="847">
      <c r="A847" s="2">
        <v>6.9070501276E10</v>
      </c>
      <c r="B847" s="2" t="s">
        <v>1983</v>
      </c>
      <c r="C847" s="2" t="s">
        <v>1984</v>
      </c>
      <c r="D847" s="2">
        <f>IFERROR(__xludf.DUMMYFUNCTION("""COMPUTED_VALUE"""),6.9070501276E10)</f>
        <v>69070501276</v>
      </c>
    </row>
    <row r="848">
      <c r="A848" s="2">
        <v>6.9070509424E10</v>
      </c>
      <c r="B848" s="2" t="s">
        <v>1718</v>
      </c>
      <c r="C848" s="2" t="s">
        <v>1985</v>
      </c>
      <c r="D848" s="2">
        <f>IFERROR(__xludf.DUMMYFUNCTION("""COMPUTED_VALUE"""),6.9070509424E10)</f>
        <v>69070509424</v>
      </c>
    </row>
    <row r="849">
      <c r="A849" s="2">
        <v>6.9070501228E10</v>
      </c>
      <c r="B849" s="2" t="s">
        <v>1986</v>
      </c>
      <c r="C849" s="2" t="s">
        <v>1987</v>
      </c>
      <c r="D849" s="2">
        <f>IFERROR(__xludf.DUMMYFUNCTION("""COMPUTED_VALUE"""),6.9070501228E10)</f>
        <v>69070501228</v>
      </c>
    </row>
    <row r="850">
      <c r="A850" s="2">
        <v>6.9070501284E10</v>
      </c>
      <c r="B850" s="2" t="s">
        <v>1988</v>
      </c>
      <c r="C850" s="2" t="s">
        <v>1989</v>
      </c>
      <c r="D850" s="2">
        <f>IFERROR(__xludf.DUMMYFUNCTION("""COMPUTED_VALUE"""),6.9070501284E10)</f>
        <v>69070501284</v>
      </c>
    </row>
    <row r="851">
      <c r="A851" s="2">
        <v>6.9070501842E10</v>
      </c>
      <c r="B851" s="2" t="s">
        <v>1990</v>
      </c>
      <c r="C851" s="2" t="s">
        <v>1991</v>
      </c>
      <c r="D851" s="2">
        <f>IFERROR(__xludf.DUMMYFUNCTION("""COMPUTED_VALUE"""),6.9070501842E10)</f>
        <v>69070501842</v>
      </c>
    </row>
    <row r="852">
      <c r="A852" s="2">
        <v>6.9070500665E10</v>
      </c>
      <c r="B852" s="2" t="s">
        <v>1992</v>
      </c>
      <c r="C852" s="2" t="s">
        <v>1993</v>
      </c>
      <c r="D852" s="2">
        <f>IFERROR(__xludf.DUMMYFUNCTION("""COMPUTED_VALUE"""),6.9070500665E10)</f>
        <v>69070500665</v>
      </c>
    </row>
    <row r="853">
      <c r="A853" s="2">
        <v>6.9070508818E10</v>
      </c>
      <c r="B853" s="2" t="s">
        <v>1994</v>
      </c>
      <c r="C853" s="2" t="s">
        <v>1995</v>
      </c>
      <c r="D853" s="2">
        <f>IFERROR(__xludf.DUMMYFUNCTION("""COMPUTED_VALUE"""),6.9070508818E10)</f>
        <v>69070508818</v>
      </c>
    </row>
    <row r="854">
      <c r="A854" s="2">
        <v>6.9070500676E10</v>
      </c>
      <c r="B854" s="2" t="s">
        <v>1996</v>
      </c>
      <c r="C854" s="2" t="s">
        <v>1997</v>
      </c>
      <c r="D854" s="2">
        <f>IFERROR(__xludf.DUMMYFUNCTION("""COMPUTED_VALUE"""),6.9070500676E10)</f>
        <v>69070500676</v>
      </c>
    </row>
    <row r="855">
      <c r="A855" s="2">
        <v>6.9070500079E10</v>
      </c>
      <c r="B855" s="2" t="s">
        <v>1998</v>
      </c>
      <c r="C855" s="2" t="s">
        <v>1999</v>
      </c>
      <c r="D855" s="2">
        <f>IFERROR(__xludf.DUMMYFUNCTION("""COMPUTED_VALUE"""),6.9070500079E10)</f>
        <v>69070500079</v>
      </c>
    </row>
    <row r="856">
      <c r="A856" s="2">
        <v>6.9070500826E10</v>
      </c>
      <c r="B856" s="2" t="s">
        <v>2000</v>
      </c>
      <c r="C856" s="2" t="s">
        <v>2001</v>
      </c>
      <c r="D856" s="2">
        <f>IFERROR(__xludf.DUMMYFUNCTION("""COMPUTED_VALUE"""),6.9070500826E10)</f>
        <v>69070500826</v>
      </c>
    </row>
    <row r="857">
      <c r="A857" s="2">
        <v>6.9070502493E10</v>
      </c>
      <c r="B857" s="2" t="s">
        <v>2002</v>
      </c>
      <c r="C857" s="2" t="s">
        <v>2003</v>
      </c>
      <c r="D857" s="2">
        <f>IFERROR(__xludf.DUMMYFUNCTION("""COMPUTED_VALUE"""),6.9070502493E10)</f>
        <v>69070502493</v>
      </c>
    </row>
    <row r="858">
      <c r="A858" s="2">
        <v>6.9070500036E10</v>
      </c>
      <c r="B858" s="2" t="s">
        <v>2004</v>
      </c>
      <c r="C858" s="2" t="s">
        <v>2005</v>
      </c>
      <c r="D858" s="2">
        <f>IFERROR(__xludf.DUMMYFUNCTION("""COMPUTED_VALUE"""),6.9070500036E10)</f>
        <v>69070500036</v>
      </c>
    </row>
    <row r="859">
      <c r="A859" s="2">
        <v>6.9070500863E10</v>
      </c>
      <c r="B859" s="2" t="s">
        <v>2006</v>
      </c>
      <c r="C859" s="2" t="s">
        <v>2007</v>
      </c>
      <c r="D859" s="2">
        <f>IFERROR(__xludf.DUMMYFUNCTION("""COMPUTED_VALUE"""),6.9070500863E10)</f>
        <v>69070500863</v>
      </c>
    </row>
    <row r="860">
      <c r="A860" s="2">
        <v>6.9070500302E10</v>
      </c>
      <c r="B860" s="2" t="s">
        <v>2008</v>
      </c>
      <c r="C860" s="2" t="s">
        <v>2009</v>
      </c>
      <c r="D860" s="2">
        <f>IFERROR(__xludf.DUMMYFUNCTION("""COMPUTED_VALUE"""),6.9070500302E10)</f>
        <v>69070500302</v>
      </c>
    </row>
    <row r="861">
      <c r="A861" s="2">
        <v>6.9070500876E10</v>
      </c>
      <c r="B861" s="2" t="s">
        <v>693</v>
      </c>
      <c r="C861" s="2" t="s">
        <v>2014</v>
      </c>
      <c r="D861" s="2">
        <f>IFERROR(__xludf.DUMMYFUNCTION("""COMPUTED_VALUE"""),6.9070500876E10)</f>
        <v>69070500876</v>
      </c>
    </row>
    <row r="862">
      <c r="A862" s="2">
        <v>6.9070501254E10</v>
      </c>
      <c r="B862" s="2" t="s">
        <v>2016</v>
      </c>
      <c r="C862" s="2" t="s">
        <v>2017</v>
      </c>
      <c r="D862" s="2">
        <f>IFERROR(__xludf.DUMMYFUNCTION("""COMPUTED_VALUE"""),6.9070501254E10)</f>
        <v>69070501254</v>
      </c>
    </row>
    <row r="863">
      <c r="A863" s="2">
        <v>6.9070500657E10</v>
      </c>
      <c r="B863" s="2" t="s">
        <v>2020</v>
      </c>
      <c r="C863" s="2" t="s">
        <v>2021</v>
      </c>
      <c r="D863" s="2">
        <f>IFERROR(__xludf.DUMMYFUNCTION("""COMPUTED_VALUE"""),6.9070500657E10)</f>
        <v>69070500657</v>
      </c>
    </row>
    <row r="864">
      <c r="A864" s="2">
        <v>6.907050246E10</v>
      </c>
      <c r="B864" s="2" t="s">
        <v>2023</v>
      </c>
      <c r="C864" s="2" t="s">
        <v>2024</v>
      </c>
      <c r="D864" s="2">
        <f>IFERROR(__xludf.DUMMYFUNCTION("""COMPUTED_VALUE"""),6.907050246E10)</f>
        <v>69070502460</v>
      </c>
    </row>
    <row r="865">
      <c r="A865" s="2">
        <v>6.9070500807E10</v>
      </c>
      <c r="B865" s="2" t="s">
        <v>2025</v>
      </c>
      <c r="C865" s="2" t="s">
        <v>2026</v>
      </c>
      <c r="D865" s="2">
        <f>IFERROR(__xludf.DUMMYFUNCTION("""COMPUTED_VALUE"""),6.9070500807E10)</f>
        <v>69070500807</v>
      </c>
    </row>
    <row r="866">
      <c r="A866" s="2">
        <v>6.9070500831E10</v>
      </c>
      <c r="B866" s="2" t="s">
        <v>2027</v>
      </c>
      <c r="C866" s="2" t="s">
        <v>2028</v>
      </c>
      <c r="D866" s="2">
        <f>IFERROR(__xludf.DUMMYFUNCTION("""COMPUTED_VALUE"""),6.9070500831E10)</f>
        <v>69070500831</v>
      </c>
    </row>
    <row r="867">
      <c r="A867" s="2">
        <v>6.9070508201E10</v>
      </c>
      <c r="B867" s="2" t="s">
        <v>2029</v>
      </c>
      <c r="C867" s="2" t="s">
        <v>2030</v>
      </c>
      <c r="D867" s="2">
        <f>IFERROR(__xludf.DUMMYFUNCTION("""COMPUTED_VALUE"""),6.9070508201E10)</f>
        <v>69070508201</v>
      </c>
    </row>
    <row r="868">
      <c r="A868" s="2">
        <v>6.9070501224E10</v>
      </c>
      <c r="B868" s="2" t="s">
        <v>2031</v>
      </c>
      <c r="C868" s="2" t="s">
        <v>2032</v>
      </c>
      <c r="D868" s="2">
        <f>IFERROR(__xludf.DUMMYFUNCTION("""COMPUTED_VALUE"""),6.9070501224E10)</f>
        <v>69070501224</v>
      </c>
    </row>
    <row r="869">
      <c r="A869" s="2">
        <v>6.9070500259E10</v>
      </c>
      <c r="B869" s="2" t="s">
        <v>2033</v>
      </c>
      <c r="C869" s="2" t="s">
        <v>2034</v>
      </c>
      <c r="D869" s="2">
        <f>IFERROR(__xludf.DUMMYFUNCTION("""COMPUTED_VALUE"""),6.9070500259E10)</f>
        <v>69070500259</v>
      </c>
    </row>
    <row r="870">
      <c r="A870" s="2">
        <v>6.9070508827E10</v>
      </c>
      <c r="B870" s="2" t="s">
        <v>2035</v>
      </c>
      <c r="C870" s="2" t="s">
        <v>2036</v>
      </c>
      <c r="D870" s="2">
        <f>IFERROR(__xludf.DUMMYFUNCTION("""COMPUTED_VALUE"""),6.9070508827E10)</f>
        <v>69070508827</v>
      </c>
    </row>
    <row r="871">
      <c r="A871" s="2">
        <v>6.9070500884E10</v>
      </c>
      <c r="B871" s="2" t="s">
        <v>1714</v>
      </c>
      <c r="C871" s="2" t="s">
        <v>2037</v>
      </c>
      <c r="D871" s="2">
        <f>IFERROR(__xludf.DUMMYFUNCTION("""COMPUTED_VALUE"""),6.9070500884E10)</f>
        <v>69070500884</v>
      </c>
    </row>
    <row r="872">
      <c r="A872" s="2">
        <v>6.9070508832E10</v>
      </c>
      <c r="B872" s="2" t="s">
        <v>2038</v>
      </c>
      <c r="C872" s="2" t="s">
        <v>2039</v>
      </c>
      <c r="D872" s="2">
        <f>IFERROR(__xludf.DUMMYFUNCTION("""COMPUTED_VALUE"""),6.9070508832E10)</f>
        <v>69070508832</v>
      </c>
    </row>
    <row r="873">
      <c r="A873" s="2">
        <v>6.907050028E10</v>
      </c>
      <c r="B873" s="2" t="s">
        <v>2040</v>
      </c>
      <c r="C873" s="2" t="s">
        <v>2041</v>
      </c>
      <c r="D873" s="2">
        <f>IFERROR(__xludf.DUMMYFUNCTION("""COMPUTED_VALUE"""),6.907050028E10)</f>
        <v>69070500280</v>
      </c>
    </row>
    <row r="874">
      <c r="A874" s="2">
        <v>6.9070502419E10</v>
      </c>
      <c r="B874" s="2" t="s">
        <v>920</v>
      </c>
      <c r="C874" s="2" t="s">
        <v>2042</v>
      </c>
      <c r="D874" s="2">
        <f>IFERROR(__xludf.DUMMYFUNCTION("""COMPUTED_VALUE"""),6.9070502419E10)</f>
        <v>69070502419</v>
      </c>
    </row>
    <row r="875">
      <c r="A875" s="2">
        <v>6.9070500636E10</v>
      </c>
      <c r="B875" s="2" t="s">
        <v>68</v>
      </c>
      <c r="C875" s="2" t="s">
        <v>2043</v>
      </c>
      <c r="D875" s="2">
        <f>IFERROR(__xludf.DUMMYFUNCTION("""COMPUTED_VALUE"""),6.9070500636E10)</f>
        <v>69070500636</v>
      </c>
    </row>
    <row r="876">
      <c r="A876" s="2">
        <v>6.9070502463E10</v>
      </c>
      <c r="B876" s="2" t="s">
        <v>2044</v>
      </c>
      <c r="C876" s="2" t="s">
        <v>2045</v>
      </c>
      <c r="D876" s="2">
        <f>IFERROR(__xludf.DUMMYFUNCTION("""COMPUTED_VALUE"""),6.9070502463E10)</f>
        <v>69070502463</v>
      </c>
    </row>
    <row r="877">
      <c r="A877" s="2">
        <v>6.9070502446E10</v>
      </c>
      <c r="B877" s="2" t="s">
        <v>2046</v>
      </c>
      <c r="C877" s="2" t="s">
        <v>2047</v>
      </c>
      <c r="D877" s="2">
        <f>IFERROR(__xludf.DUMMYFUNCTION("""COMPUTED_VALUE"""),6.9070502446E10)</f>
        <v>69070502446</v>
      </c>
    </row>
    <row r="878">
      <c r="A878" s="2">
        <v>6.9070501206E10</v>
      </c>
      <c r="B878" s="2" t="s">
        <v>2048</v>
      </c>
      <c r="C878" s="2" t="s">
        <v>2049</v>
      </c>
      <c r="D878" s="2">
        <f>IFERROR(__xludf.DUMMYFUNCTION("""COMPUTED_VALUE"""),6.9070501206E10)</f>
        <v>69070501206</v>
      </c>
    </row>
    <row r="879">
      <c r="A879" s="2">
        <v>6.9070500064E10</v>
      </c>
      <c r="B879" s="2" t="s">
        <v>2050</v>
      </c>
      <c r="C879" s="2" t="s">
        <v>2051</v>
      </c>
      <c r="D879" s="2">
        <f>IFERROR(__xludf.DUMMYFUNCTION("""COMPUTED_VALUE"""),6.9070500064E10)</f>
        <v>69070500064</v>
      </c>
    </row>
    <row r="880">
      <c r="A880" s="2">
        <v>6.9070509639E10</v>
      </c>
      <c r="B880" s="2" t="s">
        <v>2052</v>
      </c>
      <c r="C880" s="2" t="s">
        <v>2053</v>
      </c>
      <c r="D880" s="2">
        <f>IFERROR(__xludf.DUMMYFUNCTION("""COMPUTED_VALUE"""),6.9070509639E10)</f>
        <v>69070509639</v>
      </c>
    </row>
    <row r="881">
      <c r="A881" s="2">
        <v>6.9070500276E10</v>
      </c>
      <c r="B881" s="2" t="s">
        <v>2054</v>
      </c>
      <c r="C881" s="2" t="s">
        <v>2055</v>
      </c>
      <c r="D881" s="2">
        <f>IFERROR(__xludf.DUMMYFUNCTION("""COMPUTED_VALUE"""),6.9070500276E10)</f>
        <v>69070500276</v>
      </c>
    </row>
    <row r="882">
      <c r="A882" s="2">
        <v>6.9070500606E10</v>
      </c>
      <c r="B882" s="2" t="s">
        <v>2056</v>
      </c>
      <c r="C882" s="2" t="s">
        <v>2057</v>
      </c>
      <c r="D882" s="2">
        <f>IFERROR(__xludf.DUMMYFUNCTION("""COMPUTED_VALUE"""),6.9070500606E10)</f>
        <v>69070500606</v>
      </c>
    </row>
    <row r="883">
      <c r="A883" s="2">
        <v>6.9070501234E10</v>
      </c>
      <c r="B883" s="2" t="s">
        <v>2058</v>
      </c>
      <c r="C883" s="2" t="s">
        <v>2059</v>
      </c>
      <c r="D883" s="2">
        <f>IFERROR(__xludf.DUMMYFUNCTION("""COMPUTED_VALUE"""),6.9070501234E10)</f>
        <v>69070501234</v>
      </c>
    </row>
    <row r="884">
      <c r="A884" s="2">
        <v>6.9070508418E10</v>
      </c>
      <c r="B884" s="2" t="s">
        <v>2060</v>
      </c>
      <c r="C884" s="2" t="s">
        <v>2061</v>
      </c>
      <c r="D884" s="2">
        <f>IFERROR(__xludf.DUMMYFUNCTION("""COMPUTED_VALUE"""),6.9070508418E10)</f>
        <v>69070508418</v>
      </c>
    </row>
    <row r="885">
      <c r="A885" s="2">
        <v>6.9070508209E10</v>
      </c>
      <c r="B885" s="2" t="s">
        <v>2062</v>
      </c>
      <c r="C885" s="2" t="s">
        <v>2063</v>
      </c>
      <c r="D885" s="2">
        <f>IFERROR(__xludf.DUMMYFUNCTION("""COMPUTED_VALUE"""),6.9070508209E10)</f>
        <v>69070508209</v>
      </c>
    </row>
    <row r="886">
      <c r="A886" s="2">
        <v>6.9070501811E10</v>
      </c>
      <c r="B886" s="2" t="s">
        <v>2066</v>
      </c>
      <c r="C886" s="2" t="s">
        <v>2067</v>
      </c>
      <c r="D886" s="2">
        <f>IFERROR(__xludf.DUMMYFUNCTION("""COMPUTED_VALUE"""),6.9070501811E10)</f>
        <v>69070501811</v>
      </c>
    </row>
    <row r="887">
      <c r="A887" s="2">
        <v>6.9070508825E10</v>
      </c>
      <c r="B887" s="2" t="s">
        <v>2071</v>
      </c>
      <c r="C887" s="2" t="s">
        <v>2072</v>
      </c>
      <c r="D887" s="2">
        <f>IFERROR(__xludf.DUMMYFUNCTION("""COMPUTED_VALUE"""),6.9070508825E10)</f>
        <v>69070508825</v>
      </c>
    </row>
    <row r="888">
      <c r="A888" s="2">
        <v>6.9070508252E10</v>
      </c>
      <c r="B888" s="2" t="s">
        <v>315</v>
      </c>
      <c r="C888" s="2" t="s">
        <v>2075</v>
      </c>
      <c r="D888" s="2">
        <f>IFERROR(__xludf.DUMMYFUNCTION("""COMPUTED_VALUE"""),6.9070508252E10)</f>
        <v>69070508252</v>
      </c>
    </row>
    <row r="889">
      <c r="A889" s="2">
        <v>6.9070509821E10</v>
      </c>
      <c r="B889" s="2" t="s">
        <v>2077</v>
      </c>
      <c r="C889" s="2" t="s">
        <v>2078</v>
      </c>
      <c r="D889" s="2">
        <f>IFERROR(__xludf.DUMMYFUNCTION("""COMPUTED_VALUE"""),6.9070509821E10)</f>
        <v>69070509821</v>
      </c>
    </row>
    <row r="890">
      <c r="A890" s="2">
        <v>6.9070502451E10</v>
      </c>
      <c r="B890" s="2" t="s">
        <v>1714</v>
      </c>
      <c r="C890" s="2" t="s">
        <v>2079</v>
      </c>
      <c r="D890" s="2">
        <f>IFERROR(__xludf.DUMMYFUNCTION("""COMPUTED_VALUE"""),6.9070502451E10)</f>
        <v>69070502451</v>
      </c>
    </row>
    <row r="891">
      <c r="A891" s="2">
        <v>6.9070500262E10</v>
      </c>
      <c r="B891" s="2" t="s">
        <v>2080</v>
      </c>
      <c r="C891" s="2" t="s">
        <v>2081</v>
      </c>
      <c r="D891" s="2">
        <f>IFERROR(__xludf.DUMMYFUNCTION("""COMPUTED_VALUE"""),6.9070500262E10)</f>
        <v>69070500262</v>
      </c>
    </row>
    <row r="892">
      <c r="A892" s="2">
        <v>6.9070509615E10</v>
      </c>
      <c r="B892" s="2" t="s">
        <v>2082</v>
      </c>
      <c r="C892" s="2" t="s">
        <v>2083</v>
      </c>
      <c r="D892" s="2">
        <f>IFERROR(__xludf.DUMMYFUNCTION("""COMPUTED_VALUE"""),6.9070509615E10)</f>
        <v>69070509615</v>
      </c>
    </row>
    <row r="893">
      <c r="A893" s="2">
        <v>6.907050183E10</v>
      </c>
      <c r="B893" s="2" t="s">
        <v>2084</v>
      </c>
      <c r="C893" s="2" t="s">
        <v>2085</v>
      </c>
      <c r="D893" s="2">
        <f>IFERROR(__xludf.DUMMYFUNCTION("""COMPUTED_VALUE"""),6.907050183E10)</f>
        <v>69070501830</v>
      </c>
    </row>
    <row r="894">
      <c r="A894" s="2">
        <v>6.9070502445E10</v>
      </c>
      <c r="B894" s="2" t="s">
        <v>2086</v>
      </c>
      <c r="C894" s="2" t="s">
        <v>2087</v>
      </c>
      <c r="D894" s="2">
        <f>IFERROR(__xludf.DUMMYFUNCTION("""COMPUTED_VALUE"""),6.9070502445E10)</f>
        <v>69070502445</v>
      </c>
    </row>
    <row r="895">
      <c r="A895" s="2">
        <v>6.9070501846E10</v>
      </c>
      <c r="B895" s="2" t="s">
        <v>2088</v>
      </c>
      <c r="C895" s="2" t="s">
        <v>2089</v>
      </c>
      <c r="D895" s="2">
        <f>IFERROR(__xludf.DUMMYFUNCTION("""COMPUTED_VALUE"""),6.9070501846E10)</f>
        <v>69070501846</v>
      </c>
    </row>
    <row r="896">
      <c r="A896" s="2">
        <v>6.9070500222E10</v>
      </c>
      <c r="B896" s="2" t="s">
        <v>2090</v>
      </c>
      <c r="C896" s="2" t="s">
        <v>2091</v>
      </c>
      <c r="D896" s="2">
        <f>IFERROR(__xludf.DUMMYFUNCTION("""COMPUTED_VALUE"""),6.9070500222E10)</f>
        <v>69070500222</v>
      </c>
    </row>
    <row r="897">
      <c r="A897" s="2">
        <v>6.9070501208E10</v>
      </c>
      <c r="B897" s="2" t="s">
        <v>2040</v>
      </c>
      <c r="C897" s="2" t="s">
        <v>2092</v>
      </c>
      <c r="D897" s="2">
        <f>IFERROR(__xludf.DUMMYFUNCTION("""COMPUTED_VALUE"""),6.9070501208E10)</f>
        <v>69070501208</v>
      </c>
    </row>
    <row r="898">
      <c r="A898" s="2">
        <v>6.9070500645E10</v>
      </c>
      <c r="B898" s="2" t="s">
        <v>2093</v>
      </c>
      <c r="C898" s="2" t="s">
        <v>2094</v>
      </c>
      <c r="D898" s="2">
        <f>IFERROR(__xludf.DUMMYFUNCTION("""COMPUTED_VALUE"""),6.9070500645E10)</f>
        <v>69070500645</v>
      </c>
    </row>
    <row r="899">
      <c r="A899" s="2">
        <v>6.907050842E10</v>
      </c>
      <c r="B899" s="2" t="s">
        <v>2095</v>
      </c>
      <c r="C899" s="2" t="s">
        <v>2096</v>
      </c>
      <c r="D899" s="2">
        <f>IFERROR(__xludf.DUMMYFUNCTION("""COMPUTED_VALUE"""),6.907050842E10)</f>
        <v>69070508420</v>
      </c>
    </row>
    <row r="900">
      <c r="A900" s="2">
        <v>6.9070508417E10</v>
      </c>
      <c r="B900" s="2" t="s">
        <v>2097</v>
      </c>
      <c r="C900" s="2" t="s">
        <v>2098</v>
      </c>
      <c r="D900" s="2">
        <f>IFERROR(__xludf.DUMMYFUNCTION("""COMPUTED_VALUE"""),6.9070508417E10)</f>
        <v>69070508417</v>
      </c>
    </row>
    <row r="901">
      <c r="A901" s="2">
        <v>6.9070501217E10</v>
      </c>
      <c r="B901" s="2" t="s">
        <v>2099</v>
      </c>
      <c r="C901" s="2" t="s">
        <v>2100</v>
      </c>
      <c r="D901" s="2">
        <f>IFERROR(__xludf.DUMMYFUNCTION("""COMPUTED_VALUE"""),6.9070501217E10)</f>
        <v>69070501217</v>
      </c>
    </row>
    <row r="902">
      <c r="A902" s="2">
        <v>6.907050067E10</v>
      </c>
      <c r="B902" s="2" t="s">
        <v>2101</v>
      </c>
      <c r="C902" s="2" t="s">
        <v>2102</v>
      </c>
      <c r="D902" s="2">
        <f>IFERROR(__xludf.DUMMYFUNCTION("""COMPUTED_VALUE"""),6.907050067E10)</f>
        <v>69070500670</v>
      </c>
    </row>
    <row r="903">
      <c r="A903" s="2">
        <v>6.9070501067E10</v>
      </c>
      <c r="B903" s="2" t="s">
        <v>2103</v>
      </c>
      <c r="C903" s="2" t="s">
        <v>2104</v>
      </c>
      <c r="D903" s="2">
        <f>IFERROR(__xludf.DUMMYFUNCTION("""COMPUTED_VALUE"""),6.9070501067E10)</f>
        <v>69070501067</v>
      </c>
    </row>
    <row r="904">
      <c r="A904" s="2">
        <v>6.9070501244E10</v>
      </c>
      <c r="B904" s="2" t="s">
        <v>2105</v>
      </c>
      <c r="C904" s="2" t="s">
        <v>2106</v>
      </c>
      <c r="D904" s="2">
        <f>IFERROR(__xludf.DUMMYFUNCTION("""COMPUTED_VALUE"""),6.9070501244E10)</f>
        <v>69070501244</v>
      </c>
    </row>
    <row r="905">
      <c r="A905" s="2">
        <v>6.9070501223E10</v>
      </c>
      <c r="B905" s="2" t="s">
        <v>2107</v>
      </c>
      <c r="C905" s="2" t="s">
        <v>2108</v>
      </c>
      <c r="D905" s="2">
        <f>IFERROR(__xludf.DUMMYFUNCTION("""COMPUTED_VALUE"""),6.9070501223E10)</f>
        <v>69070501223</v>
      </c>
    </row>
    <row r="906">
      <c r="A906" s="2">
        <v>6.9070500659E10</v>
      </c>
      <c r="B906" s="2" t="s">
        <v>2109</v>
      </c>
      <c r="C906" s="2" t="s">
        <v>2110</v>
      </c>
      <c r="D906" s="2">
        <f>IFERROR(__xludf.DUMMYFUNCTION("""COMPUTED_VALUE"""),6.9070500659E10)</f>
        <v>69070500659</v>
      </c>
    </row>
    <row r="907">
      <c r="A907" s="2">
        <v>6.9070506462E10</v>
      </c>
      <c r="B907" s="2" t="s">
        <v>296</v>
      </c>
      <c r="C907" s="2" t="s">
        <v>2111</v>
      </c>
      <c r="D907" s="2">
        <f>IFERROR(__xludf.DUMMYFUNCTION("""COMPUTED_VALUE"""),6.9070506462E10)</f>
        <v>69070506462</v>
      </c>
    </row>
    <row r="908">
      <c r="A908" s="2">
        <v>6.9070508805E10</v>
      </c>
      <c r="B908" s="2" t="s">
        <v>2112</v>
      </c>
      <c r="C908" s="2" t="s">
        <v>2113</v>
      </c>
      <c r="D908" s="2">
        <f>IFERROR(__xludf.DUMMYFUNCTION("""COMPUTED_VALUE"""),6.9070508805E10)</f>
        <v>69070508805</v>
      </c>
    </row>
    <row r="909">
      <c r="A909" s="2">
        <v>6.9070500068E10</v>
      </c>
      <c r="B909" s="2" t="s">
        <v>2114</v>
      </c>
      <c r="C909" s="2" t="s">
        <v>2115</v>
      </c>
      <c r="D909" s="2">
        <f>IFERROR(__xludf.DUMMYFUNCTION("""COMPUTED_VALUE"""),6.9070500068E10)</f>
        <v>69070500068</v>
      </c>
    </row>
    <row r="910">
      <c r="A910" s="2">
        <v>6.9070509439E10</v>
      </c>
      <c r="B910" s="2" t="s">
        <v>284</v>
      </c>
      <c r="C910" s="2" t="s">
        <v>2116</v>
      </c>
      <c r="D910" s="2">
        <f>IFERROR(__xludf.DUMMYFUNCTION("""COMPUTED_VALUE"""),6.9070509439E10)</f>
        <v>69070509439</v>
      </c>
    </row>
    <row r="911">
      <c r="A911" s="2">
        <v>6.9070500604E10</v>
      </c>
      <c r="B911" s="2" t="s">
        <v>2117</v>
      </c>
      <c r="C911" s="2" t="s">
        <v>2118</v>
      </c>
      <c r="D911" s="2">
        <f>IFERROR(__xludf.DUMMYFUNCTION("""COMPUTED_VALUE"""),6.9070500604E10)</f>
        <v>69070500604</v>
      </c>
    </row>
    <row r="912">
      <c r="A912" s="2">
        <v>6.9070501046E10</v>
      </c>
      <c r="B912" s="2" t="s">
        <v>2119</v>
      </c>
      <c r="C912" s="2" t="s">
        <v>2121</v>
      </c>
      <c r="D912" s="2">
        <f>IFERROR(__xludf.DUMMYFUNCTION("""COMPUTED_VALUE"""),6.9070501046E10)</f>
        <v>69070501046</v>
      </c>
    </row>
    <row r="913">
      <c r="A913" s="2">
        <v>6.9070509409E10</v>
      </c>
      <c r="B913" s="2" t="s">
        <v>2123</v>
      </c>
      <c r="C913" s="2" t="s">
        <v>2124</v>
      </c>
      <c r="D913" s="2">
        <f>IFERROR(__xludf.DUMMYFUNCTION("""COMPUTED_VALUE"""),6.9070509409E10)</f>
        <v>69070509409</v>
      </c>
    </row>
    <row r="914">
      <c r="A914" s="2">
        <v>6.9070501829E10</v>
      </c>
      <c r="B914" s="2" t="s">
        <v>2127</v>
      </c>
      <c r="C914" s="2" t="s">
        <v>826</v>
      </c>
      <c r="D914" s="2">
        <f>IFERROR(__xludf.DUMMYFUNCTION("""COMPUTED_VALUE"""),6.9070501829E10)</f>
        <v>69070501829</v>
      </c>
    </row>
    <row r="915">
      <c r="A915" s="2">
        <v>6.907050124E10</v>
      </c>
      <c r="B915" s="2" t="s">
        <v>2130</v>
      </c>
      <c r="C915" s="2" t="s">
        <v>2131</v>
      </c>
      <c r="D915" s="2">
        <f>IFERROR(__xludf.DUMMYFUNCTION("""COMPUTED_VALUE"""),6.907050124E10)</f>
        <v>69070501240</v>
      </c>
    </row>
    <row r="916">
      <c r="A916" s="2">
        <v>6.9070500694E10</v>
      </c>
      <c r="B916" s="2" t="s">
        <v>2133</v>
      </c>
      <c r="C916" s="2" t="s">
        <v>2134</v>
      </c>
      <c r="D916" s="2">
        <f>IFERROR(__xludf.DUMMYFUNCTION("""COMPUTED_VALUE"""),6.9070500694E10)</f>
        <v>69070500694</v>
      </c>
    </row>
    <row r="917">
      <c r="A917" s="2">
        <v>6.9070508802E10</v>
      </c>
      <c r="B917" s="2" t="s">
        <v>2137</v>
      </c>
      <c r="C917" s="2" t="s">
        <v>2138</v>
      </c>
      <c r="D917" s="2">
        <f>IFERROR(__xludf.DUMMYFUNCTION("""COMPUTED_VALUE"""),6.9070508802E10)</f>
        <v>69070508802</v>
      </c>
    </row>
    <row r="918">
      <c r="A918" s="2">
        <v>6.9070501286E10</v>
      </c>
      <c r="B918" s="2" t="s">
        <v>2139</v>
      </c>
      <c r="C918" s="2" t="s">
        <v>2140</v>
      </c>
      <c r="D918" s="2">
        <f>IFERROR(__xludf.DUMMYFUNCTION("""COMPUTED_VALUE"""),6.9070501286E10)</f>
        <v>69070501286</v>
      </c>
    </row>
    <row r="919">
      <c r="A919" s="2">
        <v>6.9070508848E10</v>
      </c>
      <c r="B919" s="2" t="s">
        <v>2141</v>
      </c>
      <c r="C919" s="2" t="s">
        <v>2142</v>
      </c>
      <c r="D919" s="2">
        <f>IFERROR(__xludf.DUMMYFUNCTION("""COMPUTED_VALUE"""),6.9070508848E10)</f>
        <v>69070508848</v>
      </c>
    </row>
    <row r="920">
      <c r="A920" s="2">
        <v>6.9070508808E10</v>
      </c>
      <c r="B920" s="2" t="s">
        <v>2143</v>
      </c>
      <c r="C920" s="2" t="s">
        <v>2144</v>
      </c>
      <c r="D920" s="2">
        <f>IFERROR(__xludf.DUMMYFUNCTION("""COMPUTED_VALUE"""),6.9070508808E10)</f>
        <v>69070508808</v>
      </c>
    </row>
    <row r="921">
      <c r="A921" s="2">
        <v>6.9070500644E10</v>
      </c>
      <c r="B921" s="2" t="s">
        <v>2145</v>
      </c>
      <c r="C921" s="2" t="s">
        <v>2146</v>
      </c>
      <c r="D921" s="2">
        <f>IFERROR(__xludf.DUMMYFUNCTION("""COMPUTED_VALUE"""),6.9070500644E10)</f>
        <v>69070500644</v>
      </c>
    </row>
    <row r="922">
      <c r="A922" s="2">
        <v>6.9070508823E10</v>
      </c>
      <c r="B922" s="2" t="s">
        <v>338</v>
      </c>
      <c r="C922" s="2" t="s">
        <v>2147</v>
      </c>
      <c r="D922" s="2">
        <f>IFERROR(__xludf.DUMMYFUNCTION("""COMPUTED_VALUE"""),6.9070508823E10)</f>
        <v>69070508823</v>
      </c>
    </row>
    <row r="923">
      <c r="A923" s="2">
        <v>6.9070509844E10</v>
      </c>
      <c r="B923" s="2" t="s">
        <v>2148</v>
      </c>
      <c r="C923" s="2" t="s">
        <v>2149</v>
      </c>
      <c r="D923" s="2">
        <f>IFERROR(__xludf.DUMMYFUNCTION("""COMPUTED_VALUE"""),6.9070509844E10)</f>
        <v>69070509844</v>
      </c>
    </row>
    <row r="924">
      <c r="A924" s="2">
        <v>6.9070501847E10</v>
      </c>
      <c r="B924" s="2" t="s">
        <v>2150</v>
      </c>
      <c r="C924" s="2" t="s">
        <v>2151</v>
      </c>
      <c r="D924" s="2">
        <f>IFERROR(__xludf.DUMMYFUNCTION("""COMPUTED_VALUE"""),6.9070501847E10)</f>
        <v>69070501847</v>
      </c>
    </row>
    <row r="925">
      <c r="A925" s="2">
        <v>6.9070501031E10</v>
      </c>
      <c r="B925" s="2" t="s">
        <v>2152</v>
      </c>
      <c r="C925" s="2" t="s">
        <v>2153</v>
      </c>
      <c r="D925" s="2">
        <f>IFERROR(__xludf.DUMMYFUNCTION("""COMPUTED_VALUE"""),6.9070501031E10)</f>
        <v>69070501031</v>
      </c>
    </row>
    <row r="926">
      <c r="A926" s="2">
        <v>6.9070500623E10</v>
      </c>
      <c r="B926" s="2" t="s">
        <v>323</v>
      </c>
      <c r="C926" s="2" t="s">
        <v>2154</v>
      </c>
      <c r="D926" s="2">
        <f>IFERROR(__xludf.DUMMYFUNCTION("""COMPUTED_VALUE"""),6.9070500623E10)</f>
        <v>69070500623</v>
      </c>
    </row>
    <row r="927">
      <c r="A927" s="2">
        <v>6.9070502409E10</v>
      </c>
      <c r="B927" s="2" t="s">
        <v>2155</v>
      </c>
      <c r="C927" s="2" t="s">
        <v>2156</v>
      </c>
      <c r="D927" s="2">
        <f>IFERROR(__xludf.DUMMYFUNCTION("""COMPUTED_VALUE"""),6.9070502409E10)</f>
        <v>69070502409</v>
      </c>
    </row>
    <row r="928">
      <c r="A928" s="2">
        <v>6.9070500662E10</v>
      </c>
      <c r="B928" s="2" t="s">
        <v>2157</v>
      </c>
      <c r="C928" s="2" t="s">
        <v>2158</v>
      </c>
      <c r="D928" s="2">
        <f>IFERROR(__xludf.DUMMYFUNCTION("""COMPUTED_VALUE"""),6.9070500662E10)</f>
        <v>69070500662</v>
      </c>
    </row>
    <row r="929">
      <c r="A929" s="2">
        <v>6.9070500031E10</v>
      </c>
      <c r="B929" s="2" t="s">
        <v>107</v>
      </c>
      <c r="C929" s="2" t="s">
        <v>2159</v>
      </c>
      <c r="D929" s="2">
        <f>IFERROR(__xludf.DUMMYFUNCTION("""COMPUTED_VALUE"""),6.9070500031E10)</f>
        <v>69070500031</v>
      </c>
    </row>
    <row r="930">
      <c r="A930" s="2">
        <v>6.907050981E10</v>
      </c>
      <c r="B930" s="2" t="s">
        <v>284</v>
      </c>
      <c r="C930" s="2" t="s">
        <v>2160</v>
      </c>
      <c r="D930" s="2">
        <f>IFERROR(__xludf.DUMMYFUNCTION("""COMPUTED_VALUE"""),6.907050981E10)</f>
        <v>69070509810</v>
      </c>
    </row>
    <row r="931">
      <c r="A931" s="2">
        <v>6.9070508836E10</v>
      </c>
      <c r="B931" s="2" t="s">
        <v>2161</v>
      </c>
      <c r="C931" s="2" t="s">
        <v>2162</v>
      </c>
      <c r="D931" s="2">
        <f>IFERROR(__xludf.DUMMYFUNCTION("""COMPUTED_VALUE"""),6.9070508836E10)</f>
        <v>69070508836</v>
      </c>
    </row>
    <row r="932">
      <c r="A932" s="2">
        <v>6.9070508824E10</v>
      </c>
      <c r="B932" s="2" t="s">
        <v>2163</v>
      </c>
      <c r="C932" s="2" t="s">
        <v>2164</v>
      </c>
      <c r="D932" s="2">
        <f>IFERROR(__xludf.DUMMYFUNCTION("""COMPUTED_VALUE"""),6.9070508824E10)</f>
        <v>69070508824</v>
      </c>
    </row>
    <row r="933">
      <c r="A933" s="2">
        <v>6.9070500046E10</v>
      </c>
      <c r="B933" s="2" t="s">
        <v>2165</v>
      </c>
      <c r="C933" s="2" t="s">
        <v>2166</v>
      </c>
      <c r="D933" s="2">
        <f>IFERROR(__xludf.DUMMYFUNCTION("""COMPUTED_VALUE"""),6.9070500046E10)</f>
        <v>69070500046</v>
      </c>
    </row>
    <row r="934">
      <c r="A934" s="2">
        <v>6.9070509465E10</v>
      </c>
      <c r="B934" s="2" t="s">
        <v>2167</v>
      </c>
      <c r="C934" s="2" t="s">
        <v>2168</v>
      </c>
      <c r="D934" s="2">
        <f>IFERROR(__xludf.DUMMYFUNCTION("""COMPUTED_VALUE"""),6.9070509465E10)</f>
        <v>69070509465</v>
      </c>
    </row>
    <row r="935">
      <c r="A935" s="2">
        <v>6.9070500605E10</v>
      </c>
      <c r="B935" s="2" t="s">
        <v>2169</v>
      </c>
      <c r="C935" s="2" t="s">
        <v>2170</v>
      </c>
      <c r="D935" s="2">
        <f>IFERROR(__xludf.DUMMYFUNCTION("""COMPUTED_VALUE"""),6.9070500605E10)</f>
        <v>69070500605</v>
      </c>
    </row>
    <row r="936">
      <c r="A936" s="2">
        <v>6.9070502417E10</v>
      </c>
      <c r="B936" s="2" t="s">
        <v>2171</v>
      </c>
      <c r="C936" s="2" t="s">
        <v>2172</v>
      </c>
      <c r="D936" s="2">
        <f>IFERROR(__xludf.DUMMYFUNCTION("""COMPUTED_VALUE"""),6.9070502417E10)</f>
        <v>69070502417</v>
      </c>
    </row>
    <row r="937">
      <c r="A937" s="2">
        <v>6.9070500027E10</v>
      </c>
      <c r="B937" s="2" t="s">
        <v>2173</v>
      </c>
      <c r="C937" s="2" t="s">
        <v>2174</v>
      </c>
      <c r="D937" s="2">
        <f>IFERROR(__xludf.DUMMYFUNCTION("""COMPUTED_VALUE"""),6.9070500027E10)</f>
        <v>69070500027</v>
      </c>
    </row>
    <row r="938">
      <c r="A938" s="2">
        <v>6.9070508843E10</v>
      </c>
      <c r="B938" s="2" t="s">
        <v>722</v>
      </c>
      <c r="C938" s="2" t="s">
        <v>2175</v>
      </c>
      <c r="D938" s="2">
        <f>IFERROR(__xludf.DUMMYFUNCTION("""COMPUTED_VALUE"""),6.9070508843E10)</f>
        <v>69070508843</v>
      </c>
    </row>
    <row r="939">
      <c r="A939" s="2">
        <v>6.9070500638E10</v>
      </c>
      <c r="B939" s="2" t="s">
        <v>2176</v>
      </c>
      <c r="C939" s="2" t="s">
        <v>2177</v>
      </c>
      <c r="D939" s="2">
        <f>IFERROR(__xludf.DUMMYFUNCTION("""COMPUTED_VALUE"""),6.9070500638E10)</f>
        <v>69070500638</v>
      </c>
    </row>
    <row r="940">
      <c r="A940" s="2">
        <v>6.9070508837E10</v>
      </c>
      <c r="B940" s="2" t="s">
        <v>2178</v>
      </c>
      <c r="C940" s="2" t="s">
        <v>2179</v>
      </c>
      <c r="D940" s="2">
        <f>IFERROR(__xludf.DUMMYFUNCTION("""COMPUTED_VALUE"""),6.9070508837E10)</f>
        <v>69070508837</v>
      </c>
    </row>
    <row r="941">
      <c r="A941" s="2">
        <v>6.9070500633E10</v>
      </c>
      <c r="B941" s="2" t="s">
        <v>2181</v>
      </c>
      <c r="C941" s="2" t="s">
        <v>2182</v>
      </c>
      <c r="D941" s="2">
        <f>IFERROR(__xludf.DUMMYFUNCTION("""COMPUTED_VALUE"""),6.9070500633E10)</f>
        <v>69070500633</v>
      </c>
    </row>
    <row r="942">
      <c r="A942" s="2">
        <v>6.9070501267E10</v>
      </c>
      <c r="B942" s="2" t="s">
        <v>197</v>
      </c>
      <c r="C942" s="2" t="s">
        <v>2186</v>
      </c>
      <c r="D942" s="2">
        <f>IFERROR(__xludf.DUMMYFUNCTION("""COMPUTED_VALUE"""),6.9070501267E10)</f>
        <v>69070501267</v>
      </c>
    </row>
    <row r="943">
      <c r="A943" s="2">
        <v>6.9070500273E10</v>
      </c>
      <c r="B943" s="2" t="s">
        <v>2188</v>
      </c>
      <c r="C943" s="2" t="s">
        <v>2190</v>
      </c>
      <c r="D943" s="2">
        <f>IFERROR(__xludf.DUMMYFUNCTION("""COMPUTED_VALUE"""),6.9070500273E10)</f>
        <v>69070500273</v>
      </c>
    </row>
    <row r="944">
      <c r="A944" s="2">
        <v>6.9070502209E10</v>
      </c>
      <c r="B944" s="2" t="s">
        <v>2193</v>
      </c>
      <c r="C944" s="2" t="s">
        <v>2194</v>
      </c>
      <c r="D944" s="2">
        <f>IFERROR(__xludf.DUMMYFUNCTION("""COMPUTED_VALUE"""),6.9070502209E10)</f>
        <v>69070502209</v>
      </c>
    </row>
    <row r="945">
      <c r="A945" s="2">
        <v>6.9070509839E10</v>
      </c>
      <c r="B945" s="2" t="s">
        <v>2195</v>
      </c>
      <c r="C945" s="2" t="s">
        <v>2196</v>
      </c>
      <c r="D945" s="2">
        <f>IFERROR(__xludf.DUMMYFUNCTION("""COMPUTED_VALUE"""),6.9070509839E10)</f>
        <v>69070509839</v>
      </c>
    </row>
    <row r="946">
      <c r="A946" s="2">
        <v>6.9070506439E10</v>
      </c>
      <c r="B946" s="2" t="s">
        <v>2197</v>
      </c>
      <c r="C946" s="2" t="s">
        <v>2198</v>
      </c>
      <c r="D946" s="2">
        <f>IFERROR(__xludf.DUMMYFUNCTION("""COMPUTED_VALUE"""),6.9070506439E10)</f>
        <v>69070506439</v>
      </c>
    </row>
    <row r="947">
      <c r="A947" s="2">
        <v>6.9070502428E10</v>
      </c>
      <c r="B947" s="2" t="s">
        <v>2199</v>
      </c>
      <c r="C947" s="2" t="s">
        <v>2200</v>
      </c>
      <c r="D947" s="2">
        <f>IFERROR(__xludf.DUMMYFUNCTION("""COMPUTED_VALUE"""),6.9070502428E10)</f>
        <v>69070502428</v>
      </c>
    </row>
    <row r="948">
      <c r="A948" s="2">
        <v>6.9070501011E10</v>
      </c>
      <c r="B948" s="2" t="s">
        <v>1223</v>
      </c>
      <c r="C948" s="2" t="s">
        <v>2201</v>
      </c>
      <c r="D948" s="2">
        <f>IFERROR(__xludf.DUMMYFUNCTION("""COMPUTED_VALUE"""),6.9070501011E10)</f>
        <v>69070501011</v>
      </c>
    </row>
    <row r="949">
      <c r="A949" s="2">
        <v>6.9070502461E10</v>
      </c>
      <c r="B949" s="2" t="s">
        <v>2202</v>
      </c>
      <c r="C949" s="2" t="s">
        <v>2203</v>
      </c>
      <c r="D949" s="2">
        <f>IFERROR(__xludf.DUMMYFUNCTION("""COMPUTED_VALUE"""),6.9070502461E10)</f>
        <v>69070502461</v>
      </c>
    </row>
    <row r="950">
      <c r="A950" s="2">
        <v>6.9070500239E10</v>
      </c>
      <c r="B950" s="2" t="s">
        <v>2204</v>
      </c>
      <c r="C950" s="2" t="s">
        <v>2205</v>
      </c>
      <c r="D950" s="2">
        <f>IFERROR(__xludf.DUMMYFUNCTION("""COMPUTED_VALUE"""),6.9070500239E10)</f>
        <v>69070500239</v>
      </c>
    </row>
    <row r="951">
      <c r="A951" s="2">
        <v>6.9070509435E10</v>
      </c>
      <c r="B951" s="2" t="s">
        <v>693</v>
      </c>
      <c r="C951" s="2" t="s">
        <v>2206</v>
      </c>
      <c r="D951" s="2">
        <f>IFERROR(__xludf.DUMMYFUNCTION("""COMPUTED_VALUE"""),6.9070509435E10)</f>
        <v>69070509435</v>
      </c>
    </row>
    <row r="952">
      <c r="A952" s="2">
        <v>6.9070500664E10</v>
      </c>
      <c r="B952" s="2" t="s">
        <v>2207</v>
      </c>
      <c r="C952" s="2" t="s">
        <v>2208</v>
      </c>
      <c r="D952" s="2">
        <f>IFERROR(__xludf.DUMMYFUNCTION("""COMPUTED_VALUE"""),6.9070500664E10)</f>
        <v>69070500664</v>
      </c>
    </row>
    <row r="953">
      <c r="A953" s="2">
        <v>6.9070508829E10</v>
      </c>
      <c r="B953" s="2" t="s">
        <v>2209</v>
      </c>
      <c r="C953" s="2" t="s">
        <v>2210</v>
      </c>
      <c r="D953" s="2">
        <f>IFERROR(__xludf.DUMMYFUNCTION("""COMPUTED_VALUE"""),6.9070508829E10)</f>
        <v>69070508829</v>
      </c>
    </row>
    <row r="954">
      <c r="A954" s="2">
        <v>6.9070500629E10</v>
      </c>
      <c r="B954" s="2" t="s">
        <v>2211</v>
      </c>
      <c r="C954" s="2" t="s">
        <v>2212</v>
      </c>
      <c r="D954" s="2">
        <f>IFERROR(__xludf.DUMMYFUNCTION("""COMPUTED_VALUE"""),6.9070500629E10)</f>
        <v>69070500629</v>
      </c>
    </row>
    <row r="955">
      <c r="A955" s="2">
        <v>6.907050121E10</v>
      </c>
      <c r="B955" s="2" t="s">
        <v>2213</v>
      </c>
      <c r="C955" s="2" t="s">
        <v>2214</v>
      </c>
      <c r="D955" s="2">
        <f>IFERROR(__xludf.DUMMYFUNCTION("""COMPUTED_VALUE"""),6.907050121E10)</f>
        <v>69070501210</v>
      </c>
    </row>
    <row r="956">
      <c r="A956" s="2">
        <v>6.9070502502E10</v>
      </c>
      <c r="B956" s="2" t="s">
        <v>2215</v>
      </c>
      <c r="C956" s="2" t="s">
        <v>2216</v>
      </c>
      <c r="D956" s="2">
        <f>IFERROR(__xludf.DUMMYFUNCTION("""COMPUTED_VALUE"""),6.9070502502E10)</f>
        <v>69070502502</v>
      </c>
    </row>
    <row r="957">
      <c r="A957" s="2">
        <v>6.9070500631E10</v>
      </c>
      <c r="B957" s="2" t="s">
        <v>2217</v>
      </c>
      <c r="C957" s="2" t="s">
        <v>2218</v>
      </c>
      <c r="D957" s="2">
        <f>IFERROR(__xludf.DUMMYFUNCTION("""COMPUTED_VALUE"""),6.9070500631E10)</f>
        <v>69070500631</v>
      </c>
    </row>
    <row r="958">
      <c r="A958" s="2">
        <v>6.9070500817E10</v>
      </c>
      <c r="B958" s="2" t="s">
        <v>2219</v>
      </c>
      <c r="C958" s="2" t="s">
        <v>2220</v>
      </c>
      <c r="D958" s="2">
        <f>IFERROR(__xludf.DUMMYFUNCTION("""COMPUTED_VALUE"""),6.9070500817E10)</f>
        <v>69070500817</v>
      </c>
    </row>
    <row r="959">
      <c r="A959" s="2">
        <v>6.9070508826E10</v>
      </c>
      <c r="B959" s="2" t="s">
        <v>2221</v>
      </c>
      <c r="C959" s="2" t="s">
        <v>2222</v>
      </c>
      <c r="D959" s="2">
        <f>IFERROR(__xludf.DUMMYFUNCTION("""COMPUTED_VALUE"""),6.9070508826E10)</f>
        <v>69070508826</v>
      </c>
    </row>
    <row r="960">
      <c r="A960" s="2">
        <v>6.9070508844E10</v>
      </c>
      <c r="B960" s="2" t="s">
        <v>2223</v>
      </c>
      <c r="C960" s="2" t="s">
        <v>2224</v>
      </c>
      <c r="D960" s="2">
        <f>IFERROR(__xludf.DUMMYFUNCTION("""COMPUTED_VALUE"""),6.9070508844E10)</f>
        <v>69070508844</v>
      </c>
    </row>
    <row r="961">
      <c r="A961" s="2">
        <v>6.9070506418E10</v>
      </c>
      <c r="B961" s="2" t="s">
        <v>2225</v>
      </c>
      <c r="C961" s="2" t="s">
        <v>2226</v>
      </c>
      <c r="D961" s="2">
        <f>IFERROR(__xludf.DUMMYFUNCTION("""COMPUTED_VALUE"""),6.9070506418E10)</f>
        <v>69070506418</v>
      </c>
    </row>
    <row r="962">
      <c r="A962" s="2">
        <v>6.9070508849E10</v>
      </c>
      <c r="B962" s="2" t="s">
        <v>2227</v>
      </c>
      <c r="C962" s="2" t="s">
        <v>2228</v>
      </c>
      <c r="D962" s="2">
        <f>IFERROR(__xludf.DUMMYFUNCTION("""COMPUTED_VALUE"""),6.9070508849E10)</f>
        <v>69070508849</v>
      </c>
    </row>
    <row r="963">
      <c r="A963" s="2">
        <v>6.9070508835E10</v>
      </c>
      <c r="B963" s="2" t="s">
        <v>296</v>
      </c>
      <c r="C963" s="2" t="s">
        <v>2229</v>
      </c>
      <c r="D963" s="2">
        <f>IFERROR(__xludf.DUMMYFUNCTION("""COMPUTED_VALUE"""),6.9070508835E10)</f>
        <v>69070508835</v>
      </c>
    </row>
    <row r="964">
      <c r="A964" s="2">
        <v>6.9070506408E10</v>
      </c>
      <c r="B964" s="2" t="s">
        <v>2230</v>
      </c>
      <c r="C964" s="2" t="s">
        <v>651</v>
      </c>
      <c r="D964" s="2">
        <f>IFERROR(__xludf.DUMMYFUNCTION("""COMPUTED_VALUE"""),6.9070506408E10)</f>
        <v>69070506408</v>
      </c>
    </row>
    <row r="965">
      <c r="A965" s="2">
        <v>6.9070500647E10</v>
      </c>
      <c r="B965" s="2" t="s">
        <v>2231</v>
      </c>
      <c r="C965" s="2" t="s">
        <v>2232</v>
      </c>
      <c r="D965" s="2">
        <f>IFERROR(__xludf.DUMMYFUNCTION("""COMPUTED_VALUE"""),6.9070500647E10)</f>
        <v>69070500647</v>
      </c>
    </row>
    <row r="966">
      <c r="A966" s="2">
        <v>6.9070508812E10</v>
      </c>
      <c r="B966" s="2" t="s">
        <v>2233</v>
      </c>
      <c r="C966" s="2" t="s">
        <v>2234</v>
      </c>
      <c r="D966" s="2">
        <f>IFERROR(__xludf.DUMMYFUNCTION("""COMPUTED_VALUE"""),6.9070508812E10)</f>
        <v>69070508812</v>
      </c>
    </row>
    <row r="967">
      <c r="A967" s="2">
        <v>6.9070500622E10</v>
      </c>
      <c r="B967" s="2" t="s">
        <v>2235</v>
      </c>
      <c r="C967" s="2" t="s">
        <v>2237</v>
      </c>
      <c r="D967" s="2">
        <f>IFERROR(__xludf.DUMMYFUNCTION("""COMPUTED_VALUE"""),6.9070500622E10)</f>
        <v>69070500622</v>
      </c>
    </row>
    <row r="968">
      <c r="A968" s="2">
        <v>6.9070500652E10</v>
      </c>
      <c r="B968" s="2" t="s">
        <v>2239</v>
      </c>
      <c r="C968" s="2" t="s">
        <v>2241</v>
      </c>
      <c r="D968" s="2">
        <f>IFERROR(__xludf.DUMMYFUNCTION("""COMPUTED_VALUE"""),6.9070500652E10)</f>
        <v>69070500652</v>
      </c>
    </row>
    <row r="969">
      <c r="A969" s="2">
        <v>6.9070508809E10</v>
      </c>
      <c r="B969" s="2" t="s">
        <v>2244</v>
      </c>
      <c r="C969" s="2" t="s">
        <v>2246</v>
      </c>
      <c r="D969" s="2">
        <f>IFERROR(__xludf.DUMMYFUNCTION("""COMPUTED_VALUE"""),6.9070508809E10)</f>
        <v>69070508809</v>
      </c>
    </row>
    <row r="970">
      <c r="A970" s="2">
        <v>6.9070508811E10</v>
      </c>
      <c r="B970" s="2" t="s">
        <v>2249</v>
      </c>
      <c r="C970" s="2" t="s">
        <v>2250</v>
      </c>
      <c r="D970" s="2">
        <f>IFERROR(__xludf.DUMMYFUNCTION("""COMPUTED_VALUE"""),6.9070508811E10)</f>
        <v>69070508811</v>
      </c>
    </row>
    <row r="971">
      <c r="A971" s="2">
        <v>6.9070508807E10</v>
      </c>
      <c r="B971" s="2" t="s">
        <v>2252</v>
      </c>
      <c r="C971" s="2" t="s">
        <v>2253</v>
      </c>
      <c r="D971" s="2">
        <f>IFERROR(__xludf.DUMMYFUNCTION("""COMPUTED_VALUE"""),6.9070508807E10)</f>
        <v>69070508807</v>
      </c>
    </row>
    <row r="972">
      <c r="A972" s="2">
        <v>6.9070500615E10</v>
      </c>
      <c r="B972" s="2" t="s">
        <v>2255</v>
      </c>
      <c r="C972" s="2" t="s">
        <v>2256</v>
      </c>
      <c r="D972" s="2">
        <f>IFERROR(__xludf.DUMMYFUNCTION("""COMPUTED_VALUE"""),6.9070500615E10)</f>
        <v>69070500615</v>
      </c>
    </row>
    <row r="973">
      <c r="A973" s="2">
        <v>6.9070500843E10</v>
      </c>
      <c r="B973" s="2" t="s">
        <v>2257</v>
      </c>
      <c r="C973" s="2" t="s">
        <v>2258</v>
      </c>
      <c r="D973" s="2">
        <f>IFERROR(__xludf.DUMMYFUNCTION("""COMPUTED_VALUE"""),6.9070500843E10)</f>
        <v>69070500843</v>
      </c>
    </row>
    <row r="974">
      <c r="A974" s="2">
        <v>6.9070501229E10</v>
      </c>
      <c r="B974" s="2" t="s">
        <v>957</v>
      </c>
      <c r="C974" s="2" t="s">
        <v>2259</v>
      </c>
      <c r="D974" s="2">
        <f>IFERROR(__xludf.DUMMYFUNCTION("""COMPUTED_VALUE"""),6.9070501229E10)</f>
        <v>69070501229</v>
      </c>
    </row>
    <row r="975">
      <c r="A975" s="2">
        <v>6.9070500083E10</v>
      </c>
      <c r="B975" s="2" t="s">
        <v>2260</v>
      </c>
      <c r="C975" s="2" t="s">
        <v>2261</v>
      </c>
      <c r="D975" s="2">
        <f>IFERROR(__xludf.DUMMYFUNCTION("""COMPUTED_VALUE"""),6.9070500083E10)</f>
        <v>69070500083</v>
      </c>
    </row>
    <row r="976">
      <c r="A976" s="2">
        <v>6.907050881E10</v>
      </c>
      <c r="B976" s="2" t="s">
        <v>2262</v>
      </c>
      <c r="C976" s="2" t="s">
        <v>2263</v>
      </c>
      <c r="D976" s="2">
        <f>IFERROR(__xludf.DUMMYFUNCTION("""COMPUTED_VALUE"""),6.907050881E10)</f>
        <v>69070508810</v>
      </c>
    </row>
    <row r="977">
      <c r="A977" s="2">
        <v>6.9070500692E10</v>
      </c>
      <c r="B977" s="2" t="s">
        <v>869</v>
      </c>
      <c r="C977" s="2" t="s">
        <v>2264</v>
      </c>
      <c r="D977" s="2">
        <f>IFERROR(__xludf.DUMMYFUNCTION("""COMPUTED_VALUE"""),6.9070500692E10)</f>
        <v>69070500692</v>
      </c>
    </row>
    <row r="978">
      <c r="A978" s="2">
        <v>6.907050885E10</v>
      </c>
      <c r="B978" s="2" t="s">
        <v>2265</v>
      </c>
      <c r="C978" s="2" t="s">
        <v>2266</v>
      </c>
      <c r="D978" s="2">
        <f>IFERROR(__xludf.DUMMYFUNCTION("""COMPUTED_VALUE"""),6.907050885E10)</f>
        <v>69070508850</v>
      </c>
    </row>
    <row r="979">
      <c r="A979" s="2">
        <v>6.9070509835E10</v>
      </c>
      <c r="B979" s="2" t="s">
        <v>2267</v>
      </c>
      <c r="C979" s="2" t="s">
        <v>2268</v>
      </c>
      <c r="D979" s="2">
        <f>IFERROR(__xludf.DUMMYFUNCTION("""COMPUTED_VALUE"""),6.9070509835E10)</f>
        <v>69070509835</v>
      </c>
    </row>
    <row r="980">
      <c r="A980" s="2">
        <v>6.9070502447E10</v>
      </c>
      <c r="B980" s="2" t="s">
        <v>2269</v>
      </c>
      <c r="C980" s="2" t="s">
        <v>2270</v>
      </c>
      <c r="D980" s="2">
        <f>IFERROR(__xludf.DUMMYFUNCTION("""COMPUTED_VALUE"""),6.9070502447E10)</f>
        <v>69070502447</v>
      </c>
    </row>
    <row r="981">
      <c r="A981" s="2">
        <v>6.9070500687E10</v>
      </c>
      <c r="B981" s="2" t="s">
        <v>2271</v>
      </c>
      <c r="C981" s="2" t="s">
        <v>2272</v>
      </c>
      <c r="D981" s="2">
        <f>IFERROR(__xludf.DUMMYFUNCTION("""COMPUTED_VALUE"""),6.9070500687E10)</f>
        <v>69070500687</v>
      </c>
    </row>
    <row r="982">
      <c r="A982" s="2">
        <v>6.9070500072E10</v>
      </c>
      <c r="B982" s="2" t="s">
        <v>902</v>
      </c>
      <c r="C982" s="2" t="s">
        <v>2273</v>
      </c>
      <c r="D982" s="2">
        <f>IFERROR(__xludf.DUMMYFUNCTION("""COMPUTED_VALUE"""),6.9070500072E10)</f>
        <v>69070500072</v>
      </c>
    </row>
    <row r="983">
      <c r="A983" s="2">
        <v>6.9070508851E10</v>
      </c>
      <c r="B983" s="2" t="s">
        <v>2274</v>
      </c>
      <c r="C983" s="2" t="s">
        <v>2275</v>
      </c>
      <c r="D983" s="2">
        <f>IFERROR(__xludf.DUMMYFUNCTION("""COMPUTED_VALUE"""),6.9070508851E10)</f>
        <v>69070508851</v>
      </c>
    </row>
    <row r="984">
      <c r="A984" s="2">
        <v>6.9070500314E10</v>
      </c>
      <c r="B984" s="2" t="s">
        <v>2276</v>
      </c>
      <c r="C984" s="2" t="s">
        <v>2277</v>
      </c>
      <c r="D984" s="2">
        <f>IFERROR(__xludf.DUMMYFUNCTION("""COMPUTED_VALUE"""),6.9070500314E10)</f>
        <v>69070500314</v>
      </c>
    </row>
    <row r="985">
      <c r="A985" s="2">
        <v>6.9070508424E10</v>
      </c>
      <c r="B985" s="2" t="s">
        <v>2278</v>
      </c>
      <c r="C985" s="2" t="s">
        <v>2279</v>
      </c>
      <c r="D985" s="2">
        <f>IFERROR(__xludf.DUMMYFUNCTION("""COMPUTED_VALUE"""),6.9070508424E10)</f>
        <v>69070508424</v>
      </c>
    </row>
    <row r="986">
      <c r="A986" s="2">
        <v>6.9070500608E10</v>
      </c>
      <c r="B986" s="2" t="s">
        <v>2280</v>
      </c>
      <c r="C986" s="2" t="s">
        <v>2281</v>
      </c>
      <c r="D986" s="2">
        <f>IFERROR(__xludf.DUMMYFUNCTION("""COMPUTED_VALUE"""),6.9070500608E10)</f>
        <v>69070500608</v>
      </c>
    </row>
    <row r="987">
      <c r="A987" s="2">
        <v>6.907050244E10</v>
      </c>
      <c r="B987" s="2" t="s">
        <v>1883</v>
      </c>
      <c r="C987" s="2" t="s">
        <v>2282</v>
      </c>
      <c r="D987" s="2">
        <f>IFERROR(__xludf.DUMMYFUNCTION("""COMPUTED_VALUE"""),6.907050244E10)</f>
        <v>69070502440</v>
      </c>
    </row>
    <row r="988">
      <c r="A988" s="2">
        <v>6.9070500635E10</v>
      </c>
      <c r="B988" s="2" t="s">
        <v>2265</v>
      </c>
      <c r="C988" s="2" t="s">
        <v>2283</v>
      </c>
      <c r="D988" s="2">
        <f>IFERROR(__xludf.DUMMYFUNCTION("""COMPUTED_VALUE"""),6.9070500635E10)</f>
        <v>69070500635</v>
      </c>
    </row>
    <row r="989">
      <c r="A989" s="2">
        <v>6.9070500681E10</v>
      </c>
      <c r="B989" s="2" t="s">
        <v>2284</v>
      </c>
      <c r="C989" s="2" t="s">
        <v>2285</v>
      </c>
      <c r="D989" s="2">
        <f>IFERROR(__xludf.DUMMYFUNCTION("""COMPUTED_VALUE"""),6.9070500681E10)</f>
        <v>69070500681</v>
      </c>
    </row>
    <row r="990">
      <c r="A990" s="2">
        <v>6.9070501072E10</v>
      </c>
      <c r="B990" s="2" t="s">
        <v>680</v>
      </c>
      <c r="C990" s="2" t="s">
        <v>2288</v>
      </c>
      <c r="D990" s="2">
        <f>IFERROR(__xludf.DUMMYFUNCTION("""COMPUTED_VALUE"""),6.9070501072E10)</f>
        <v>69070501072</v>
      </c>
    </row>
    <row r="991">
      <c r="A991" s="2">
        <v>6.9070509406E10</v>
      </c>
      <c r="B991" s="2" t="s">
        <v>2291</v>
      </c>
      <c r="C991" s="2" t="s">
        <v>2292</v>
      </c>
      <c r="D991" s="2">
        <f>IFERROR(__xludf.DUMMYFUNCTION("""COMPUTED_VALUE"""),6.9070509406E10)</f>
        <v>69070509406</v>
      </c>
    </row>
    <row r="992">
      <c r="A992" s="2">
        <v>6.9070500655E10</v>
      </c>
      <c r="B992" s="2" t="s">
        <v>540</v>
      </c>
      <c r="C992" s="2" t="s">
        <v>2295</v>
      </c>
      <c r="D992" s="2">
        <f>IFERROR(__xludf.DUMMYFUNCTION("""COMPUTED_VALUE"""),6.9070500655E10)</f>
        <v>69070500655</v>
      </c>
    </row>
    <row r="993">
      <c r="A993" s="2">
        <v>6.9070500693E10</v>
      </c>
      <c r="B993" s="2" t="s">
        <v>2298</v>
      </c>
      <c r="C993" s="2" t="s">
        <v>2300</v>
      </c>
      <c r="D993" s="2">
        <f>IFERROR(__xludf.DUMMYFUNCTION("""COMPUTED_VALUE"""),6.9070500693E10)</f>
        <v>69070500693</v>
      </c>
    </row>
    <row r="994">
      <c r="A994" s="2">
        <v>6.9070509457E10</v>
      </c>
      <c r="B994" s="2" t="s">
        <v>249</v>
      </c>
      <c r="C994" s="2" t="s">
        <v>2301</v>
      </c>
      <c r="D994" s="2">
        <f>IFERROR(__xludf.DUMMYFUNCTION("""COMPUTED_VALUE"""),6.9070509457E10)</f>
        <v>69070509457</v>
      </c>
    </row>
    <row r="995">
      <c r="A995" s="2">
        <v>6.9070500233E10</v>
      </c>
      <c r="B995" s="2" t="s">
        <v>2303</v>
      </c>
      <c r="C995" s="2" t="s">
        <v>2304</v>
      </c>
      <c r="D995" s="2">
        <f>IFERROR(__xludf.DUMMYFUNCTION("""COMPUTED_VALUE"""),6.9070500233E10)</f>
        <v>69070500233</v>
      </c>
    </row>
    <row r="996">
      <c r="A996" s="2">
        <v>6.9070500648E10</v>
      </c>
      <c r="B996" s="2" t="s">
        <v>2305</v>
      </c>
      <c r="C996" s="2" t="s">
        <v>2306</v>
      </c>
      <c r="D996" s="2">
        <f>IFERROR(__xludf.DUMMYFUNCTION("""COMPUTED_VALUE"""),6.9070500648E10)</f>
        <v>69070500648</v>
      </c>
    </row>
    <row r="997">
      <c r="A997" s="2">
        <v>6.9070500685E10</v>
      </c>
      <c r="B997" s="2" t="s">
        <v>2308</v>
      </c>
      <c r="C997" s="2" t="s">
        <v>2309</v>
      </c>
      <c r="D997" s="2">
        <f>IFERROR(__xludf.DUMMYFUNCTION("""COMPUTED_VALUE"""),6.9070500685E10)</f>
        <v>69070500685</v>
      </c>
    </row>
    <row r="998">
      <c r="A998" s="2">
        <v>6.907050061E10</v>
      </c>
      <c r="B998" s="2" t="s">
        <v>2310</v>
      </c>
      <c r="C998" s="2" t="s">
        <v>2311</v>
      </c>
      <c r="D998" s="2">
        <f>IFERROR(__xludf.DUMMYFUNCTION("""COMPUTED_VALUE"""),6.907050061E10)</f>
        <v>69070500610</v>
      </c>
    </row>
    <row r="999">
      <c r="A999" s="2">
        <v>6.9070501227E10</v>
      </c>
      <c r="B999" s="2" t="s">
        <v>2312</v>
      </c>
      <c r="C999" s="2" t="s">
        <v>2313</v>
      </c>
      <c r="D999" s="2">
        <f>IFERROR(__xludf.DUMMYFUNCTION("""COMPUTED_VALUE"""),6.9070501227E10)</f>
        <v>69070501227</v>
      </c>
    </row>
    <row r="1000">
      <c r="A1000" s="2">
        <v>6.9070506467E10</v>
      </c>
      <c r="B1000" s="2" t="s">
        <v>2314</v>
      </c>
      <c r="C1000" s="2" t="s">
        <v>2315</v>
      </c>
      <c r="D1000" s="2">
        <f>IFERROR(__xludf.DUMMYFUNCTION("""COMPUTED_VALUE"""),6.9070506467E10)</f>
        <v>69070506467</v>
      </c>
    </row>
    <row r="1001">
      <c r="A1001" s="2">
        <v>6.9070500656E10</v>
      </c>
      <c r="B1001" s="2" t="s">
        <v>2316</v>
      </c>
      <c r="C1001" s="2" t="s">
        <v>2317</v>
      </c>
      <c r="D1001" s="2">
        <f>IFERROR(__xludf.DUMMYFUNCTION("""COMPUTED_VALUE"""),6.9070500656E10)</f>
        <v>69070500656</v>
      </c>
    </row>
    <row r="1002">
      <c r="A1002" s="2">
        <v>6.9070500632E10</v>
      </c>
      <c r="B1002" s="2" t="s">
        <v>1505</v>
      </c>
      <c r="C1002" s="2" t="s">
        <v>2318</v>
      </c>
      <c r="D1002" s="2">
        <f>IFERROR(__xludf.DUMMYFUNCTION("""COMPUTED_VALUE"""),6.9070500632E10)</f>
        <v>69070500632</v>
      </c>
    </row>
    <row r="1003">
      <c r="A1003" s="2">
        <v>6.907050066E10</v>
      </c>
      <c r="B1003" s="2" t="s">
        <v>2319</v>
      </c>
      <c r="C1003" s="2" t="s">
        <v>2320</v>
      </c>
      <c r="D1003" s="2">
        <f>IFERROR(__xludf.DUMMYFUNCTION("""COMPUTED_VALUE"""),6.907050066E10)</f>
        <v>69070500660</v>
      </c>
    </row>
    <row r="1004">
      <c r="A1004" s="2">
        <v>6.9070500683E10</v>
      </c>
      <c r="B1004" s="2" t="s">
        <v>2321</v>
      </c>
      <c r="C1004" s="2" t="s">
        <v>2322</v>
      </c>
      <c r="D1004" s="2">
        <f>IFERROR(__xludf.DUMMYFUNCTION("""COMPUTED_VALUE"""),6.9070500683E10)</f>
        <v>69070500683</v>
      </c>
    </row>
    <row r="1005">
      <c r="A1005" s="2">
        <v>6.9070500641E10</v>
      </c>
      <c r="B1005" s="2" t="s">
        <v>2323</v>
      </c>
      <c r="C1005" s="2" t="s">
        <v>2324</v>
      </c>
      <c r="D1005" s="2">
        <f>IFERROR(__xludf.DUMMYFUNCTION("""COMPUTED_VALUE"""),6.9070500641E10)</f>
        <v>69070500641</v>
      </c>
    </row>
    <row r="1006">
      <c r="A1006" s="2">
        <v>6.9070506438E10</v>
      </c>
      <c r="B1006" s="2" t="s">
        <v>2325</v>
      </c>
      <c r="C1006" s="2" t="s">
        <v>2326</v>
      </c>
      <c r="D1006" s="2">
        <f>IFERROR(__xludf.DUMMYFUNCTION("""COMPUTED_VALUE"""),6.9070506438E10)</f>
        <v>69070506438</v>
      </c>
    </row>
    <row r="1007">
      <c r="A1007" s="2">
        <v>6.9070500612E10</v>
      </c>
      <c r="B1007" s="2" t="s">
        <v>2327</v>
      </c>
      <c r="C1007" s="2" t="s">
        <v>2328</v>
      </c>
      <c r="D1007" s="2">
        <f>IFERROR(__xludf.DUMMYFUNCTION("""COMPUTED_VALUE"""),6.9070500612E10)</f>
        <v>69070500612</v>
      </c>
    </row>
    <row r="1008">
      <c r="A1008" s="2">
        <v>6.9070509444E10</v>
      </c>
      <c r="B1008" s="2" t="s">
        <v>2329</v>
      </c>
      <c r="C1008" s="2" t="s">
        <v>2330</v>
      </c>
      <c r="D1008" s="2">
        <f>IFERROR(__xludf.DUMMYFUNCTION("""COMPUTED_VALUE"""),6.9070509444E10)</f>
        <v>69070509444</v>
      </c>
    </row>
    <row r="1009">
      <c r="A1009" s="2">
        <v>6.9070501272E10</v>
      </c>
      <c r="B1009" s="2" t="s">
        <v>2331</v>
      </c>
      <c r="C1009" s="2" t="s">
        <v>2332</v>
      </c>
      <c r="D1009" s="2">
        <f>IFERROR(__xludf.DUMMYFUNCTION("""COMPUTED_VALUE"""),6.9070501272E10)</f>
        <v>69070501272</v>
      </c>
    </row>
    <row r="1010">
      <c r="A1010" s="2">
        <v>6.9070500688E10</v>
      </c>
      <c r="B1010" s="2" t="s">
        <v>2333</v>
      </c>
      <c r="C1010" s="2" t="s">
        <v>2334</v>
      </c>
      <c r="D1010" s="2">
        <f>IFERROR(__xludf.DUMMYFUNCTION("""COMPUTED_VALUE"""),6.9070500688E10)</f>
        <v>69070500688</v>
      </c>
    </row>
    <row r="1011">
      <c r="A1011" s="2">
        <v>6.9070500603E10</v>
      </c>
      <c r="B1011" s="2" t="s">
        <v>2335</v>
      </c>
      <c r="C1011" s="2" t="s">
        <v>2336</v>
      </c>
      <c r="D1011" s="2">
        <f>IFERROR(__xludf.DUMMYFUNCTION("""COMPUTED_VALUE"""),6.9070500603E10)</f>
        <v>69070500603</v>
      </c>
    </row>
    <row r="1012">
      <c r="A1012" s="2">
        <v>6.9070509436E10</v>
      </c>
      <c r="B1012" s="2" t="s">
        <v>209</v>
      </c>
      <c r="C1012" s="2" t="s">
        <v>2337</v>
      </c>
      <c r="D1012" s="2">
        <f>IFERROR(__xludf.DUMMYFUNCTION("""COMPUTED_VALUE"""),6.9070509436E10)</f>
        <v>69070509436</v>
      </c>
    </row>
    <row r="1013">
      <c r="A1013" s="2">
        <v>6.9070509427E10</v>
      </c>
      <c r="B1013" s="2" t="s">
        <v>2338</v>
      </c>
      <c r="C1013" s="2" t="s">
        <v>2339</v>
      </c>
      <c r="D1013" s="2">
        <f>IFERROR(__xludf.DUMMYFUNCTION("""COMPUTED_VALUE"""),6.9070509427E10)</f>
        <v>69070509427</v>
      </c>
    </row>
    <row r="1014">
      <c r="A1014" s="2">
        <v>6.9070500675E10</v>
      </c>
      <c r="B1014" s="2" t="s">
        <v>2340</v>
      </c>
      <c r="C1014" s="2" t="s">
        <v>2341</v>
      </c>
      <c r="D1014" s="2">
        <f>IFERROR(__xludf.DUMMYFUNCTION("""COMPUTED_VALUE"""),6.9070500675E10)</f>
        <v>69070500675</v>
      </c>
    </row>
    <row r="1015">
      <c r="A1015" s="2">
        <v>6.9070500601E10</v>
      </c>
      <c r="B1015" s="2" t="s">
        <v>2344</v>
      </c>
      <c r="C1015" s="2" t="s">
        <v>2345</v>
      </c>
      <c r="D1015" s="2">
        <f>IFERROR(__xludf.DUMMYFUNCTION("""COMPUTED_VALUE"""),6.9070500601E10)</f>
        <v>69070500601</v>
      </c>
    </row>
    <row r="1016">
      <c r="A1016" s="2">
        <v>6.907050823E10</v>
      </c>
      <c r="B1016" s="2" t="s">
        <v>2348</v>
      </c>
      <c r="C1016" s="2" t="s">
        <v>2349</v>
      </c>
      <c r="D1016" s="2">
        <f>IFERROR(__xludf.DUMMYFUNCTION("""COMPUTED_VALUE"""),6.907050823E10)</f>
        <v>69070508230</v>
      </c>
    </row>
    <row r="1017">
      <c r="A1017" s="2">
        <v>6.9070500614E10</v>
      </c>
      <c r="B1017" s="2" t="s">
        <v>2352</v>
      </c>
      <c r="C1017" s="2" t="s">
        <v>2353</v>
      </c>
      <c r="D1017" s="2">
        <f>IFERROR(__xludf.DUMMYFUNCTION("""COMPUTED_VALUE"""),6.9070500614E10)</f>
        <v>69070500614</v>
      </c>
    </row>
    <row r="1018">
      <c r="A1018" s="2">
        <v>6.9070509419E10</v>
      </c>
      <c r="B1018" s="2" t="s">
        <v>197</v>
      </c>
      <c r="C1018" s="2" t="s">
        <v>2357</v>
      </c>
      <c r="D1018" s="2">
        <f>IFERROR(__xludf.DUMMYFUNCTION("""COMPUTED_VALUE"""),6.9070509419E10)</f>
        <v>69070509419</v>
      </c>
    </row>
    <row r="1019">
      <c r="A1019" s="2">
        <v>6.9070500035E10</v>
      </c>
      <c r="B1019" s="2" t="s">
        <v>2358</v>
      </c>
      <c r="C1019" s="2" t="s">
        <v>2359</v>
      </c>
      <c r="D1019" s="2">
        <f>IFERROR(__xludf.DUMMYFUNCTION("""COMPUTED_VALUE"""),6.9070500035E10)</f>
        <v>69070500035</v>
      </c>
    </row>
    <row r="1020">
      <c r="A1020" s="2">
        <v>6.9070500025E10</v>
      </c>
      <c r="B1020" s="2" t="s">
        <v>600</v>
      </c>
      <c r="C1020" s="2" t="s">
        <v>2360</v>
      </c>
      <c r="D1020" s="2">
        <f>IFERROR(__xludf.DUMMYFUNCTION("""COMPUTED_VALUE"""),6.9070500025E10)</f>
        <v>69070500025</v>
      </c>
    </row>
    <row r="1021">
      <c r="A1021" s="2">
        <v>6.9070500684E10</v>
      </c>
      <c r="B1021" s="2" t="s">
        <v>2361</v>
      </c>
      <c r="C1021" s="2" t="s">
        <v>2362</v>
      </c>
      <c r="D1021" s="2">
        <f>IFERROR(__xludf.DUMMYFUNCTION("""COMPUTED_VALUE"""),6.9070500684E10)</f>
        <v>69070500684</v>
      </c>
    </row>
    <row r="1022">
      <c r="A1022" s="2">
        <v>6.9070508847E10</v>
      </c>
      <c r="B1022" s="2" t="s">
        <v>2363</v>
      </c>
      <c r="C1022" s="2" t="s">
        <v>2364</v>
      </c>
      <c r="D1022" s="2">
        <f>IFERROR(__xludf.DUMMYFUNCTION("""COMPUTED_VALUE"""),6.9070508847E10)</f>
        <v>69070508847</v>
      </c>
    </row>
    <row r="1023">
      <c r="A1023" s="2">
        <v>6.9070508412E10</v>
      </c>
      <c r="B1023" s="2" t="s">
        <v>2365</v>
      </c>
      <c r="C1023" s="2" t="s">
        <v>2366</v>
      </c>
      <c r="D1023" s="2">
        <f>IFERROR(__xludf.DUMMYFUNCTION("""COMPUTED_VALUE"""),6.9070508412E10)</f>
        <v>69070508412</v>
      </c>
    </row>
    <row r="1024">
      <c r="A1024" s="2">
        <v>6.9070506421E10</v>
      </c>
      <c r="B1024" s="2" t="s">
        <v>2367</v>
      </c>
      <c r="C1024" s="2" t="s">
        <v>2368</v>
      </c>
      <c r="D1024" s="2">
        <f>IFERROR(__xludf.DUMMYFUNCTION("""COMPUTED_VALUE"""),6.9070506421E10)</f>
        <v>69070506421</v>
      </c>
    </row>
    <row r="1025">
      <c r="A1025" s="2">
        <v>6.9070509845E10</v>
      </c>
      <c r="B1025" s="2" t="s">
        <v>1362</v>
      </c>
      <c r="C1025" s="2" t="s">
        <v>2369</v>
      </c>
      <c r="D1025" s="2">
        <f>IFERROR(__xludf.DUMMYFUNCTION("""COMPUTED_VALUE"""),6.9070509845E10)</f>
        <v>69070509845</v>
      </c>
    </row>
    <row r="1026">
      <c r="A1026" s="2">
        <v>6.9070509422E10</v>
      </c>
      <c r="B1026" s="2" t="s">
        <v>2370</v>
      </c>
      <c r="C1026" s="2" t="s">
        <v>2371</v>
      </c>
      <c r="D1026" s="2">
        <f>IFERROR(__xludf.DUMMYFUNCTION("""COMPUTED_VALUE"""),6.9070509422E10)</f>
        <v>69070509422</v>
      </c>
    </row>
    <row r="1027">
      <c r="A1027" s="2">
        <v>6.9070508421E10</v>
      </c>
      <c r="B1027" s="2" t="s">
        <v>2372</v>
      </c>
      <c r="C1027" s="2" t="s">
        <v>2373</v>
      </c>
      <c r="D1027" s="2">
        <f>IFERROR(__xludf.DUMMYFUNCTION("""COMPUTED_VALUE"""),6.9070508421E10)</f>
        <v>69070508421</v>
      </c>
    </row>
    <row r="1028">
      <c r="A1028" s="2">
        <v>6.907050884E10</v>
      </c>
      <c r="B1028" s="2" t="s">
        <v>2374</v>
      </c>
      <c r="C1028" s="2" t="s">
        <v>2375</v>
      </c>
      <c r="D1028" s="2">
        <f>IFERROR(__xludf.DUMMYFUNCTION("""COMPUTED_VALUE"""),6.907050884E10)</f>
        <v>69070508840</v>
      </c>
    </row>
    <row r="1029">
      <c r="A1029" s="2">
        <v>6.907050882E10</v>
      </c>
      <c r="B1029" s="2" t="s">
        <v>2376</v>
      </c>
      <c r="C1029" s="2" t="s">
        <v>2377</v>
      </c>
      <c r="D1029" s="2">
        <f>IFERROR(__xludf.DUMMYFUNCTION("""COMPUTED_VALUE"""),6.907050882E10)</f>
        <v>69070508820</v>
      </c>
    </row>
    <row r="1030">
      <c r="A1030" s="2">
        <v>6.907050021E10</v>
      </c>
      <c r="B1030" s="2" t="s">
        <v>2378</v>
      </c>
      <c r="C1030" s="2" t="s">
        <v>2379</v>
      </c>
      <c r="D1030" s="2">
        <f>IFERROR(__xludf.DUMMYFUNCTION("""COMPUTED_VALUE"""),6.907050021E10)</f>
        <v>69070500210</v>
      </c>
    </row>
    <row r="1031">
      <c r="A1031" s="2">
        <v>6.9070500618E10</v>
      </c>
      <c r="B1031" s="2" t="s">
        <v>2380</v>
      </c>
      <c r="C1031" s="2" t="s">
        <v>2381</v>
      </c>
      <c r="D1031" s="2">
        <f>IFERROR(__xludf.DUMMYFUNCTION("""COMPUTED_VALUE"""),6.9070500618E10)</f>
        <v>69070500618</v>
      </c>
    </row>
    <row r="1032">
      <c r="A1032" s="2">
        <v>6.9070500653E10</v>
      </c>
      <c r="B1032" s="2" t="s">
        <v>2382</v>
      </c>
      <c r="C1032" s="2" t="s">
        <v>2383</v>
      </c>
      <c r="D1032" s="2">
        <f>IFERROR(__xludf.DUMMYFUNCTION("""COMPUTED_VALUE"""),6.9070500653E10)</f>
        <v>69070500653</v>
      </c>
    </row>
    <row r="1033">
      <c r="A1033" s="2">
        <v>6.9070500668E10</v>
      </c>
      <c r="B1033" s="2" t="s">
        <v>2384</v>
      </c>
      <c r="C1033" s="2" t="s">
        <v>2385</v>
      </c>
      <c r="D1033" s="2">
        <f>IFERROR(__xludf.DUMMYFUNCTION("""COMPUTED_VALUE"""),6.9070500668E10)</f>
        <v>69070500668</v>
      </c>
    </row>
    <row r="1034">
      <c r="A1034" s="2">
        <v>6.9070500674E10</v>
      </c>
      <c r="B1034" s="2" t="s">
        <v>2386</v>
      </c>
      <c r="C1034" s="2" t="s">
        <v>2387</v>
      </c>
      <c r="D1034" s="2">
        <f>IFERROR(__xludf.DUMMYFUNCTION("""COMPUTED_VALUE"""),6.9070500674E10)</f>
        <v>69070500674</v>
      </c>
    </row>
    <row r="1035">
      <c r="A1035" s="2">
        <v>6.907050942E10</v>
      </c>
      <c r="B1035" s="2" t="s">
        <v>2388</v>
      </c>
      <c r="C1035" s="2" t="s">
        <v>2389</v>
      </c>
      <c r="D1035" s="2">
        <f>IFERROR(__xludf.DUMMYFUNCTION("""COMPUTED_VALUE"""),6.907050942E10)</f>
        <v>69070509420</v>
      </c>
    </row>
    <row r="1036">
      <c r="A1036" s="2">
        <v>6.9070508422E10</v>
      </c>
      <c r="B1036" s="2" t="s">
        <v>2390</v>
      </c>
      <c r="C1036" s="2" t="s">
        <v>2391</v>
      </c>
      <c r="D1036" s="2">
        <f>IFERROR(__xludf.DUMMYFUNCTION("""COMPUTED_VALUE"""),6.9070508422E10)</f>
        <v>69070508422</v>
      </c>
    </row>
    <row r="1037">
      <c r="A1037" s="2">
        <v>6.907050065E10</v>
      </c>
      <c r="B1037" s="2" t="s">
        <v>1460</v>
      </c>
      <c r="C1037" s="2" t="s">
        <v>2392</v>
      </c>
      <c r="D1037" s="2">
        <f>IFERROR(__xludf.DUMMYFUNCTION("""COMPUTED_VALUE"""),6.907050065E10)</f>
        <v>69070500650</v>
      </c>
    </row>
    <row r="1038">
      <c r="A1038" s="2">
        <v>6.9070500679E10</v>
      </c>
      <c r="B1038" s="2" t="s">
        <v>2077</v>
      </c>
      <c r="C1038" s="2" t="s">
        <v>2393</v>
      </c>
      <c r="D1038" s="2">
        <f>IFERROR(__xludf.DUMMYFUNCTION("""COMPUTED_VALUE"""),6.9070500679E10)</f>
        <v>69070500679</v>
      </c>
    </row>
    <row r="1039">
      <c r="A1039" s="2">
        <v>6.9070500621E10</v>
      </c>
      <c r="B1039" s="2" t="s">
        <v>2395</v>
      </c>
      <c r="C1039" s="2" t="s">
        <v>2396</v>
      </c>
      <c r="D1039" s="2">
        <f>IFERROR(__xludf.DUMMYFUNCTION("""COMPUTED_VALUE"""),6.9070500621E10)</f>
        <v>69070500621</v>
      </c>
    </row>
    <row r="1040">
      <c r="A1040" s="2">
        <v>6.9070500642E10</v>
      </c>
      <c r="B1040" s="2" t="s">
        <v>60</v>
      </c>
      <c r="C1040" s="2" t="s">
        <v>2399</v>
      </c>
      <c r="D1040" s="2">
        <f>IFERROR(__xludf.DUMMYFUNCTION("""COMPUTED_VALUE"""),6.9070500642E10)</f>
        <v>69070500642</v>
      </c>
    </row>
    <row r="1041">
      <c r="A1041" s="2">
        <v>6.907050947E10</v>
      </c>
      <c r="B1041" s="2" t="s">
        <v>2402</v>
      </c>
      <c r="C1041" s="2" t="s">
        <v>2403</v>
      </c>
      <c r="D1041" s="2">
        <f>IFERROR(__xludf.DUMMYFUNCTION("""COMPUTED_VALUE"""),6.907050947E10)</f>
        <v>69070509470</v>
      </c>
    </row>
    <row r="1042">
      <c r="A1042" s="2">
        <v>6.9070501235E10</v>
      </c>
      <c r="B1042" s="2" t="s">
        <v>827</v>
      </c>
      <c r="C1042" s="2" t="s">
        <v>2406</v>
      </c>
      <c r="D1042" s="2">
        <f>IFERROR(__xludf.DUMMYFUNCTION("""COMPUTED_VALUE"""),6.9070501235E10)</f>
        <v>69070501235</v>
      </c>
    </row>
    <row r="1043">
      <c r="A1043" s="2">
        <v>6.9070508814E10</v>
      </c>
      <c r="B1043" s="2" t="s">
        <v>2408</v>
      </c>
      <c r="C1043" s="2" t="s">
        <v>2409</v>
      </c>
      <c r="D1043" s="2">
        <f>IFERROR(__xludf.DUMMYFUNCTION("""COMPUTED_VALUE"""),6.9070508814E10)</f>
        <v>69070508814</v>
      </c>
    </row>
    <row r="1044">
      <c r="A1044" s="2">
        <v>6.9070500672E10</v>
      </c>
      <c r="B1044" s="2" t="s">
        <v>2410</v>
      </c>
      <c r="C1044" s="2" t="s">
        <v>2411</v>
      </c>
      <c r="D1044" s="2">
        <f>IFERROR(__xludf.DUMMYFUNCTION("""COMPUTED_VALUE"""),6.9070500672E10)</f>
        <v>69070500672</v>
      </c>
    </row>
    <row r="1045">
      <c r="A1045" s="2">
        <v>6.9070508401E10</v>
      </c>
      <c r="B1045" s="2" t="s">
        <v>2412</v>
      </c>
      <c r="C1045" s="2" t="s">
        <v>2413</v>
      </c>
      <c r="D1045" s="2">
        <f>IFERROR(__xludf.DUMMYFUNCTION("""COMPUTED_VALUE"""),6.9070508401E10)</f>
        <v>69070508401</v>
      </c>
    </row>
    <row r="1046">
      <c r="A1046" s="2">
        <v>6.9070500254E10</v>
      </c>
      <c r="B1046" s="2" t="s">
        <v>588</v>
      </c>
      <c r="C1046" s="2" t="s">
        <v>2414</v>
      </c>
      <c r="D1046" s="2">
        <f>IFERROR(__xludf.DUMMYFUNCTION("""COMPUTED_VALUE"""),6.9070500254E10)</f>
        <v>69070500254</v>
      </c>
    </row>
    <row r="1047">
      <c r="A1047" s="2">
        <v>6.9070508801E10</v>
      </c>
      <c r="B1047" s="2" t="s">
        <v>2415</v>
      </c>
      <c r="C1047" s="2" t="s">
        <v>2416</v>
      </c>
      <c r="D1047" s="2">
        <f>IFERROR(__xludf.DUMMYFUNCTION("""COMPUTED_VALUE"""),6.9070508801E10)</f>
        <v>69070508801</v>
      </c>
    </row>
    <row r="1048">
      <c r="A1048" s="2">
        <v>6.9070501203E10</v>
      </c>
      <c r="B1048" s="2" t="s">
        <v>2417</v>
      </c>
      <c r="C1048" s="2" t="s">
        <v>2418</v>
      </c>
      <c r="D1048" s="2">
        <f>IFERROR(__xludf.DUMMYFUNCTION("""COMPUTED_VALUE"""),6.9070501203E10)</f>
        <v>69070501203</v>
      </c>
    </row>
    <row r="1049">
      <c r="A1049" s="2">
        <v>6.907050946E10</v>
      </c>
      <c r="B1049" s="2" t="s">
        <v>1345</v>
      </c>
      <c r="C1049" s="2" t="s">
        <v>2419</v>
      </c>
      <c r="D1049" s="2">
        <f>IFERROR(__xludf.DUMMYFUNCTION("""COMPUTED_VALUE"""),6.907050946E10)</f>
        <v>69070509460</v>
      </c>
    </row>
    <row r="1050">
      <c r="A1050" s="2">
        <v>6.9070508831E10</v>
      </c>
      <c r="B1050" s="2" t="s">
        <v>2420</v>
      </c>
      <c r="C1050" s="2" t="s">
        <v>2421</v>
      </c>
      <c r="D1050" s="2">
        <f>IFERROR(__xludf.DUMMYFUNCTION("""COMPUTED_VALUE"""),6.9070508831E10)</f>
        <v>69070508831</v>
      </c>
    </row>
    <row r="1051">
      <c r="A1051" s="2">
        <v>6.9070508834E10</v>
      </c>
      <c r="B1051" s="2" t="s">
        <v>2422</v>
      </c>
      <c r="C1051" s="2" t="s">
        <v>2423</v>
      </c>
      <c r="D1051" s="2">
        <f>IFERROR(__xludf.DUMMYFUNCTION("""COMPUTED_VALUE"""),6.9070508834E10)</f>
        <v>69070508834</v>
      </c>
    </row>
    <row r="1052">
      <c r="A1052" s="2">
        <v>6.9070500624E10</v>
      </c>
      <c r="B1052" s="2" t="s">
        <v>464</v>
      </c>
      <c r="C1052" s="2" t="s">
        <v>2424</v>
      </c>
      <c r="D1052" s="2">
        <f>IFERROR(__xludf.DUMMYFUNCTION("""COMPUTED_VALUE"""),6.9070500624E10)</f>
        <v>69070500624</v>
      </c>
    </row>
    <row r="1053">
      <c r="A1053" s="2">
        <v>6.9070500682E10</v>
      </c>
      <c r="B1053" s="2" t="s">
        <v>2425</v>
      </c>
      <c r="C1053" s="2" t="s">
        <v>2426</v>
      </c>
      <c r="D1053" s="2">
        <f>IFERROR(__xludf.DUMMYFUNCTION("""COMPUTED_VALUE"""),6.9070500682E10)</f>
        <v>69070500682</v>
      </c>
    </row>
    <row r="1054">
      <c r="A1054" s="2">
        <v>6.9070509438E10</v>
      </c>
      <c r="B1054" s="2" t="s">
        <v>284</v>
      </c>
      <c r="C1054" s="2" t="s">
        <v>2427</v>
      </c>
      <c r="D1054" s="2">
        <f>IFERROR(__xludf.DUMMYFUNCTION("""COMPUTED_VALUE"""),6.9070509438E10)</f>
        <v>69070509438</v>
      </c>
    </row>
    <row r="1055">
      <c r="A1055" s="2">
        <v>6.9070502472E10</v>
      </c>
      <c r="B1055" s="2" t="s">
        <v>2428</v>
      </c>
      <c r="C1055" s="2" t="s">
        <v>2429</v>
      </c>
      <c r="D1055" s="2">
        <f>IFERROR(__xludf.DUMMYFUNCTION("""COMPUTED_VALUE"""),6.9070502472E10)</f>
        <v>69070502472</v>
      </c>
    </row>
    <row r="1056">
      <c r="A1056" s="2">
        <v>6.9070508821E10</v>
      </c>
      <c r="B1056" s="2" t="s">
        <v>2430</v>
      </c>
      <c r="C1056" s="2" t="s">
        <v>2431</v>
      </c>
      <c r="D1056" s="2">
        <f>IFERROR(__xludf.DUMMYFUNCTION("""COMPUTED_VALUE"""),6.9070508821E10)</f>
        <v>69070508821</v>
      </c>
    </row>
    <row r="1057">
      <c r="A1057" s="2">
        <v>6.9070500272E10</v>
      </c>
      <c r="B1057" s="2" t="s">
        <v>2432</v>
      </c>
      <c r="C1057" s="2" t="s">
        <v>2433</v>
      </c>
      <c r="D1057" s="2">
        <f>IFERROR(__xludf.DUMMYFUNCTION("""COMPUTED_VALUE"""),6.9070500272E10)</f>
        <v>69070500272</v>
      </c>
    </row>
    <row r="1058">
      <c r="A1058" s="2">
        <v>6.9070501012E10</v>
      </c>
      <c r="B1058" s="2" t="s">
        <v>2434</v>
      </c>
      <c r="C1058" s="2" t="s">
        <v>2435</v>
      </c>
      <c r="D1058" s="2">
        <f>IFERROR(__xludf.DUMMYFUNCTION("""COMPUTED_VALUE"""),6.9070501012E10)</f>
        <v>69070501012</v>
      </c>
    </row>
    <row r="1059">
      <c r="A1059" s="2">
        <v>6.9070500616E10</v>
      </c>
      <c r="B1059" s="2" t="s">
        <v>1000</v>
      </c>
      <c r="C1059" s="2" t="s">
        <v>2436</v>
      </c>
      <c r="D1059" s="2">
        <f>IFERROR(__xludf.DUMMYFUNCTION("""COMPUTED_VALUE"""),6.9070500616E10)</f>
        <v>69070500616</v>
      </c>
    </row>
    <row r="1060">
      <c r="A1060" s="2">
        <v>6.9070502424E10</v>
      </c>
      <c r="B1060" s="2" t="s">
        <v>2437</v>
      </c>
      <c r="C1060" s="2" t="s">
        <v>2438</v>
      </c>
      <c r="D1060" s="2">
        <f>IFERROR(__xludf.DUMMYFUNCTION("""COMPUTED_VALUE"""),6.9070502424E10)</f>
        <v>69070502424</v>
      </c>
    </row>
    <row r="1061">
      <c r="A1061" s="2">
        <v>6.9070500667E10</v>
      </c>
      <c r="B1061" s="2" t="s">
        <v>2439</v>
      </c>
      <c r="C1061" s="2" t="s">
        <v>2440</v>
      </c>
      <c r="D1061" s="2">
        <f>IFERROR(__xludf.DUMMYFUNCTION("""COMPUTED_VALUE"""),6.9070500667E10)</f>
        <v>69070500667</v>
      </c>
    </row>
    <row r="1062">
      <c r="A1062" s="2">
        <v>6.9070500654E10</v>
      </c>
      <c r="B1062" s="2" t="s">
        <v>488</v>
      </c>
      <c r="C1062" s="2" t="s">
        <v>2441</v>
      </c>
      <c r="D1062" s="2">
        <f>IFERROR(__xludf.DUMMYFUNCTION("""COMPUTED_VALUE"""),6.9070500654E10)</f>
        <v>69070500654</v>
      </c>
    </row>
    <row r="1063">
      <c r="A1063" s="2">
        <v>6.907050062E10</v>
      </c>
      <c r="B1063" s="2" t="s">
        <v>2443</v>
      </c>
      <c r="C1063" s="2" t="s">
        <v>2445</v>
      </c>
      <c r="D1063" s="2">
        <f>IFERROR(__xludf.DUMMYFUNCTION("""COMPUTED_VALUE"""),6.907050062E10)</f>
        <v>69070500620</v>
      </c>
    </row>
    <row r="1064">
      <c r="A1064" s="2">
        <v>6.9070500661E10</v>
      </c>
      <c r="B1064" s="2" t="s">
        <v>2448</v>
      </c>
      <c r="C1064" s="2" t="s">
        <v>2449</v>
      </c>
      <c r="D1064" s="2">
        <f>IFERROR(__xludf.DUMMYFUNCTION("""COMPUTED_VALUE"""),6.9070500661E10)</f>
        <v>69070500661</v>
      </c>
    </row>
    <row r="1065">
      <c r="A1065" s="2">
        <v>6.9070508841E10</v>
      </c>
      <c r="B1065" s="2" t="s">
        <v>1218</v>
      </c>
      <c r="C1065" s="2" t="s">
        <v>2453</v>
      </c>
      <c r="D1065" s="2">
        <f>IFERROR(__xludf.DUMMYFUNCTION("""COMPUTED_VALUE"""),6.9070508841E10)</f>
        <v>69070508841</v>
      </c>
    </row>
    <row r="1066">
      <c r="A1066" s="2">
        <v>6.907050002E10</v>
      </c>
      <c r="B1066" s="2" t="s">
        <v>338</v>
      </c>
      <c r="C1066" s="2" t="s">
        <v>2456</v>
      </c>
      <c r="D1066" s="2">
        <f>IFERROR(__xludf.DUMMYFUNCTION("""COMPUTED_VALUE"""),6.907050002E10)</f>
        <v>69070500020</v>
      </c>
    </row>
    <row r="1067">
      <c r="A1067" s="2">
        <v>6.9070500626E10</v>
      </c>
      <c r="B1067" s="2" t="s">
        <v>2458</v>
      </c>
      <c r="C1067" s="2" t="s">
        <v>2459</v>
      </c>
      <c r="D1067" s="2">
        <f>IFERROR(__xludf.DUMMYFUNCTION("""COMPUTED_VALUE"""),6.9070500626E10)</f>
        <v>69070500626</v>
      </c>
    </row>
    <row r="1068">
      <c r="A1068" s="2">
        <v>6.9070502482E10</v>
      </c>
      <c r="B1068" s="2" t="s">
        <v>2460</v>
      </c>
      <c r="C1068" s="2" t="s">
        <v>2461</v>
      </c>
      <c r="D1068" s="2">
        <f>IFERROR(__xludf.DUMMYFUNCTION("""COMPUTED_VALUE"""),6.9070502482E10)</f>
        <v>69070502482</v>
      </c>
    </row>
    <row r="1069">
      <c r="A1069" s="2">
        <v>6.9070509618E10</v>
      </c>
      <c r="B1069" s="2" t="s">
        <v>2462</v>
      </c>
      <c r="C1069" s="2" t="s">
        <v>2463</v>
      </c>
      <c r="D1069" s="2">
        <f>IFERROR(__xludf.DUMMYFUNCTION("""COMPUTED_VALUE"""),6.9070509618E10)</f>
        <v>69070509618</v>
      </c>
    </row>
    <row r="1070">
      <c r="A1070" s="2">
        <v>6.9070500677E10</v>
      </c>
      <c r="B1070" s="2" t="s">
        <v>2464</v>
      </c>
      <c r="C1070" s="2" t="s">
        <v>2465</v>
      </c>
      <c r="D1070" s="2">
        <f>IFERROR(__xludf.DUMMYFUNCTION("""COMPUTED_VALUE"""),6.9070500677E10)</f>
        <v>69070500677</v>
      </c>
    </row>
    <row r="1071">
      <c r="A1071" s="2">
        <v>6.907050122E10</v>
      </c>
      <c r="B1071" s="2" t="s">
        <v>260</v>
      </c>
      <c r="C1071" s="2" t="s">
        <v>2466</v>
      </c>
      <c r="D1071" s="2">
        <f>IFERROR(__xludf.DUMMYFUNCTION("""COMPUTED_VALUE"""),6.907050122E10)</f>
        <v>69070501220</v>
      </c>
    </row>
    <row r="1072">
      <c r="A1072" s="2">
        <v>6.9070500637E10</v>
      </c>
      <c r="B1072" s="2" t="s">
        <v>179</v>
      </c>
      <c r="C1072" s="2" t="s">
        <v>2467</v>
      </c>
      <c r="D1072" s="2">
        <f>IFERROR(__xludf.DUMMYFUNCTION("""COMPUTED_VALUE"""),6.9070500637E10)</f>
        <v>69070500637</v>
      </c>
    </row>
    <row r="1073">
      <c r="A1073" s="2">
        <v>6.9070509442E10</v>
      </c>
      <c r="B1073" s="2" t="s">
        <v>2468</v>
      </c>
      <c r="C1073" s="2" t="s">
        <v>2469</v>
      </c>
      <c r="D1073" s="2">
        <f>IFERROR(__xludf.DUMMYFUNCTION("""COMPUTED_VALUE"""),6.9070509442E10)</f>
        <v>69070509442</v>
      </c>
    </row>
    <row r="1074">
      <c r="A1074" s="2">
        <v>6.9070500643E10</v>
      </c>
      <c r="B1074" s="2" t="s">
        <v>2470</v>
      </c>
      <c r="C1074" s="2" t="s">
        <v>2471</v>
      </c>
      <c r="D1074" s="2">
        <f>IFERROR(__xludf.DUMMYFUNCTION("""COMPUTED_VALUE"""),6.9070500643E10)</f>
        <v>69070500643</v>
      </c>
    </row>
    <row r="1075">
      <c r="A1075" s="2">
        <v>6.9070501037E10</v>
      </c>
      <c r="B1075" s="2" t="s">
        <v>2472</v>
      </c>
      <c r="C1075" s="2" t="s">
        <v>2473</v>
      </c>
      <c r="D1075" s="2">
        <f>IFERROR(__xludf.DUMMYFUNCTION("""COMPUTED_VALUE"""),6.9070501037E10)</f>
        <v>69070501037</v>
      </c>
    </row>
    <row r="1076">
      <c r="A1076" s="2">
        <v>6.9070500651E10</v>
      </c>
      <c r="B1076" s="2" t="s">
        <v>2474</v>
      </c>
      <c r="C1076" s="2" t="s">
        <v>2475</v>
      </c>
      <c r="D1076" s="2">
        <f>IFERROR(__xludf.DUMMYFUNCTION("""COMPUTED_VALUE"""),6.9070500651E10)</f>
        <v>69070500651</v>
      </c>
    </row>
    <row r="1077">
      <c r="A1077" s="2">
        <v>6.9070500634E10</v>
      </c>
      <c r="B1077" s="2" t="s">
        <v>94</v>
      </c>
      <c r="C1077" s="2" t="s">
        <v>2476</v>
      </c>
      <c r="D1077" s="2">
        <f>IFERROR(__xludf.DUMMYFUNCTION("""COMPUTED_VALUE"""),6.9070500634E10)</f>
        <v>69070500634</v>
      </c>
    </row>
    <row r="1078">
      <c r="A1078" s="2">
        <v>6.9070500686E10</v>
      </c>
      <c r="B1078" s="2" t="s">
        <v>2477</v>
      </c>
      <c r="C1078" s="2" t="s">
        <v>2478</v>
      </c>
      <c r="D1078" s="2">
        <f>IFERROR(__xludf.DUMMYFUNCTION("""COMPUTED_VALUE"""),6.9070500686E10)</f>
        <v>69070500686</v>
      </c>
    </row>
    <row r="1079">
      <c r="A1079" s="2">
        <v>6.9070508846E10</v>
      </c>
      <c r="B1079" s="2" t="s">
        <v>2479</v>
      </c>
      <c r="C1079" s="2" t="s">
        <v>2480</v>
      </c>
      <c r="D1079" s="2">
        <f>IFERROR(__xludf.DUMMYFUNCTION("""COMPUTED_VALUE"""),6.9070508846E10)</f>
        <v>69070508846</v>
      </c>
    </row>
    <row r="1080">
      <c r="A1080" s="2">
        <v>6.9070500671E10</v>
      </c>
      <c r="B1080" s="2" t="s">
        <v>2481</v>
      </c>
      <c r="C1080" s="2" t="s">
        <v>2482</v>
      </c>
      <c r="D1080" s="2">
        <f>IFERROR(__xludf.DUMMYFUNCTION("""COMPUTED_VALUE"""),6.9070500671E10)</f>
        <v>69070500671</v>
      </c>
    </row>
    <row r="1081">
      <c r="A1081" s="2">
        <v>6.9070500407E10</v>
      </c>
      <c r="B1081" s="2" t="s">
        <v>116</v>
      </c>
      <c r="C1081" s="2" t="s">
        <v>2483</v>
      </c>
      <c r="D1081" s="2">
        <f>IFERROR(__xludf.DUMMYFUNCTION("""COMPUTED_VALUE"""),6.9070500407E10)</f>
        <v>69070500407</v>
      </c>
    </row>
    <row r="1082">
      <c r="A1082" s="2">
        <v>6.9070509447E10</v>
      </c>
      <c r="B1082" s="2" t="s">
        <v>2484</v>
      </c>
      <c r="C1082" s="2" t="s">
        <v>2485</v>
      </c>
      <c r="D1082" s="2">
        <f>IFERROR(__xludf.DUMMYFUNCTION("""COMPUTED_VALUE"""),6.9070509447E10)</f>
        <v>69070509447</v>
      </c>
    </row>
    <row r="1083">
      <c r="A1083" s="2">
        <v>6.9070508845E10</v>
      </c>
      <c r="B1083" s="2" t="s">
        <v>844</v>
      </c>
      <c r="C1083" s="2" t="s">
        <v>2486</v>
      </c>
      <c r="D1083" s="2">
        <f>IFERROR(__xludf.DUMMYFUNCTION("""COMPUTED_VALUE"""),6.9070508845E10)</f>
        <v>69070508845</v>
      </c>
    </row>
    <row r="1084">
      <c r="A1084" s="2">
        <v>6.9070502489E10</v>
      </c>
      <c r="B1084" s="2" t="s">
        <v>2487</v>
      </c>
      <c r="C1084" s="2" t="s">
        <v>1409</v>
      </c>
      <c r="D1084" s="2">
        <f>IFERROR(__xludf.DUMMYFUNCTION("""COMPUTED_VALUE"""),6.9070502489E10)</f>
        <v>69070502489</v>
      </c>
    </row>
    <row r="1085">
      <c r="A1085" s="2">
        <v>6.9070500663E10</v>
      </c>
      <c r="B1085" s="2" t="s">
        <v>2488</v>
      </c>
      <c r="C1085" s="2" t="s">
        <v>2489</v>
      </c>
      <c r="D1085" s="2">
        <f>IFERROR(__xludf.DUMMYFUNCTION("""COMPUTED_VALUE"""),6.9070500663E10)</f>
        <v>69070500663</v>
      </c>
    </row>
    <row r="1086">
      <c r="A1086" s="2">
        <v>6.9070508833E10</v>
      </c>
      <c r="B1086" s="2" t="s">
        <v>2490</v>
      </c>
      <c r="C1086" s="2" t="s">
        <v>2491</v>
      </c>
      <c r="D1086" s="2">
        <f>IFERROR(__xludf.DUMMYFUNCTION("""COMPUTED_VALUE"""),6.9070508833E10)</f>
        <v>69070508833</v>
      </c>
    </row>
    <row r="1087">
      <c r="A1087" s="2">
        <v>6.9070500316E10</v>
      </c>
      <c r="B1087" s="2" t="s">
        <v>2492</v>
      </c>
      <c r="C1087" s="2" t="s">
        <v>2493</v>
      </c>
      <c r="D1087" s="2">
        <f>IFERROR(__xludf.DUMMYFUNCTION("""COMPUTED_VALUE"""),6.9070500316E10)</f>
        <v>69070500316</v>
      </c>
    </row>
    <row r="1088">
      <c r="A1088" s="2">
        <v>6.9070500673E10</v>
      </c>
      <c r="B1088" s="2" t="s">
        <v>2494</v>
      </c>
      <c r="C1088" s="2" t="s">
        <v>2495</v>
      </c>
      <c r="D1088" s="2">
        <f>IFERROR(__xludf.DUMMYFUNCTION("""COMPUTED_VALUE"""),6.9070500673E10)</f>
        <v>69070500673</v>
      </c>
    </row>
    <row r="1089">
      <c r="A1089" s="2">
        <v>6.9070500666E10</v>
      </c>
      <c r="B1089" s="2" t="s">
        <v>831</v>
      </c>
      <c r="C1089" s="2" t="s">
        <v>2496</v>
      </c>
      <c r="D1089" s="2">
        <f>IFERROR(__xludf.DUMMYFUNCTION("""COMPUTED_VALUE"""),6.9070500666E10)</f>
        <v>69070500666</v>
      </c>
    </row>
    <row r="1090">
      <c r="A1090" s="2">
        <v>6.9070501236E10</v>
      </c>
      <c r="B1090" s="2" t="s">
        <v>2497</v>
      </c>
      <c r="C1090" s="2" t="s">
        <v>2498</v>
      </c>
      <c r="D1090" s="2">
        <f>IFERROR(__xludf.DUMMYFUNCTION("""COMPUTED_VALUE"""),6.9070501236E10)</f>
        <v>69070501236</v>
      </c>
    </row>
    <row r="1091">
      <c r="A1091" s="2">
        <v>6.9070500658E10</v>
      </c>
      <c r="B1091" s="2" t="s">
        <v>2499</v>
      </c>
      <c r="C1091" s="2" t="s">
        <v>2501</v>
      </c>
      <c r="D1091" s="2">
        <f>IFERROR(__xludf.DUMMYFUNCTION("""COMPUTED_VALUE"""),6.9070500658E10)</f>
        <v>69070500658</v>
      </c>
    </row>
    <row r="1092">
      <c r="A1092" s="2">
        <v>6.907050068E10</v>
      </c>
      <c r="B1092" s="2" t="s">
        <v>2504</v>
      </c>
      <c r="C1092" s="2" t="s">
        <v>2505</v>
      </c>
      <c r="D1092" s="2">
        <f>IFERROR(__xludf.DUMMYFUNCTION("""COMPUTED_VALUE"""),6.907050068E10)</f>
        <v>69070500680</v>
      </c>
    </row>
    <row r="1093">
      <c r="A1093" s="2">
        <v>6.9070500689E10</v>
      </c>
      <c r="B1093" s="2" t="s">
        <v>2508</v>
      </c>
      <c r="C1093" s="2" t="s">
        <v>2509</v>
      </c>
      <c r="D1093" s="2">
        <f>IFERROR(__xludf.DUMMYFUNCTION("""COMPUTED_VALUE"""),6.9070500689E10)</f>
        <v>69070500689</v>
      </c>
    </row>
    <row r="1094">
      <c r="A1094" s="2">
        <v>6.9070509443E10</v>
      </c>
      <c r="B1094" s="2" t="s">
        <v>2513</v>
      </c>
      <c r="C1094" s="2" t="s">
        <v>2514</v>
      </c>
      <c r="D1094" s="2">
        <f>IFERROR(__xludf.DUMMYFUNCTION("""COMPUTED_VALUE"""),6.9070509443E10)</f>
        <v>69070509443</v>
      </c>
    </row>
    <row r="1095">
      <c r="A1095" s="2">
        <v>6.9070501025E10</v>
      </c>
      <c r="B1095" s="2" t="s">
        <v>2515</v>
      </c>
      <c r="C1095" s="2" t="s">
        <v>2516</v>
      </c>
      <c r="D1095" s="2">
        <f>IFERROR(__xludf.DUMMYFUNCTION("""COMPUTED_VALUE"""),6.9070501025E10)</f>
        <v>69070501025</v>
      </c>
    </row>
    <row r="1096">
      <c r="A1096" s="2">
        <v>6.9070500045E10</v>
      </c>
      <c r="B1096" s="2" t="s">
        <v>689</v>
      </c>
      <c r="C1096" s="2" t="s">
        <v>2517</v>
      </c>
      <c r="D1096" s="2">
        <f>IFERROR(__xludf.DUMMYFUNCTION("""COMPUTED_VALUE"""),6.9070500045E10)</f>
        <v>69070500045</v>
      </c>
    </row>
    <row r="1097">
      <c r="A1097" s="2">
        <v>6.9070502846E10</v>
      </c>
      <c r="B1097" s="2" t="s">
        <v>2518</v>
      </c>
      <c r="C1097" s="2" t="s">
        <v>2519</v>
      </c>
      <c r="D1097" s="2">
        <f>IFERROR(__xludf.DUMMYFUNCTION("""COMPUTED_VALUE"""),6.9070502846E10)</f>
        <v>69070502846</v>
      </c>
    </row>
    <row r="1098">
      <c r="A1098" s="2">
        <v>6.9070500028E10</v>
      </c>
      <c r="B1098" s="2" t="s">
        <v>2520</v>
      </c>
      <c r="C1098" s="2" t="s">
        <v>2174</v>
      </c>
      <c r="D1098" s="2">
        <f>IFERROR(__xludf.DUMMYFUNCTION("""COMPUTED_VALUE"""),6.9070500028E10)</f>
        <v>69070500028</v>
      </c>
    </row>
    <row r="1099">
      <c r="A1099" s="2">
        <v>6.9070508238E10</v>
      </c>
      <c r="B1099" s="2" t="s">
        <v>2521</v>
      </c>
      <c r="C1099" s="2" t="s">
        <v>2522</v>
      </c>
      <c r="D1099" s="2">
        <f>IFERROR(__xludf.DUMMYFUNCTION("""COMPUTED_VALUE"""),6.9070508238E10)</f>
        <v>69070508238</v>
      </c>
    </row>
    <row r="1100">
      <c r="A1100" s="2">
        <v>6.9070509622E10</v>
      </c>
      <c r="B1100" s="2" t="s">
        <v>2523</v>
      </c>
      <c r="C1100" s="2" t="s">
        <v>2524</v>
      </c>
      <c r="D1100" s="2">
        <f>IFERROR(__xludf.DUMMYFUNCTION("""COMPUTED_VALUE"""),6.9070509622E10)</f>
        <v>69070509622</v>
      </c>
    </row>
    <row r="1101">
      <c r="A1101" s="2">
        <v>6.9070501804E10</v>
      </c>
      <c r="B1101" s="2" t="s">
        <v>2525</v>
      </c>
      <c r="C1101" s="2" t="s">
        <v>2526</v>
      </c>
      <c r="D1101" s="2">
        <f>IFERROR(__xludf.DUMMYFUNCTION("""COMPUTED_VALUE"""),6.9070501804E10)</f>
        <v>69070501804</v>
      </c>
    </row>
    <row r="1102">
      <c r="A1102" s="2">
        <v>6.9070500061E10</v>
      </c>
      <c r="B1102" s="2" t="s">
        <v>2527</v>
      </c>
      <c r="C1102" s="2" t="s">
        <v>2528</v>
      </c>
      <c r="D1102" s="2">
        <f>IFERROR(__xludf.DUMMYFUNCTION("""COMPUTED_VALUE"""),6.9070500061E10)</f>
        <v>69070500061</v>
      </c>
    </row>
    <row r="1103">
      <c r="A1103" s="2">
        <v>6.9070500052E10</v>
      </c>
      <c r="B1103" s="2" t="s">
        <v>2529</v>
      </c>
      <c r="C1103" s="2" t="s">
        <v>2530</v>
      </c>
      <c r="D1103" s="2">
        <f>IFERROR(__xludf.DUMMYFUNCTION("""COMPUTED_VALUE"""),6.9070500052E10)</f>
        <v>69070500052</v>
      </c>
    </row>
    <row r="1104">
      <c r="A1104" s="2">
        <v>6.9070509634E10</v>
      </c>
      <c r="B1104" s="2" t="s">
        <v>2531</v>
      </c>
      <c r="C1104" s="2" t="s">
        <v>2532</v>
      </c>
      <c r="D1104" s="2">
        <f>IFERROR(__xludf.DUMMYFUNCTION("""COMPUTED_VALUE"""),6.9070509634E10)</f>
        <v>69070509634</v>
      </c>
    </row>
    <row r="1105">
      <c r="A1105" s="2">
        <v>6.9070500853E10</v>
      </c>
      <c r="B1105" s="2" t="s">
        <v>2533</v>
      </c>
      <c r="C1105" s="2" t="s">
        <v>2534</v>
      </c>
      <c r="D1105" s="2">
        <f>IFERROR(__xludf.DUMMYFUNCTION("""COMPUTED_VALUE"""),6.9070500853E10)</f>
        <v>69070500853</v>
      </c>
    </row>
    <row r="1106">
      <c r="A1106" s="2">
        <v>6.9070500012E10</v>
      </c>
      <c r="B1106" s="2" t="s">
        <v>2535</v>
      </c>
      <c r="C1106" s="2" t="s">
        <v>2536</v>
      </c>
      <c r="D1106" s="2">
        <f>IFERROR(__xludf.DUMMYFUNCTION("""COMPUTED_VALUE"""),6.9070500012E10)</f>
        <v>69070500012</v>
      </c>
    </row>
    <row r="1107">
      <c r="A1107" s="2">
        <v>6.9070509467E10</v>
      </c>
      <c r="B1107" s="2" t="s">
        <v>2537</v>
      </c>
      <c r="C1107" s="2" t="s">
        <v>2538</v>
      </c>
      <c r="D1107" s="2">
        <f>IFERROR(__xludf.DUMMYFUNCTION("""COMPUTED_VALUE"""),6.9070509467E10)</f>
        <v>69070509467</v>
      </c>
    </row>
    <row r="1108">
      <c r="A1108" s="2">
        <v>6.9070501054E10</v>
      </c>
      <c r="B1108" s="2" t="s">
        <v>2539</v>
      </c>
      <c r="C1108" s="2" t="s">
        <v>2540</v>
      </c>
      <c r="D1108" s="2">
        <f>IFERROR(__xludf.DUMMYFUNCTION("""COMPUTED_VALUE"""),6.9070501054E10)</f>
        <v>69070501054</v>
      </c>
    </row>
    <row r="1109">
      <c r="A1109" s="2">
        <v>6.9070502841E10</v>
      </c>
      <c r="B1109" s="2" t="s">
        <v>2541</v>
      </c>
      <c r="C1109" s="2" t="s">
        <v>2542</v>
      </c>
      <c r="D1109" s="2">
        <f>IFERROR(__xludf.DUMMYFUNCTION("""COMPUTED_VALUE"""),6.9070502841E10)</f>
        <v>69070502841</v>
      </c>
    </row>
    <row r="1110">
      <c r="A1110" s="2">
        <v>6.9070508819E10</v>
      </c>
      <c r="B1110" s="2" t="s">
        <v>2543</v>
      </c>
      <c r="C1110" s="2" t="s">
        <v>2544</v>
      </c>
      <c r="D1110" s="2">
        <f>IFERROR(__xludf.DUMMYFUNCTION("""COMPUTED_VALUE"""),6.9070508819E10)</f>
        <v>69070508819</v>
      </c>
    </row>
    <row r="1111">
      <c r="A1111" s="2">
        <v>6.9070500005E10</v>
      </c>
      <c r="B1111" s="2" t="s">
        <v>2545</v>
      </c>
      <c r="C1111" s="2" t="s">
        <v>2546</v>
      </c>
      <c r="D1111" s="2">
        <f>IFERROR(__xludf.DUMMYFUNCTION("""COMPUTED_VALUE"""),6.9070500005E10)</f>
        <v>69070500005</v>
      </c>
    </row>
    <row r="1112">
      <c r="A1112" s="2">
        <v>6.9070509836E10</v>
      </c>
      <c r="B1112" s="2" t="s">
        <v>2547</v>
      </c>
      <c r="C1112" s="2" t="s">
        <v>2548</v>
      </c>
      <c r="D1112" s="2">
        <f>IFERROR(__xludf.DUMMYFUNCTION("""COMPUTED_VALUE"""),6.9070509836E10)</f>
        <v>69070509836</v>
      </c>
    </row>
    <row r="1113">
      <c r="A1113" s="2">
        <v>6.9070500003E10</v>
      </c>
      <c r="B1113" s="2" t="s">
        <v>2549</v>
      </c>
      <c r="C1113" s="2" t="s">
        <v>2550</v>
      </c>
      <c r="D1113" s="2">
        <f>IFERROR(__xludf.DUMMYFUNCTION("""COMPUTED_VALUE"""),6.9070500003E10)</f>
        <v>69070500003</v>
      </c>
    </row>
    <row r="1114">
      <c r="A1114" s="2">
        <v>6.9070509803E10</v>
      </c>
      <c r="B1114" s="2" t="s">
        <v>2551</v>
      </c>
      <c r="C1114" s="2" t="s">
        <v>2552</v>
      </c>
      <c r="D1114" s="2">
        <f>IFERROR(__xludf.DUMMYFUNCTION("""COMPUTED_VALUE"""),6.9070509803E10)</f>
        <v>69070509803</v>
      </c>
    </row>
    <row r="1115">
      <c r="A1115" s="2">
        <v>6.907050003E10</v>
      </c>
      <c r="B1115" s="2" t="s">
        <v>2555</v>
      </c>
      <c r="C1115" s="2" t="s">
        <v>2556</v>
      </c>
      <c r="D1115" s="2">
        <f>IFERROR(__xludf.DUMMYFUNCTION("""COMPUTED_VALUE"""),6.907050003E10)</f>
        <v>69070500030</v>
      </c>
    </row>
    <row r="1116">
      <c r="A1116" s="2">
        <v>6.9070509621E10</v>
      </c>
      <c r="B1116" s="2" t="s">
        <v>2559</v>
      </c>
      <c r="C1116" s="2" t="s">
        <v>2560</v>
      </c>
      <c r="D1116" s="2">
        <f>IFERROR(__xludf.DUMMYFUNCTION("""COMPUTED_VALUE"""),6.9070509621E10)</f>
        <v>69070509621</v>
      </c>
    </row>
    <row r="1117">
      <c r="A1117" s="2">
        <v>6.9070500043E10</v>
      </c>
      <c r="B1117" s="2" t="s">
        <v>2564</v>
      </c>
      <c r="C1117" s="2" t="s">
        <v>2566</v>
      </c>
      <c r="D1117" s="2">
        <f>IFERROR(__xludf.DUMMYFUNCTION("""COMPUTED_VALUE"""),6.9070500043E10)</f>
        <v>69070500043</v>
      </c>
    </row>
    <row r="1118">
      <c r="A1118" s="2">
        <v>6.9070502455E10</v>
      </c>
      <c r="B1118" s="2" t="s">
        <v>2568</v>
      </c>
      <c r="C1118" s="2" t="s">
        <v>2569</v>
      </c>
      <c r="D1118" s="2">
        <f>IFERROR(__xludf.DUMMYFUNCTION("""COMPUTED_VALUE"""),6.9070502455E10)</f>
        <v>69070502455</v>
      </c>
    </row>
    <row r="1119">
      <c r="A1119" s="2">
        <v>6.9070500063E10</v>
      </c>
      <c r="B1119" s="2" t="s">
        <v>2570</v>
      </c>
      <c r="C1119" s="2" t="s">
        <v>2571</v>
      </c>
      <c r="D1119" s="2">
        <f>IFERROR(__xludf.DUMMYFUNCTION("""COMPUTED_VALUE"""),6.9070500063E10)</f>
        <v>69070500063</v>
      </c>
    </row>
    <row r="1120">
      <c r="A1120" s="2">
        <v>6.9070500075E10</v>
      </c>
      <c r="B1120" s="2" t="s">
        <v>2572</v>
      </c>
      <c r="C1120" s="2" t="s">
        <v>2573</v>
      </c>
      <c r="D1120" s="2">
        <f>IFERROR(__xludf.DUMMYFUNCTION("""COMPUTED_VALUE"""),6.9070500075E10)</f>
        <v>69070500075</v>
      </c>
    </row>
    <row r="1121">
      <c r="A1121" s="2">
        <v>6.9070500029E10</v>
      </c>
      <c r="B1121" s="2" t="s">
        <v>2276</v>
      </c>
      <c r="C1121" s="2" t="s">
        <v>2574</v>
      </c>
      <c r="D1121" s="2">
        <f>IFERROR(__xludf.DUMMYFUNCTION("""COMPUTED_VALUE"""),6.9070500029E10)</f>
        <v>69070500029</v>
      </c>
    </row>
    <row r="1122">
      <c r="A1122" s="2">
        <v>6.907050647E10</v>
      </c>
      <c r="B1122" s="2" t="s">
        <v>2575</v>
      </c>
      <c r="C1122" s="2" t="s">
        <v>2576</v>
      </c>
      <c r="D1122" s="2">
        <f>IFERROR(__xludf.DUMMYFUNCTION("""COMPUTED_VALUE"""),6.907050647E10)</f>
        <v>69070506470</v>
      </c>
    </row>
    <row r="1123">
      <c r="A1123" s="2">
        <v>6.9070501081E10</v>
      </c>
      <c r="B1123" s="2" t="s">
        <v>2577</v>
      </c>
      <c r="C1123" s="2" t="s">
        <v>2578</v>
      </c>
      <c r="D1123" s="2">
        <f>IFERROR(__xludf.DUMMYFUNCTION("""COMPUTED_VALUE"""),6.9070501081E10)</f>
        <v>69070501081</v>
      </c>
    </row>
    <row r="1124">
      <c r="A1124" s="2">
        <v>6.9070500245E10</v>
      </c>
      <c r="B1124" s="2" t="s">
        <v>2579</v>
      </c>
      <c r="C1124" s="2" t="s">
        <v>2580</v>
      </c>
      <c r="D1124" s="2">
        <f>IFERROR(__xludf.DUMMYFUNCTION("""COMPUTED_VALUE"""),6.9070500245E10)</f>
        <v>69070500245</v>
      </c>
    </row>
    <row r="1125">
      <c r="A1125" s="2">
        <v>6.907050223E10</v>
      </c>
      <c r="B1125" s="2" t="s">
        <v>2581</v>
      </c>
      <c r="C1125" s="2" t="s">
        <v>2582</v>
      </c>
      <c r="D1125" s="2">
        <f>IFERROR(__xludf.DUMMYFUNCTION("""COMPUTED_VALUE"""),6.907050223E10)</f>
        <v>69070502230</v>
      </c>
    </row>
    <row r="1126">
      <c r="A1126" s="2">
        <v>6.9070500062E10</v>
      </c>
      <c r="B1126" s="2" t="s">
        <v>2583</v>
      </c>
      <c r="C1126" s="2" t="s">
        <v>2584</v>
      </c>
      <c r="D1126" s="2">
        <f>IFERROR(__xludf.DUMMYFUNCTION("""COMPUTED_VALUE"""),6.9070500062E10)</f>
        <v>69070500062</v>
      </c>
    </row>
    <row r="1127">
      <c r="A1127" s="2">
        <v>6.9070508817E10</v>
      </c>
      <c r="B1127" s="2" t="s">
        <v>2585</v>
      </c>
      <c r="C1127" s="2" t="s">
        <v>2586</v>
      </c>
      <c r="D1127" s="2">
        <f>IFERROR(__xludf.DUMMYFUNCTION("""COMPUTED_VALUE"""),6.9070508817E10)</f>
        <v>69070508817</v>
      </c>
    </row>
    <row r="1128">
      <c r="A1128" s="2">
        <v>6.9070505232E10</v>
      </c>
      <c r="B1128" s="2" t="s">
        <v>600</v>
      </c>
      <c r="C1128" s="2" t="s">
        <v>2587</v>
      </c>
      <c r="D1128" s="2">
        <f>IFERROR(__xludf.DUMMYFUNCTION("""COMPUTED_VALUE"""),6.9070505232E10)</f>
        <v>69070505232</v>
      </c>
    </row>
    <row r="1129">
      <c r="A1129" s="2">
        <v>6.9070500056E10</v>
      </c>
      <c r="B1129" s="2" t="s">
        <v>2588</v>
      </c>
      <c r="C1129" s="2" t="s">
        <v>2589</v>
      </c>
      <c r="D1129" s="2">
        <f>IFERROR(__xludf.DUMMYFUNCTION("""COMPUTED_VALUE"""),6.9070500056E10)</f>
        <v>69070500056</v>
      </c>
    </row>
    <row r="1130">
      <c r="A1130" s="2">
        <v>6.9070500649E10</v>
      </c>
      <c r="B1130" s="2" t="s">
        <v>2590</v>
      </c>
      <c r="C1130" s="2" t="s">
        <v>2591</v>
      </c>
      <c r="D1130" s="2">
        <f>IFERROR(__xludf.DUMMYFUNCTION("""COMPUTED_VALUE"""),6.9070500649E10)</f>
        <v>69070500649</v>
      </c>
    </row>
    <row r="1131">
      <c r="A1131" s="2">
        <v>6.9070500015E10</v>
      </c>
      <c r="B1131" s="2" t="s">
        <v>661</v>
      </c>
      <c r="C1131" s="2" t="s">
        <v>2592</v>
      </c>
      <c r="D1131" s="2">
        <f>IFERROR(__xludf.DUMMYFUNCTION("""COMPUTED_VALUE"""),6.9070500015E10)</f>
        <v>69070500015</v>
      </c>
    </row>
    <row r="1132">
      <c r="A1132" s="2">
        <v>6.9070500832E10</v>
      </c>
      <c r="B1132" s="2" t="s">
        <v>2593</v>
      </c>
      <c r="C1132" s="2" t="s">
        <v>2594</v>
      </c>
      <c r="D1132" s="2">
        <f>IFERROR(__xludf.DUMMYFUNCTION("""COMPUTED_VALUE"""),6.9070500832E10)</f>
        <v>69070500832</v>
      </c>
    </row>
    <row r="1133">
      <c r="A1133" s="2">
        <v>6.9070509636E10</v>
      </c>
      <c r="B1133" s="2" t="s">
        <v>2595</v>
      </c>
      <c r="C1133" s="2" t="s">
        <v>2596</v>
      </c>
      <c r="D1133" s="2">
        <f>IFERROR(__xludf.DUMMYFUNCTION("""COMPUTED_VALUE"""),6.9070509636E10)</f>
        <v>69070509636</v>
      </c>
    </row>
    <row r="1134">
      <c r="A1134" s="2">
        <v>6.9070500048E10</v>
      </c>
      <c r="B1134" s="2" t="s">
        <v>1214</v>
      </c>
      <c r="C1134" s="2" t="s">
        <v>2597</v>
      </c>
      <c r="D1134" s="2">
        <f>IFERROR(__xludf.DUMMYFUNCTION("""COMPUTED_VALUE"""),6.9070500048E10)</f>
        <v>69070500048</v>
      </c>
    </row>
    <row r="1135">
      <c r="A1135" s="2">
        <v>6.9070500086E10</v>
      </c>
      <c r="B1135" s="2" t="s">
        <v>2312</v>
      </c>
      <c r="C1135" s="2" t="s">
        <v>360</v>
      </c>
      <c r="D1135" s="2">
        <f>IFERROR(__xludf.DUMMYFUNCTION("""COMPUTED_VALUE"""),6.9070500086E10)</f>
        <v>69070500086</v>
      </c>
    </row>
    <row r="1136">
      <c r="A1136" s="2">
        <v>6.9070508407E10</v>
      </c>
      <c r="B1136" s="2" t="s">
        <v>2257</v>
      </c>
      <c r="C1136" s="2" t="s">
        <v>2598</v>
      </c>
      <c r="D1136" s="2">
        <f>IFERROR(__xludf.DUMMYFUNCTION("""COMPUTED_VALUE"""),6.9070508407E10)</f>
        <v>69070508407</v>
      </c>
    </row>
    <row r="1137">
      <c r="A1137" s="2">
        <v>6.9070500613E10</v>
      </c>
      <c r="B1137" s="2" t="s">
        <v>2599</v>
      </c>
      <c r="C1137" s="2" t="s">
        <v>2600</v>
      </c>
      <c r="D1137" s="2">
        <f>IFERROR(__xludf.DUMMYFUNCTION("""COMPUTED_VALUE"""),6.9070500613E10)</f>
        <v>69070500613</v>
      </c>
    </row>
    <row r="1138">
      <c r="A1138" s="2">
        <v>6.9070501841E10</v>
      </c>
      <c r="B1138" s="2" t="s">
        <v>2602</v>
      </c>
      <c r="C1138" s="2" t="s">
        <v>2603</v>
      </c>
      <c r="D1138" s="2">
        <f>IFERROR(__xludf.DUMMYFUNCTION("""COMPUTED_VALUE"""),6.9070501841E10)</f>
        <v>69070501841</v>
      </c>
    </row>
    <row r="1139">
      <c r="A1139" s="2">
        <v>6.9070500022E10</v>
      </c>
      <c r="B1139" s="2" t="s">
        <v>2607</v>
      </c>
      <c r="C1139" s="2" t="s">
        <v>2608</v>
      </c>
      <c r="D1139" s="2">
        <f>IFERROR(__xludf.DUMMYFUNCTION("""COMPUTED_VALUE"""),6.9070500022E10)</f>
        <v>69070500022</v>
      </c>
    </row>
    <row r="1140">
      <c r="A1140" s="2">
        <v>6.9070500489E10</v>
      </c>
      <c r="B1140" s="2" t="s">
        <v>2611</v>
      </c>
      <c r="C1140" s="2" t="s">
        <v>2613</v>
      </c>
      <c r="D1140" s="2">
        <f>IFERROR(__xludf.DUMMYFUNCTION("""COMPUTED_VALUE"""),6.9070500489E10)</f>
        <v>69070500489</v>
      </c>
    </row>
    <row r="1141">
      <c r="A1141" s="2">
        <v>6.9070503473E10</v>
      </c>
      <c r="B1141" s="2" t="s">
        <v>2616</v>
      </c>
      <c r="C1141" s="2" t="s">
        <v>2617</v>
      </c>
    </row>
    <row r="1142">
      <c r="A1142" s="2">
        <v>6.9070503421E10</v>
      </c>
      <c r="B1142" s="2" t="s">
        <v>2618</v>
      </c>
      <c r="C1142" s="2" t="s">
        <v>2619</v>
      </c>
    </row>
    <row r="1143">
      <c r="A1143" s="2">
        <v>6.9070503437E10</v>
      </c>
      <c r="B1143" s="2" t="s">
        <v>2620</v>
      </c>
      <c r="C1143" s="2" t="s">
        <v>2621</v>
      </c>
    </row>
    <row r="1144">
      <c r="A1144" s="2">
        <v>6.9070509214E10</v>
      </c>
      <c r="B1144" s="2" t="s">
        <v>2622</v>
      </c>
      <c r="C1144" s="2" t="s">
        <v>2623</v>
      </c>
    </row>
    <row r="1145">
      <c r="A1145" s="2">
        <v>6.9070503486E10</v>
      </c>
      <c r="B1145" s="2" t="s">
        <v>2624</v>
      </c>
      <c r="C1145" s="2" t="s">
        <v>2625</v>
      </c>
    </row>
    <row r="1146">
      <c r="A1146" s="2">
        <v>6.9070503422E10</v>
      </c>
      <c r="B1146" s="2" t="s">
        <v>2626</v>
      </c>
      <c r="C1146" s="2" t="s">
        <v>2627</v>
      </c>
    </row>
    <row r="1147">
      <c r="A1147" s="2">
        <v>6.9070503408E10</v>
      </c>
      <c r="B1147" s="2" t="s">
        <v>2628</v>
      </c>
      <c r="C1147" s="2" t="s">
        <v>2629</v>
      </c>
    </row>
    <row r="1148">
      <c r="A1148" s="2">
        <v>6.9070503426E10</v>
      </c>
      <c r="B1148" s="2" t="s">
        <v>2630</v>
      </c>
      <c r="C1148" s="2" t="s">
        <v>2631</v>
      </c>
    </row>
    <row r="1149">
      <c r="A1149" s="2">
        <v>6.9070503495E10</v>
      </c>
      <c r="B1149" s="2" t="s">
        <v>2632</v>
      </c>
      <c r="C1149" s="2" t="s">
        <v>2633</v>
      </c>
    </row>
    <row r="1150">
      <c r="A1150" s="2">
        <v>6.907050901E10</v>
      </c>
      <c r="B1150" s="2" t="s">
        <v>2634</v>
      </c>
      <c r="C1150" s="2" t="s">
        <v>2635</v>
      </c>
    </row>
    <row r="1151">
      <c r="A1151" s="2">
        <v>6.9070503413E10</v>
      </c>
      <c r="B1151" s="2" t="s">
        <v>2636</v>
      </c>
      <c r="C1151" s="2" t="s">
        <v>2637</v>
      </c>
    </row>
    <row r="1152">
      <c r="A1152" s="2">
        <v>6.9070507846E10</v>
      </c>
      <c r="B1152" s="2" t="s">
        <v>2638</v>
      </c>
      <c r="C1152" s="2" t="s">
        <v>2639</v>
      </c>
    </row>
    <row r="1153">
      <c r="A1153" s="2">
        <v>6.9070503487E10</v>
      </c>
      <c r="B1153" s="2" t="s">
        <v>2640</v>
      </c>
      <c r="C1153" s="2" t="s">
        <v>2641</v>
      </c>
    </row>
    <row r="1154">
      <c r="A1154" s="2">
        <v>6.907050341E10</v>
      </c>
      <c r="B1154" s="2" t="s">
        <v>2642</v>
      </c>
      <c r="C1154" s="2" t="s">
        <v>2643</v>
      </c>
    </row>
    <row r="1155">
      <c r="A1155" s="2">
        <v>6.9070503456E10</v>
      </c>
      <c r="B1155" s="2" t="s">
        <v>2644</v>
      </c>
      <c r="C1155" s="2" t="s">
        <v>2645</v>
      </c>
    </row>
    <row r="1156">
      <c r="A1156" s="2">
        <v>6.9070509008E10</v>
      </c>
      <c r="B1156" s="2" t="s">
        <v>2646</v>
      </c>
      <c r="C1156" s="2" t="s">
        <v>2647</v>
      </c>
    </row>
    <row r="1157">
      <c r="A1157" s="2">
        <v>6.9070503438E10</v>
      </c>
      <c r="B1157" s="2" t="s">
        <v>2648</v>
      </c>
      <c r="C1157" s="2" t="s">
        <v>2649</v>
      </c>
    </row>
    <row r="1158">
      <c r="A1158" s="2">
        <v>6.9070507811E10</v>
      </c>
      <c r="B1158" s="2" t="s">
        <v>2650</v>
      </c>
      <c r="C1158" s="2" t="s">
        <v>2651</v>
      </c>
    </row>
    <row r="1159">
      <c r="A1159" s="2">
        <v>6.9070503403E10</v>
      </c>
      <c r="B1159" s="2" t="s">
        <v>2652</v>
      </c>
      <c r="C1159" s="2" t="s">
        <v>2653</v>
      </c>
    </row>
    <row r="1160">
      <c r="A1160" s="2">
        <v>6.907050343E10</v>
      </c>
      <c r="B1160" s="2" t="s">
        <v>2654</v>
      </c>
      <c r="C1160" s="2" t="s">
        <v>2655</v>
      </c>
    </row>
    <row r="1161">
      <c r="A1161" s="2">
        <v>6.9070509007E10</v>
      </c>
      <c r="B1161" s="2" t="s">
        <v>2656</v>
      </c>
      <c r="C1161" s="2" t="s">
        <v>2657</v>
      </c>
    </row>
    <row r="1162">
      <c r="A1162" s="2">
        <v>6.9070503468E10</v>
      </c>
      <c r="B1162" s="2" t="s">
        <v>2658</v>
      </c>
      <c r="C1162" s="2" t="s">
        <v>2659</v>
      </c>
    </row>
    <row r="1163">
      <c r="A1163" s="2">
        <v>6.9070507838E10</v>
      </c>
      <c r="B1163" s="2" t="s">
        <v>2660</v>
      </c>
      <c r="C1163" s="2" t="s">
        <v>2661</v>
      </c>
    </row>
    <row r="1164">
      <c r="A1164" s="2">
        <v>6.9070503451E10</v>
      </c>
      <c r="B1164" s="2" t="s">
        <v>2662</v>
      </c>
      <c r="C1164" s="2" t="s">
        <v>2663</v>
      </c>
    </row>
    <row r="1165">
      <c r="A1165" s="2">
        <v>6.9070503476E10</v>
      </c>
      <c r="B1165" s="2" t="s">
        <v>2664</v>
      </c>
      <c r="C1165" s="2" t="s">
        <v>2665</v>
      </c>
    </row>
    <row r="1166">
      <c r="A1166" s="2">
        <v>6.9070509218E10</v>
      </c>
      <c r="B1166" s="2" t="s">
        <v>2666</v>
      </c>
      <c r="C1166" s="2" t="s">
        <v>2667</v>
      </c>
    </row>
    <row r="1167">
      <c r="A1167" s="2">
        <v>6.9070503474E10</v>
      </c>
      <c r="B1167" s="2" t="s">
        <v>2668</v>
      </c>
      <c r="C1167" s="2" t="s">
        <v>2669</v>
      </c>
    </row>
    <row r="1168">
      <c r="A1168" s="2">
        <v>6.9070509212E10</v>
      </c>
      <c r="B1168" s="2" t="s">
        <v>2670</v>
      </c>
      <c r="C1168" s="2" t="s">
        <v>2671</v>
      </c>
    </row>
    <row r="1169">
      <c r="A1169" s="2">
        <v>6.9070507827E10</v>
      </c>
      <c r="B1169" s="2" t="s">
        <v>2672</v>
      </c>
      <c r="C1169" s="2" t="s">
        <v>2673</v>
      </c>
    </row>
    <row r="1170">
      <c r="A1170" s="2">
        <v>6.9070503482E10</v>
      </c>
      <c r="B1170" s="2" t="s">
        <v>2674</v>
      </c>
      <c r="C1170" s="2" t="s">
        <v>2675</v>
      </c>
    </row>
    <row r="1171">
      <c r="A1171" s="2">
        <v>6.9070509217E10</v>
      </c>
      <c r="B1171" s="2" t="s">
        <v>2676</v>
      </c>
      <c r="C1171" s="2" t="s">
        <v>2677</v>
      </c>
    </row>
    <row r="1172">
      <c r="A1172" s="2">
        <v>6.9070504006E10</v>
      </c>
      <c r="B1172" s="2" t="s">
        <v>2678</v>
      </c>
      <c r="C1172" s="2" t="s">
        <v>2679</v>
      </c>
    </row>
    <row r="1173">
      <c r="A1173" s="2">
        <v>6.9070509045E10</v>
      </c>
      <c r="B1173" s="2" t="s">
        <v>2680</v>
      </c>
      <c r="C1173" s="2" t="s">
        <v>2681</v>
      </c>
    </row>
    <row r="1174">
      <c r="A1174" s="2">
        <v>6.9070507826E10</v>
      </c>
      <c r="B1174" s="2" t="s">
        <v>2682</v>
      </c>
      <c r="C1174" s="2" t="s">
        <v>2684</v>
      </c>
    </row>
    <row r="1175">
      <c r="A1175" s="2">
        <v>6.9070503471E10</v>
      </c>
      <c r="B1175" s="2" t="s">
        <v>2686</v>
      </c>
      <c r="C1175" s="2" t="s">
        <v>2687</v>
      </c>
    </row>
    <row r="1176">
      <c r="A1176" s="2">
        <v>6.9070509026E10</v>
      </c>
      <c r="B1176" s="2" t="s">
        <v>2689</v>
      </c>
      <c r="C1176" s="2" t="s">
        <v>2690</v>
      </c>
    </row>
    <row r="1177">
      <c r="A1177" s="2">
        <v>6.9070507822E10</v>
      </c>
      <c r="B1177" s="2" t="s">
        <v>994</v>
      </c>
      <c r="C1177" s="2" t="s">
        <v>2691</v>
      </c>
    </row>
    <row r="1178">
      <c r="A1178" s="2">
        <v>6.9070503429E10</v>
      </c>
      <c r="B1178" s="2" t="s">
        <v>2692</v>
      </c>
      <c r="C1178" s="2" t="s">
        <v>2693</v>
      </c>
    </row>
    <row r="1179">
      <c r="A1179" s="2">
        <v>6.9070503484E10</v>
      </c>
      <c r="B1179" s="2" t="s">
        <v>2695</v>
      </c>
      <c r="C1179" s="2" t="s">
        <v>2696</v>
      </c>
    </row>
    <row r="1180">
      <c r="A1180" s="2">
        <v>6.9070509047E10</v>
      </c>
      <c r="B1180" s="2" t="s">
        <v>2698</v>
      </c>
      <c r="C1180" s="2" t="s">
        <v>2699</v>
      </c>
    </row>
    <row r="1181">
      <c r="A1181" s="2">
        <v>6.9070503448E10</v>
      </c>
      <c r="B1181" s="2" t="s">
        <v>655</v>
      </c>
      <c r="C1181" s="2" t="s">
        <v>2701</v>
      </c>
    </row>
    <row r="1182">
      <c r="A1182" s="2">
        <v>6.9070507824E10</v>
      </c>
      <c r="B1182" s="2" t="s">
        <v>2702</v>
      </c>
      <c r="C1182" s="2" t="s">
        <v>2703</v>
      </c>
    </row>
    <row r="1183">
      <c r="A1183" s="2">
        <v>6.9070503432E10</v>
      </c>
      <c r="B1183" s="2" t="s">
        <v>2704</v>
      </c>
      <c r="C1183" s="2" t="s">
        <v>2705</v>
      </c>
    </row>
    <row r="1184">
      <c r="A1184" s="2">
        <v>6.9070503435E10</v>
      </c>
      <c r="B1184" s="2" t="s">
        <v>2706</v>
      </c>
      <c r="C1184" s="2" t="s">
        <v>2707</v>
      </c>
    </row>
    <row r="1185">
      <c r="A1185" s="2">
        <v>6.9070503414E10</v>
      </c>
      <c r="B1185" s="2" t="s">
        <v>2708</v>
      </c>
      <c r="C1185" s="2" t="s">
        <v>2709</v>
      </c>
    </row>
    <row r="1186">
      <c r="A1186" s="2">
        <v>6.9070503461E10</v>
      </c>
      <c r="B1186" s="2" t="s">
        <v>2710</v>
      </c>
      <c r="C1186" s="2" t="s">
        <v>2711</v>
      </c>
    </row>
    <row r="1187">
      <c r="A1187" s="2">
        <v>6.9070504007E10</v>
      </c>
      <c r="B1187" s="2" t="s">
        <v>2712</v>
      </c>
      <c r="C1187" s="2" t="s">
        <v>2713</v>
      </c>
    </row>
    <row r="1188">
      <c r="A1188" s="2">
        <v>6.9070503463E10</v>
      </c>
      <c r="B1188" s="2" t="s">
        <v>2714</v>
      </c>
      <c r="C1188" s="2" t="s">
        <v>2715</v>
      </c>
    </row>
    <row r="1189">
      <c r="A1189" s="2">
        <v>6.9070503423E10</v>
      </c>
      <c r="B1189" s="2" t="s">
        <v>2716</v>
      </c>
      <c r="C1189" s="2" t="s">
        <v>2717</v>
      </c>
    </row>
    <row r="1190">
      <c r="A1190" s="2">
        <v>6.9070507842E10</v>
      </c>
      <c r="B1190" s="2" t="s">
        <v>2719</v>
      </c>
      <c r="C1190" s="2" t="s">
        <v>2720</v>
      </c>
    </row>
    <row r="1191">
      <c r="A1191" s="2">
        <v>6.907050929E10</v>
      </c>
      <c r="B1191" s="2" t="s">
        <v>2721</v>
      </c>
      <c r="C1191" s="2" t="s">
        <v>2722</v>
      </c>
    </row>
    <row r="1192">
      <c r="A1192" s="2">
        <v>6.9070503436E10</v>
      </c>
      <c r="B1192" s="2" t="s">
        <v>2723</v>
      </c>
      <c r="C1192" s="2" t="s">
        <v>2724</v>
      </c>
    </row>
    <row r="1193">
      <c r="A1193" s="2">
        <v>6.907050348E10</v>
      </c>
      <c r="B1193" s="2" t="s">
        <v>2725</v>
      </c>
      <c r="C1193" s="2" t="s">
        <v>2726</v>
      </c>
    </row>
    <row r="1194">
      <c r="A1194" s="2">
        <v>6.9070503411E10</v>
      </c>
      <c r="B1194" s="2" t="s">
        <v>2727</v>
      </c>
      <c r="C1194" s="2" t="s">
        <v>2728</v>
      </c>
    </row>
    <row r="1195">
      <c r="A1195" s="2">
        <v>6.9070507848E10</v>
      </c>
      <c r="B1195" s="2" t="s">
        <v>2729</v>
      </c>
      <c r="C1195" s="2" t="s">
        <v>2730</v>
      </c>
    </row>
    <row r="1196">
      <c r="A1196" s="2">
        <v>6.907050783E10</v>
      </c>
      <c r="B1196" s="2" t="s">
        <v>2731</v>
      </c>
      <c r="C1196" s="2" t="s">
        <v>2732</v>
      </c>
    </row>
    <row r="1197">
      <c r="A1197" s="2">
        <v>6.9070503454E10</v>
      </c>
      <c r="B1197" s="2" t="s">
        <v>1380</v>
      </c>
      <c r="C1197" s="2" t="s">
        <v>2733</v>
      </c>
    </row>
    <row r="1198">
      <c r="A1198" s="2">
        <v>6.9070507825E10</v>
      </c>
      <c r="B1198" s="2" t="s">
        <v>2734</v>
      </c>
      <c r="C1198" s="2" t="s">
        <v>2735</v>
      </c>
    </row>
    <row r="1199">
      <c r="A1199" s="2">
        <v>6.9070507832E10</v>
      </c>
      <c r="B1199" s="2" t="s">
        <v>2736</v>
      </c>
      <c r="C1199" s="2" t="s">
        <v>2737</v>
      </c>
    </row>
    <row r="1200">
      <c r="A1200" s="2">
        <v>6.9070507835E10</v>
      </c>
      <c r="B1200" s="2" t="s">
        <v>655</v>
      </c>
      <c r="C1200" s="2" t="s">
        <v>2738</v>
      </c>
    </row>
    <row r="1201">
      <c r="A1201" s="2">
        <v>6.9070504013E10</v>
      </c>
      <c r="B1201" s="2" t="s">
        <v>2739</v>
      </c>
      <c r="C1201" s="2" t="s">
        <v>2740</v>
      </c>
    </row>
    <row r="1202">
      <c r="A1202" s="2">
        <v>6.9070507836E10</v>
      </c>
      <c r="B1202" s="2" t="s">
        <v>2741</v>
      </c>
      <c r="C1202" s="2" t="s">
        <v>2742</v>
      </c>
    </row>
    <row r="1203">
      <c r="A1203" s="2">
        <v>6.9070503464E10</v>
      </c>
      <c r="B1203" s="2" t="s">
        <v>2743</v>
      </c>
      <c r="C1203" s="2" t="s">
        <v>2744</v>
      </c>
    </row>
    <row r="1204">
      <c r="A1204" s="2">
        <v>6.907050921E10</v>
      </c>
      <c r="B1204" s="2" t="s">
        <v>2745</v>
      </c>
      <c r="C1204" s="2" t="s">
        <v>2746</v>
      </c>
    </row>
    <row r="1205">
      <c r="A1205" s="2">
        <v>6.9070504025E10</v>
      </c>
      <c r="B1205" s="2" t="s">
        <v>2747</v>
      </c>
      <c r="C1205" s="2" t="s">
        <v>2748</v>
      </c>
    </row>
    <row r="1206">
      <c r="A1206" s="2">
        <v>6.9070503415E10</v>
      </c>
      <c r="B1206" s="2" t="s">
        <v>2749</v>
      </c>
      <c r="C1206" s="2" t="s">
        <v>2750</v>
      </c>
    </row>
    <row r="1207">
      <c r="A1207" s="2">
        <v>6.9070503489E10</v>
      </c>
      <c r="B1207" s="2" t="s">
        <v>2751</v>
      </c>
      <c r="C1207" s="2" t="s">
        <v>2752</v>
      </c>
    </row>
    <row r="1208">
      <c r="A1208" s="2">
        <v>6.9070509211E10</v>
      </c>
      <c r="B1208" s="2" t="s">
        <v>2753</v>
      </c>
      <c r="C1208" s="2" t="s">
        <v>2754</v>
      </c>
    </row>
    <row r="1209">
      <c r="A1209" s="2">
        <v>6.9070503459E10</v>
      </c>
      <c r="B1209" s="2" t="s">
        <v>2755</v>
      </c>
      <c r="C1209" s="2" t="s">
        <v>2756</v>
      </c>
    </row>
    <row r="1210">
      <c r="A1210" s="2">
        <v>6.9070503219E10</v>
      </c>
      <c r="B1210" s="2" t="s">
        <v>2757</v>
      </c>
      <c r="C1210" s="2" t="s">
        <v>2758</v>
      </c>
    </row>
    <row r="1211">
      <c r="A1211" s="2">
        <v>6.9070503441E10</v>
      </c>
      <c r="B1211" s="2" t="s">
        <v>2759</v>
      </c>
      <c r="C1211" s="2" t="s">
        <v>2760</v>
      </c>
    </row>
    <row r="1212">
      <c r="A1212" s="2">
        <v>6.9070509206E10</v>
      </c>
      <c r="B1212" s="2" t="s">
        <v>2761</v>
      </c>
      <c r="C1212" s="2" t="s">
        <v>2762</v>
      </c>
    </row>
    <row r="1213">
      <c r="A1213" s="2">
        <v>6.9070509208E10</v>
      </c>
      <c r="B1213" s="2" t="s">
        <v>2763</v>
      </c>
      <c r="C1213" s="2" t="s">
        <v>2764</v>
      </c>
    </row>
    <row r="1214">
      <c r="A1214" s="2">
        <v>6.9070503478E10</v>
      </c>
      <c r="B1214" s="2" t="s">
        <v>2765</v>
      </c>
      <c r="C1214" s="2" t="s">
        <v>2766</v>
      </c>
    </row>
    <row r="1215">
      <c r="A1215" s="2">
        <v>6.9070503443E10</v>
      </c>
      <c r="B1215" s="2" t="s">
        <v>2767</v>
      </c>
      <c r="C1215" s="2" t="s">
        <v>2768</v>
      </c>
    </row>
    <row r="1216">
      <c r="A1216" s="2">
        <v>6.9070503424E10</v>
      </c>
      <c r="B1216" s="2" t="s">
        <v>2769</v>
      </c>
      <c r="C1216" s="2" t="s">
        <v>2770</v>
      </c>
    </row>
    <row r="1217">
      <c r="A1217" s="2">
        <v>6.9070503449E10</v>
      </c>
      <c r="B1217" s="2" t="s">
        <v>1119</v>
      </c>
      <c r="C1217" s="2" t="s">
        <v>2773</v>
      </c>
    </row>
    <row r="1218">
      <c r="A1218" s="2">
        <v>6.9070503466E10</v>
      </c>
      <c r="B1218" s="2" t="s">
        <v>2775</v>
      </c>
      <c r="C1218" s="2" t="s">
        <v>2776</v>
      </c>
    </row>
    <row r="1219">
      <c r="A1219" s="2">
        <v>6.9070507831E10</v>
      </c>
      <c r="B1219" s="2" t="s">
        <v>2778</v>
      </c>
      <c r="C1219" s="2" t="s">
        <v>2780</v>
      </c>
    </row>
    <row r="1220">
      <c r="A1220" s="2">
        <v>6.9070508637E10</v>
      </c>
      <c r="B1220" s="2" t="s">
        <v>2781</v>
      </c>
      <c r="C1220" s="2" t="s">
        <v>2783</v>
      </c>
    </row>
    <row r="1221">
      <c r="A1221" s="2">
        <v>6.9070509011E10</v>
      </c>
      <c r="B1221" s="2" t="s">
        <v>2785</v>
      </c>
      <c r="C1221" s="2" t="s">
        <v>2786</v>
      </c>
    </row>
    <row r="1222">
      <c r="A1222" s="2">
        <v>6.9070507823E10</v>
      </c>
      <c r="B1222" s="2" t="s">
        <v>2788</v>
      </c>
      <c r="C1222" s="2" t="s">
        <v>2790</v>
      </c>
    </row>
    <row r="1223">
      <c r="A1223" s="2">
        <v>6.9070503412E10</v>
      </c>
      <c r="B1223" s="2" t="s">
        <v>2791</v>
      </c>
      <c r="C1223" s="2" t="s">
        <v>2792</v>
      </c>
    </row>
    <row r="1224">
      <c r="A1224" s="2">
        <v>6.9070509006E10</v>
      </c>
      <c r="B1224" s="2" t="s">
        <v>2793</v>
      </c>
      <c r="C1224" s="2" t="s">
        <v>2794</v>
      </c>
    </row>
    <row r="1225">
      <c r="A1225" s="2">
        <v>6.9070503483E10</v>
      </c>
      <c r="B1225" s="2" t="s">
        <v>2795</v>
      </c>
      <c r="C1225" s="2" t="s">
        <v>2796</v>
      </c>
    </row>
    <row r="1226">
      <c r="A1226" s="2">
        <v>6.9070509203E10</v>
      </c>
      <c r="B1226" s="2" t="s">
        <v>2797</v>
      </c>
      <c r="C1226" s="2" t="s">
        <v>2798</v>
      </c>
    </row>
    <row r="1227">
      <c r="A1227" s="2">
        <v>6.9070509216E10</v>
      </c>
      <c r="B1227" s="2" t="s">
        <v>2799</v>
      </c>
      <c r="C1227" s="2" t="s">
        <v>2800</v>
      </c>
    </row>
    <row r="1228">
      <c r="A1228" s="2">
        <v>6.907050342E10</v>
      </c>
      <c r="B1228" s="2" t="s">
        <v>2801</v>
      </c>
      <c r="C1228" s="2" t="s">
        <v>2802</v>
      </c>
    </row>
    <row r="1229">
      <c r="A1229" s="2">
        <v>6.9070509009E10</v>
      </c>
      <c r="B1229" s="2" t="s">
        <v>2803</v>
      </c>
      <c r="C1229" s="2" t="s">
        <v>2804</v>
      </c>
    </row>
    <row r="1230">
      <c r="A1230" s="2">
        <v>6.9070508628E10</v>
      </c>
      <c r="B1230" s="2" t="s">
        <v>2805</v>
      </c>
      <c r="C1230" s="2" t="s">
        <v>2806</v>
      </c>
    </row>
    <row r="1231">
      <c r="A1231" s="2">
        <v>6.9070508616E10</v>
      </c>
      <c r="B1231" s="2" t="s">
        <v>2757</v>
      </c>
      <c r="C1231" s="2" t="s">
        <v>2807</v>
      </c>
    </row>
    <row r="1232">
      <c r="A1232" s="2">
        <v>6.9070508606E10</v>
      </c>
      <c r="B1232" s="2" t="s">
        <v>2808</v>
      </c>
      <c r="C1232" s="2" t="s">
        <v>2809</v>
      </c>
    </row>
    <row r="1233">
      <c r="A1233" s="2">
        <v>6.9070504008E10</v>
      </c>
      <c r="B1233" s="2" t="s">
        <v>2810</v>
      </c>
      <c r="C1233" s="2" t="s">
        <v>2811</v>
      </c>
    </row>
    <row r="1234">
      <c r="A1234" s="2">
        <v>6.9070508626E10</v>
      </c>
      <c r="B1234" s="2" t="s">
        <v>2812</v>
      </c>
      <c r="C1234" s="2" t="s">
        <v>2813</v>
      </c>
    </row>
    <row r="1235">
      <c r="A1235" s="2">
        <v>6.9070507815E10</v>
      </c>
      <c r="B1235" s="2" t="s">
        <v>2814</v>
      </c>
      <c r="C1235" s="2" t="s">
        <v>2815</v>
      </c>
    </row>
    <row r="1236">
      <c r="A1236" s="2">
        <v>6.9070504014E10</v>
      </c>
      <c r="B1236" s="2" t="s">
        <v>2816</v>
      </c>
      <c r="C1236" s="2" t="s">
        <v>2817</v>
      </c>
    </row>
    <row r="1237">
      <c r="A1237" s="2">
        <v>6.907050922E10</v>
      </c>
      <c r="B1237" s="2" t="s">
        <v>2818</v>
      </c>
      <c r="C1237" s="2" t="s">
        <v>2819</v>
      </c>
    </row>
    <row r="1238">
      <c r="A1238" s="2">
        <v>6.9070503472E10</v>
      </c>
      <c r="B1238" s="2" t="s">
        <v>2820</v>
      </c>
      <c r="C1238" s="2" t="s">
        <v>2821</v>
      </c>
    </row>
    <row r="1239">
      <c r="A1239" s="2">
        <v>6.9070503428E10</v>
      </c>
      <c r="B1239" s="2" t="s">
        <v>2822</v>
      </c>
      <c r="C1239" s="2" t="s">
        <v>2823</v>
      </c>
    </row>
    <row r="1240">
      <c r="A1240" s="2">
        <v>6.9070503488E10</v>
      </c>
      <c r="B1240" s="2" t="s">
        <v>2824</v>
      </c>
      <c r="C1240" s="2" t="s">
        <v>2825</v>
      </c>
    </row>
    <row r="1241">
      <c r="A1241" s="2">
        <v>6.9070503254E10</v>
      </c>
      <c r="B1241" s="2" t="s">
        <v>2826</v>
      </c>
      <c r="C1241" s="2" t="s">
        <v>2827</v>
      </c>
    </row>
    <row r="1242">
      <c r="A1242" s="2">
        <v>6.9070503444E10</v>
      </c>
      <c r="B1242" s="2" t="s">
        <v>2828</v>
      </c>
      <c r="C1242" s="2" t="s">
        <v>2829</v>
      </c>
    </row>
    <row r="1243">
      <c r="A1243" s="2">
        <v>6.9070503485E10</v>
      </c>
      <c r="B1243" s="2" t="s">
        <v>2830</v>
      </c>
      <c r="C1243" s="2" t="s">
        <v>2831</v>
      </c>
    </row>
    <row r="1244">
      <c r="A1244" s="2">
        <v>6.9070504037E10</v>
      </c>
      <c r="B1244" s="2" t="s">
        <v>2832</v>
      </c>
      <c r="C1244" s="2" t="s">
        <v>2833</v>
      </c>
    </row>
    <row r="1245">
      <c r="A1245" s="2">
        <v>6.9070507833E10</v>
      </c>
      <c r="B1245" s="2" t="s">
        <v>2834</v>
      </c>
      <c r="C1245" s="2" t="s">
        <v>2835</v>
      </c>
    </row>
    <row r="1246">
      <c r="A1246" s="2">
        <v>6.9070503407E10</v>
      </c>
      <c r="B1246" s="2" t="s">
        <v>2836</v>
      </c>
      <c r="C1246" s="2" t="s">
        <v>2837</v>
      </c>
    </row>
    <row r="1247">
      <c r="A1247" s="2">
        <v>6.907050344E10</v>
      </c>
      <c r="B1247" s="2" t="s">
        <v>2838</v>
      </c>
      <c r="C1247" s="2" t="s">
        <v>2839</v>
      </c>
    </row>
    <row r="1248">
      <c r="A1248" s="2">
        <v>6.907050402E10</v>
      </c>
      <c r="B1248" s="2" t="s">
        <v>159</v>
      </c>
      <c r="C1248" s="2" t="s">
        <v>2840</v>
      </c>
    </row>
    <row r="1249">
      <c r="A1249" s="2">
        <v>6.9070504029E10</v>
      </c>
      <c r="B1249" s="2" t="s">
        <v>2841</v>
      </c>
      <c r="C1249" s="2" t="s">
        <v>2842</v>
      </c>
    </row>
    <row r="1250">
      <c r="A1250" s="2">
        <v>6.9070507829E10</v>
      </c>
      <c r="B1250" s="2" t="s">
        <v>2843</v>
      </c>
      <c r="C1250" s="2" t="s">
        <v>2844</v>
      </c>
    </row>
    <row r="1251">
      <c r="A1251" s="2">
        <v>6.9070509205E10</v>
      </c>
      <c r="B1251" s="2" t="s">
        <v>2845</v>
      </c>
      <c r="C1251" s="2" t="s">
        <v>2846</v>
      </c>
    </row>
    <row r="1252">
      <c r="A1252" s="2">
        <v>6.907050322E10</v>
      </c>
      <c r="B1252" s="2" t="s">
        <v>2847</v>
      </c>
      <c r="C1252" s="2" t="s">
        <v>2848</v>
      </c>
    </row>
    <row r="1253">
      <c r="A1253" s="2">
        <v>6.9070508609E10</v>
      </c>
      <c r="B1253" s="2" t="s">
        <v>2849</v>
      </c>
      <c r="C1253" s="2" t="s">
        <v>2850</v>
      </c>
    </row>
    <row r="1254">
      <c r="A1254" s="2">
        <v>6.9070503216E10</v>
      </c>
      <c r="B1254" s="2" t="s">
        <v>2851</v>
      </c>
      <c r="C1254" s="2" t="s">
        <v>2852</v>
      </c>
    </row>
    <row r="1255">
      <c r="A1255" s="2">
        <v>6.9070503213E10</v>
      </c>
      <c r="B1255" s="2" t="s">
        <v>2854</v>
      </c>
      <c r="C1255" s="2" t="s">
        <v>2855</v>
      </c>
    </row>
    <row r="1256">
      <c r="A1256" s="2">
        <v>6.9070504016E10</v>
      </c>
      <c r="B1256" s="2" t="s">
        <v>2857</v>
      </c>
      <c r="C1256" s="2" t="s">
        <v>2859</v>
      </c>
    </row>
    <row r="1257">
      <c r="A1257" s="2">
        <v>6.9070504041E10</v>
      </c>
      <c r="B1257" s="2" t="s">
        <v>2861</v>
      </c>
      <c r="C1257" s="2" t="s">
        <v>2862</v>
      </c>
    </row>
    <row r="1258">
      <c r="A1258" s="2">
        <v>6.9070503439E10</v>
      </c>
      <c r="B1258" s="2" t="s">
        <v>2863</v>
      </c>
      <c r="C1258" s="2" t="s">
        <v>2865</v>
      </c>
    </row>
    <row r="1259">
      <c r="A1259" s="2">
        <v>6.9070508636E10</v>
      </c>
      <c r="B1259" s="2" t="s">
        <v>2866</v>
      </c>
      <c r="C1259" s="2" t="s">
        <v>2867</v>
      </c>
    </row>
    <row r="1260">
      <c r="A1260" s="2">
        <v>6.9070503268E10</v>
      </c>
      <c r="B1260" s="2" t="s">
        <v>2869</v>
      </c>
      <c r="C1260" s="2" t="s">
        <v>2871</v>
      </c>
    </row>
    <row r="1261">
      <c r="A1261" s="2">
        <v>6.9070503431E10</v>
      </c>
      <c r="B1261" s="2" t="s">
        <v>2873</v>
      </c>
      <c r="C1261" s="2" t="s">
        <v>2874</v>
      </c>
    </row>
    <row r="1262">
      <c r="A1262" s="2">
        <v>6.9070504036E10</v>
      </c>
      <c r="B1262" s="2" t="s">
        <v>2875</v>
      </c>
      <c r="C1262" s="2" t="s">
        <v>2876</v>
      </c>
    </row>
    <row r="1263">
      <c r="A1263" s="2">
        <v>6.9070503417E10</v>
      </c>
      <c r="B1263" s="2" t="s">
        <v>2877</v>
      </c>
      <c r="C1263" s="2" t="s">
        <v>2878</v>
      </c>
    </row>
    <row r="1264">
      <c r="A1264" s="2">
        <v>6.9070503211E10</v>
      </c>
      <c r="B1264" s="2" t="s">
        <v>2879</v>
      </c>
      <c r="C1264" s="2" t="s">
        <v>2880</v>
      </c>
    </row>
    <row r="1265">
      <c r="A1265" s="2">
        <v>6.9070503409E10</v>
      </c>
      <c r="B1265" s="2" t="s">
        <v>879</v>
      </c>
      <c r="C1265" s="2" t="s">
        <v>2881</v>
      </c>
    </row>
    <row r="1266">
      <c r="A1266" s="2">
        <v>6.9070508618E10</v>
      </c>
      <c r="B1266" s="2" t="s">
        <v>2882</v>
      </c>
      <c r="C1266" s="2" t="s">
        <v>2883</v>
      </c>
    </row>
    <row r="1267">
      <c r="A1267" s="2">
        <v>6.9070504031E10</v>
      </c>
      <c r="B1267" s="2" t="s">
        <v>2884</v>
      </c>
      <c r="C1267" s="2" t="s">
        <v>2885</v>
      </c>
    </row>
    <row r="1268">
      <c r="A1268" s="2">
        <v>6.9070504018E10</v>
      </c>
      <c r="B1268" s="2" t="s">
        <v>2886</v>
      </c>
      <c r="C1268" s="2" t="s">
        <v>2887</v>
      </c>
    </row>
    <row r="1269">
      <c r="A1269" s="2">
        <v>6.907050401E10</v>
      </c>
      <c r="B1269" s="2" t="s">
        <v>2888</v>
      </c>
      <c r="C1269" s="2" t="s">
        <v>2889</v>
      </c>
    </row>
    <row r="1270">
      <c r="A1270" s="2">
        <v>6.9070508615E10</v>
      </c>
      <c r="B1270" s="2" t="s">
        <v>2890</v>
      </c>
      <c r="C1270" s="2" t="s">
        <v>2891</v>
      </c>
    </row>
    <row r="1271">
      <c r="A1271" s="2">
        <v>6.9070503465E10</v>
      </c>
      <c r="B1271" s="2" t="s">
        <v>2892</v>
      </c>
      <c r="C1271" s="2" t="s">
        <v>2893</v>
      </c>
    </row>
    <row r="1272">
      <c r="A1272" s="2">
        <v>6.9070508621E10</v>
      </c>
      <c r="B1272" s="2" t="s">
        <v>2894</v>
      </c>
      <c r="C1272" s="2" t="s">
        <v>2895</v>
      </c>
    </row>
    <row r="1273">
      <c r="A1273" s="2">
        <v>6.9070507805E10</v>
      </c>
      <c r="B1273" s="2" t="s">
        <v>2896</v>
      </c>
      <c r="C1273" s="2" t="s">
        <v>2897</v>
      </c>
    </row>
    <row r="1274">
      <c r="A1274" s="2">
        <v>6.9070508627E10</v>
      </c>
      <c r="B1274" s="2" t="s">
        <v>2898</v>
      </c>
      <c r="C1274" s="2" t="s">
        <v>2899</v>
      </c>
    </row>
    <row r="1275">
      <c r="A1275" s="2">
        <v>6.9070508625E10</v>
      </c>
      <c r="B1275" s="2" t="s">
        <v>2900</v>
      </c>
      <c r="C1275" s="2" t="s">
        <v>2901</v>
      </c>
    </row>
    <row r="1276">
      <c r="A1276" s="2">
        <v>6.9070508638E10</v>
      </c>
      <c r="B1276" s="2" t="s">
        <v>2902</v>
      </c>
      <c r="C1276" s="2" t="s">
        <v>2903</v>
      </c>
    </row>
    <row r="1277">
      <c r="A1277" s="2">
        <v>6.907050405E10</v>
      </c>
      <c r="B1277" s="2" t="s">
        <v>2904</v>
      </c>
      <c r="C1277" s="2" t="s">
        <v>2905</v>
      </c>
    </row>
    <row r="1278">
      <c r="A1278" s="2">
        <v>6.9070509213E10</v>
      </c>
      <c r="B1278" s="2" t="s">
        <v>2906</v>
      </c>
      <c r="C1278" s="2" t="s">
        <v>2907</v>
      </c>
    </row>
    <row r="1279">
      <c r="A1279" s="2">
        <v>6.9070504044E10</v>
      </c>
      <c r="B1279" s="2" t="s">
        <v>2847</v>
      </c>
      <c r="C1279" s="2" t="s">
        <v>2908</v>
      </c>
    </row>
    <row r="1280">
      <c r="A1280" s="2">
        <v>6.9070503255E10</v>
      </c>
      <c r="B1280" s="2" t="s">
        <v>2909</v>
      </c>
      <c r="C1280" s="2" t="s">
        <v>2910</v>
      </c>
    </row>
    <row r="1281">
      <c r="A1281" s="2">
        <v>6.907050403E10</v>
      </c>
      <c r="B1281" s="2" t="s">
        <v>2911</v>
      </c>
      <c r="C1281" s="2" t="s">
        <v>2912</v>
      </c>
    </row>
    <row r="1282">
      <c r="A1282" s="2">
        <v>6.9070504048E10</v>
      </c>
      <c r="B1282" s="2" t="s">
        <v>2913</v>
      </c>
      <c r="C1282" s="2" t="s">
        <v>2914</v>
      </c>
    </row>
    <row r="1283">
      <c r="A1283" s="2">
        <v>6.907050347E10</v>
      </c>
      <c r="B1283" s="2" t="s">
        <v>2915</v>
      </c>
      <c r="C1283" s="2" t="s">
        <v>2916</v>
      </c>
    </row>
    <row r="1284">
      <c r="A1284" s="2">
        <v>6.9070504032E10</v>
      </c>
      <c r="B1284" s="2" t="s">
        <v>2917</v>
      </c>
      <c r="C1284" s="2" t="s">
        <v>2918</v>
      </c>
    </row>
    <row r="1285">
      <c r="A1285" s="2">
        <v>6.9070508619E10</v>
      </c>
      <c r="B1285" s="2" t="s">
        <v>2919</v>
      </c>
      <c r="C1285" s="2" t="s">
        <v>2920</v>
      </c>
    </row>
    <row r="1286">
      <c r="A1286" s="2">
        <v>6.9070503462E10</v>
      </c>
      <c r="B1286" s="2" t="s">
        <v>536</v>
      </c>
      <c r="C1286" s="2" t="s">
        <v>2921</v>
      </c>
    </row>
    <row r="1287">
      <c r="A1287" s="2">
        <v>6.9070503477E10</v>
      </c>
      <c r="B1287" s="2" t="s">
        <v>172</v>
      </c>
      <c r="C1287" s="2" t="s">
        <v>2922</v>
      </c>
    </row>
    <row r="1288">
      <c r="A1288" s="2">
        <v>6.9070508608E10</v>
      </c>
      <c r="B1288" s="2" t="s">
        <v>2923</v>
      </c>
      <c r="C1288" s="2" t="s">
        <v>2924</v>
      </c>
    </row>
    <row r="1289">
      <c r="A1289" s="2">
        <v>6.9070503253E10</v>
      </c>
      <c r="B1289" s="2" t="s">
        <v>2672</v>
      </c>
      <c r="C1289" s="2" t="s">
        <v>2925</v>
      </c>
    </row>
    <row r="1290">
      <c r="A1290" s="2">
        <v>6.9070503279E10</v>
      </c>
      <c r="B1290" s="2" t="s">
        <v>2926</v>
      </c>
      <c r="C1290" s="2" t="s">
        <v>2927</v>
      </c>
    </row>
    <row r="1291">
      <c r="A1291" s="2">
        <v>6.907050905E10</v>
      </c>
      <c r="B1291" s="2" t="s">
        <v>2928</v>
      </c>
      <c r="C1291" s="2" t="s">
        <v>2929</v>
      </c>
    </row>
    <row r="1292">
      <c r="A1292" s="2">
        <v>6.9070508628E10</v>
      </c>
      <c r="B1292" s="2" t="s">
        <v>2805</v>
      </c>
      <c r="C1292" s="2" t="s">
        <v>2806</v>
      </c>
    </row>
    <row r="1293">
      <c r="A1293" s="2">
        <v>6.9070503215E10</v>
      </c>
      <c r="B1293" s="2" t="s">
        <v>2801</v>
      </c>
      <c r="C1293" s="2" t="s">
        <v>2930</v>
      </c>
    </row>
    <row r="1294">
      <c r="A1294" s="2">
        <v>6.9070504043E10</v>
      </c>
      <c r="B1294" s="2" t="s">
        <v>2931</v>
      </c>
      <c r="C1294" s="2" t="s">
        <v>2932</v>
      </c>
    </row>
    <row r="1295">
      <c r="A1295" s="2">
        <v>6.9070504011E10</v>
      </c>
      <c r="B1295" s="2" t="s">
        <v>2933</v>
      </c>
      <c r="C1295" s="2" t="s">
        <v>2934</v>
      </c>
    </row>
    <row r="1296">
      <c r="A1296" s="2">
        <v>6.9070504003E10</v>
      </c>
      <c r="B1296" s="2" t="s">
        <v>2935</v>
      </c>
      <c r="C1296" s="2" t="s">
        <v>2936</v>
      </c>
    </row>
    <row r="1297">
      <c r="A1297" s="2">
        <v>6.9070508634E10</v>
      </c>
      <c r="B1297" s="2" t="s">
        <v>2937</v>
      </c>
      <c r="C1297" s="2" t="s">
        <v>2938</v>
      </c>
    </row>
    <row r="1298">
      <c r="A1298" s="2">
        <v>6.9070503272E10</v>
      </c>
      <c r="B1298" s="2" t="s">
        <v>2939</v>
      </c>
      <c r="C1298" s="2" t="s">
        <v>2940</v>
      </c>
    </row>
    <row r="1299">
      <c r="A1299" s="2">
        <v>6.9070504047E10</v>
      </c>
      <c r="B1299" s="2" t="s">
        <v>2944</v>
      </c>
      <c r="C1299" s="2" t="s">
        <v>2945</v>
      </c>
    </row>
    <row r="1300">
      <c r="A1300" s="2">
        <v>6.9070504012E10</v>
      </c>
      <c r="B1300" s="2" t="s">
        <v>2948</v>
      </c>
      <c r="C1300" s="2" t="s">
        <v>2949</v>
      </c>
    </row>
    <row r="1301">
      <c r="A1301" s="2">
        <v>6.9070504035E10</v>
      </c>
      <c r="B1301" s="2" t="s">
        <v>2950</v>
      </c>
      <c r="C1301" s="2" t="s">
        <v>2951</v>
      </c>
    </row>
    <row r="1302">
      <c r="A1302" s="2">
        <v>6.9070504049E10</v>
      </c>
      <c r="B1302" s="2" t="s">
        <v>2953</v>
      </c>
      <c r="C1302" s="2" t="s">
        <v>2955</v>
      </c>
    </row>
    <row r="1303">
      <c r="A1303" s="2">
        <v>6.9070503276E10</v>
      </c>
      <c r="B1303" s="2" t="s">
        <v>2803</v>
      </c>
      <c r="C1303" s="2" t="s">
        <v>2957</v>
      </c>
    </row>
    <row r="1304">
      <c r="A1304" s="2">
        <v>6.9070504039E10</v>
      </c>
      <c r="B1304" s="2" t="s">
        <v>2958</v>
      </c>
      <c r="C1304" s="2" t="s">
        <v>2959</v>
      </c>
    </row>
    <row r="1305">
      <c r="A1305" s="2">
        <v>6.9070503453E10</v>
      </c>
      <c r="B1305" s="2" t="s">
        <v>2960</v>
      </c>
      <c r="C1305" s="2" t="s">
        <v>2961</v>
      </c>
    </row>
    <row r="1306">
      <c r="A1306" s="2">
        <v>6.9070503259E10</v>
      </c>
      <c r="B1306" s="2" t="s">
        <v>2962</v>
      </c>
      <c r="C1306" s="2" t="s">
        <v>2963</v>
      </c>
    </row>
    <row r="1307">
      <c r="A1307" s="2">
        <v>6.9070503238E10</v>
      </c>
      <c r="B1307" s="2" t="s">
        <v>2964</v>
      </c>
      <c r="C1307" s="2" t="s">
        <v>2964</v>
      </c>
    </row>
    <row r="1308">
      <c r="A1308" s="2">
        <v>6.9070504017E10</v>
      </c>
      <c r="B1308" s="2" t="s">
        <v>2965</v>
      </c>
      <c r="C1308" s="2" t="s">
        <v>2966</v>
      </c>
    </row>
    <row r="1309">
      <c r="A1309" s="2">
        <v>6.9070503221E10</v>
      </c>
      <c r="B1309" s="2" t="s">
        <v>2967</v>
      </c>
      <c r="C1309" s="2" t="s">
        <v>2968</v>
      </c>
    </row>
    <row r="1310">
      <c r="A1310" s="2">
        <v>6.9070503281E10</v>
      </c>
      <c r="B1310" s="2" t="s">
        <v>2969</v>
      </c>
      <c r="C1310" s="2" t="s">
        <v>2970</v>
      </c>
    </row>
    <row r="1311">
      <c r="A1311" s="2">
        <v>6.9070503209E10</v>
      </c>
      <c r="B1311" s="2" t="s">
        <v>2412</v>
      </c>
      <c r="C1311" s="2" t="s">
        <v>2971</v>
      </c>
    </row>
    <row r="1312">
      <c r="A1312" s="2">
        <v>6.9070503277E10</v>
      </c>
      <c r="B1312" s="2" t="s">
        <v>2972</v>
      </c>
      <c r="C1312" s="2" t="s">
        <v>2973</v>
      </c>
    </row>
    <row r="1313">
      <c r="A1313" s="2">
        <v>6.9070503256E10</v>
      </c>
      <c r="B1313" s="2" t="s">
        <v>2909</v>
      </c>
      <c r="C1313" s="2" t="s">
        <v>2974</v>
      </c>
    </row>
    <row r="1314">
      <c r="A1314" s="2">
        <v>6.9070503267E10</v>
      </c>
      <c r="B1314" s="2" t="s">
        <v>2975</v>
      </c>
      <c r="C1314" s="2" t="s">
        <v>2976</v>
      </c>
    </row>
    <row r="1315">
      <c r="A1315" s="2">
        <v>6.907050328E10</v>
      </c>
      <c r="B1315" s="2" t="s">
        <v>2977</v>
      </c>
      <c r="C1315" s="2" t="s">
        <v>2978</v>
      </c>
    </row>
    <row r="1316">
      <c r="A1316" s="2">
        <v>6.9070504028E10</v>
      </c>
      <c r="B1316" s="2" t="s">
        <v>2979</v>
      </c>
      <c r="C1316" s="2" t="s">
        <v>2980</v>
      </c>
    </row>
    <row r="1317">
      <c r="A1317" s="2">
        <v>6.9070503257E10</v>
      </c>
      <c r="B1317" s="2" t="s">
        <v>2981</v>
      </c>
      <c r="C1317" s="2" t="s">
        <v>2982</v>
      </c>
    </row>
    <row r="1318">
      <c r="A1318" s="2">
        <v>6.9070503214E10</v>
      </c>
      <c r="B1318" s="2" t="s">
        <v>2983</v>
      </c>
      <c r="C1318" s="2" t="s">
        <v>2984</v>
      </c>
    </row>
    <row r="1319">
      <c r="A1319" s="2">
        <v>6.9070503271E10</v>
      </c>
      <c r="B1319" s="2" t="s">
        <v>2985</v>
      </c>
      <c r="C1319" s="2" t="s">
        <v>2986</v>
      </c>
    </row>
    <row r="1320">
      <c r="A1320" s="2">
        <v>6.9070508617E10</v>
      </c>
      <c r="B1320" s="2" t="s">
        <v>2987</v>
      </c>
      <c r="C1320" s="2" t="s">
        <v>2988</v>
      </c>
    </row>
    <row r="1321">
      <c r="A1321" s="2">
        <v>6.9070508622E10</v>
      </c>
      <c r="B1321" s="2" t="s">
        <v>2989</v>
      </c>
      <c r="C1321" s="2" t="s">
        <v>2990</v>
      </c>
    </row>
    <row r="1322">
      <c r="A1322" s="2">
        <v>6.9070503245E10</v>
      </c>
      <c r="B1322" s="2" t="s">
        <v>2991</v>
      </c>
      <c r="C1322" s="2" t="s">
        <v>2992</v>
      </c>
    </row>
    <row r="1323">
      <c r="A1323" s="2">
        <v>6.9070508623E10</v>
      </c>
      <c r="B1323" s="2" t="s">
        <v>2993</v>
      </c>
      <c r="C1323" s="2" t="s">
        <v>2994</v>
      </c>
    </row>
    <row r="1324">
      <c r="A1324" s="2">
        <v>6.9070503242E10</v>
      </c>
      <c r="B1324" s="2" t="s">
        <v>2995</v>
      </c>
      <c r="C1324" s="2" t="s">
        <v>2996</v>
      </c>
    </row>
    <row r="1325">
      <c r="A1325" s="2">
        <v>6.907050863E10</v>
      </c>
      <c r="B1325" s="2" t="s">
        <v>2997</v>
      </c>
      <c r="C1325" s="2" t="s">
        <v>2998</v>
      </c>
    </row>
    <row r="1326">
      <c r="A1326" s="2">
        <v>6.9070503246E10</v>
      </c>
      <c r="B1326" s="2" t="s">
        <v>2999</v>
      </c>
      <c r="C1326" s="2" t="s">
        <v>3000</v>
      </c>
    </row>
    <row r="1327">
      <c r="A1327" s="2">
        <v>6.9070503275E10</v>
      </c>
      <c r="B1327" s="2" t="s">
        <v>3001</v>
      </c>
      <c r="C1327" s="2" t="s">
        <v>3002</v>
      </c>
    </row>
    <row r="1328">
      <c r="A1328" s="2">
        <v>6.9070503225E10</v>
      </c>
      <c r="B1328" s="2" t="s">
        <v>3003</v>
      </c>
      <c r="C1328" s="2" t="s">
        <v>3004</v>
      </c>
    </row>
    <row r="1329">
      <c r="A1329" s="2">
        <v>6.9070503223E10</v>
      </c>
      <c r="B1329" s="2" t="s">
        <v>3005</v>
      </c>
      <c r="C1329" s="2" t="s">
        <v>3006</v>
      </c>
    </row>
    <row r="1330">
      <c r="A1330" s="2">
        <v>6.9070503264E10</v>
      </c>
      <c r="B1330" s="2" t="s">
        <v>3007</v>
      </c>
      <c r="C1330" s="2" t="s">
        <v>3008</v>
      </c>
    </row>
    <row r="1331">
      <c r="A1331" s="2">
        <v>6.9070503252E10</v>
      </c>
      <c r="B1331" s="2" t="s">
        <v>3009</v>
      </c>
      <c r="C1331" s="2" t="s">
        <v>3010</v>
      </c>
    </row>
    <row r="1332">
      <c r="A1332" s="2">
        <v>6.9070503222E10</v>
      </c>
      <c r="B1332" s="2" t="s">
        <v>3011</v>
      </c>
      <c r="C1332" s="2" t="s">
        <v>3012</v>
      </c>
    </row>
    <row r="1333">
      <c r="A1333" s="2">
        <v>6.907050904E10</v>
      </c>
      <c r="B1333" s="2" t="s">
        <v>3013</v>
      </c>
      <c r="C1333" s="2" t="s">
        <v>3014</v>
      </c>
    </row>
    <row r="1334">
      <c r="A1334" s="2">
        <v>6.9070503245E10</v>
      </c>
      <c r="B1334" s="2" t="s">
        <v>2991</v>
      </c>
      <c r="C1334" s="2" t="s">
        <v>2992</v>
      </c>
    </row>
    <row r="1335">
      <c r="A1335" s="2">
        <v>6.9070503228E10</v>
      </c>
      <c r="B1335" s="2" t="s">
        <v>3015</v>
      </c>
      <c r="C1335" s="2" t="s">
        <v>3016</v>
      </c>
    </row>
    <row r="1336">
      <c r="A1336" s="2">
        <v>6.9070503236E10</v>
      </c>
      <c r="B1336" s="2" t="s">
        <v>3017</v>
      </c>
      <c r="C1336" s="2" t="s">
        <v>3018</v>
      </c>
    </row>
    <row r="1337">
      <c r="A1337" s="2">
        <v>6.9070503269E10</v>
      </c>
      <c r="B1337" s="2" t="s">
        <v>3019</v>
      </c>
      <c r="C1337" s="2" t="s">
        <v>3020</v>
      </c>
    </row>
    <row r="1338">
      <c r="A1338" s="2">
        <v>6.907050345E10</v>
      </c>
      <c r="B1338" s="2" t="s">
        <v>3021</v>
      </c>
      <c r="C1338" s="2" t="s">
        <v>3022</v>
      </c>
    </row>
    <row r="1339">
      <c r="A1339" s="2">
        <v>6.9070503442E10</v>
      </c>
      <c r="B1339" s="2" t="s">
        <v>3023</v>
      </c>
      <c r="C1339" s="2" t="s">
        <v>3024</v>
      </c>
    </row>
    <row r="1340">
      <c r="A1340" s="2">
        <v>6.907050902E10</v>
      </c>
      <c r="B1340" s="2" t="s">
        <v>3025</v>
      </c>
      <c r="C1340" s="2" t="s">
        <v>3026</v>
      </c>
    </row>
    <row r="1341">
      <c r="A1341" s="2">
        <v>6.907050321E10</v>
      </c>
      <c r="B1341" s="2" t="s">
        <v>3027</v>
      </c>
      <c r="C1341" s="2" t="s">
        <v>3028</v>
      </c>
    </row>
    <row r="1342">
      <c r="A1342" s="2">
        <v>6.9070503218E10</v>
      </c>
      <c r="B1342" s="2" t="s">
        <v>3029</v>
      </c>
      <c r="C1342" s="2" t="s">
        <v>3030</v>
      </c>
    </row>
    <row r="1343">
      <c r="A1343" s="2">
        <v>6.9070503263E10</v>
      </c>
      <c r="B1343" s="2" t="s">
        <v>3031</v>
      </c>
      <c r="C1343" s="2" t="s">
        <v>3032</v>
      </c>
    </row>
    <row r="1344">
      <c r="A1344" s="2">
        <v>6.9070509014E10</v>
      </c>
      <c r="B1344" s="2" t="s">
        <v>3034</v>
      </c>
      <c r="C1344" s="2" t="s">
        <v>3036</v>
      </c>
    </row>
    <row r="1345">
      <c r="A1345" s="2">
        <v>6.9070509005E10</v>
      </c>
      <c r="B1345" s="2" t="s">
        <v>3038</v>
      </c>
      <c r="C1345" s="2" t="s">
        <v>3039</v>
      </c>
    </row>
    <row r="1346">
      <c r="A1346" s="2">
        <v>6.9070509012E10</v>
      </c>
      <c r="B1346" s="2" t="s">
        <v>3041</v>
      </c>
      <c r="C1346" s="2" t="s">
        <v>3043</v>
      </c>
    </row>
    <row r="1347">
      <c r="B1347" s="2" t="s">
        <v>3044</v>
      </c>
      <c r="C1347" s="2" t="s">
        <v>3044</v>
      </c>
    </row>
    <row r="1348">
      <c r="B1348" s="2" t="s">
        <v>3044</v>
      </c>
      <c r="C1348" s="2" t="s">
        <v>3044</v>
      </c>
    </row>
    <row r="1349">
      <c r="B1349" s="2" t="s">
        <v>3044</v>
      </c>
      <c r="C1349" s="2" t="s">
        <v>3044</v>
      </c>
    </row>
    <row r="1350">
      <c r="B1350" s="2" t="s">
        <v>3044</v>
      </c>
      <c r="C1350" s="2" t="s">
        <v>3044</v>
      </c>
    </row>
    <row r="1351">
      <c r="B1351" s="2" t="s">
        <v>3044</v>
      </c>
      <c r="C1351" s="2" t="s">
        <v>3044</v>
      </c>
    </row>
    <row r="1352">
      <c r="B1352" s="2" t="s">
        <v>3044</v>
      </c>
      <c r="C1352" s="2" t="s">
        <v>3044</v>
      </c>
    </row>
    <row r="1353">
      <c r="B1353" s="2" t="s">
        <v>3044</v>
      </c>
      <c r="C1353" s="2" t="s">
        <v>3044</v>
      </c>
    </row>
    <row r="1354">
      <c r="B1354" s="2" t="s">
        <v>3044</v>
      </c>
      <c r="C1354" s="2" t="s">
        <v>3044</v>
      </c>
    </row>
    <row r="1355">
      <c r="B1355" s="2" t="s">
        <v>3044</v>
      </c>
      <c r="C1355" s="2" t="s">
        <v>3044</v>
      </c>
    </row>
    <row r="1356">
      <c r="B1356" s="2" t="s">
        <v>3044</v>
      </c>
      <c r="C1356" s="2" t="s">
        <v>3044</v>
      </c>
    </row>
    <row r="1357">
      <c r="B1357" s="2" t="s">
        <v>3044</v>
      </c>
      <c r="C1357" s="2" t="s">
        <v>3044</v>
      </c>
    </row>
    <row r="1358">
      <c r="B1358" s="2" t="s">
        <v>3044</v>
      </c>
      <c r="C1358" s="2" t="s">
        <v>3044</v>
      </c>
    </row>
    <row r="1359">
      <c r="B1359" s="2" t="s">
        <v>3044</v>
      </c>
      <c r="C1359" s="2" t="s">
        <v>3044</v>
      </c>
    </row>
    <row r="1360">
      <c r="B1360" s="2" t="s">
        <v>3044</v>
      </c>
      <c r="C1360" s="2" t="s">
        <v>3044</v>
      </c>
    </row>
    <row r="1361">
      <c r="B1361" s="2" t="s">
        <v>3044</v>
      </c>
      <c r="C1361" s="2" t="s">
        <v>3044</v>
      </c>
    </row>
    <row r="1362">
      <c r="B1362" s="2" t="s">
        <v>3044</v>
      </c>
      <c r="C1362" s="2" t="s">
        <v>3044</v>
      </c>
    </row>
    <row r="1363">
      <c r="B1363" s="2" t="s">
        <v>3044</v>
      </c>
      <c r="C1363" s="2" t="s">
        <v>3044</v>
      </c>
    </row>
    <row r="1364">
      <c r="B1364" s="2" t="s">
        <v>3044</v>
      </c>
      <c r="C1364" s="2" t="s">
        <v>3044</v>
      </c>
    </row>
    <row r="1365">
      <c r="B1365" s="2" t="s">
        <v>3044</v>
      </c>
      <c r="C1365" s="2" t="s">
        <v>3044</v>
      </c>
    </row>
    <row r="1366">
      <c r="B1366" s="2" t="s">
        <v>3044</v>
      </c>
      <c r="C1366" s="2" t="s">
        <v>3044</v>
      </c>
    </row>
    <row r="1367">
      <c r="B1367" s="2" t="s">
        <v>3044</v>
      </c>
      <c r="C1367" s="2" t="s">
        <v>3044</v>
      </c>
    </row>
    <row r="1368">
      <c r="B1368" s="2" t="s">
        <v>3044</v>
      </c>
      <c r="C1368" s="2" t="s">
        <v>3044</v>
      </c>
    </row>
    <row r="1369">
      <c r="B1369" s="2" t="s">
        <v>3044</v>
      </c>
      <c r="C1369" s="2" t="s">
        <v>3044</v>
      </c>
    </row>
    <row r="1370">
      <c r="B1370" s="2" t="s">
        <v>3044</v>
      </c>
      <c r="C1370" s="2" t="s">
        <v>3044</v>
      </c>
    </row>
    <row r="1371">
      <c r="B1371" s="2" t="s">
        <v>3044</v>
      </c>
      <c r="C1371" s="2" t="s">
        <v>3044</v>
      </c>
    </row>
    <row r="1372">
      <c r="B1372" s="2" t="s">
        <v>3044</v>
      </c>
      <c r="C1372" s="2" t="s">
        <v>3044</v>
      </c>
    </row>
    <row r="1373">
      <c r="B1373" s="2" t="s">
        <v>3044</v>
      </c>
      <c r="C1373" s="2" t="s">
        <v>3044</v>
      </c>
    </row>
    <row r="1374">
      <c r="B1374" s="2" t="s">
        <v>3044</v>
      </c>
      <c r="C1374" s="2" t="s">
        <v>3044</v>
      </c>
    </row>
    <row r="1375">
      <c r="B1375" s="2" t="s">
        <v>3044</v>
      </c>
      <c r="C1375" s="2" t="s">
        <v>3044</v>
      </c>
    </row>
    <row r="1376">
      <c r="B1376" s="2" t="s">
        <v>3044</v>
      </c>
      <c r="C1376" s="2" t="s">
        <v>3044</v>
      </c>
    </row>
    <row r="1377">
      <c r="B1377" s="2" t="s">
        <v>3044</v>
      </c>
      <c r="C1377" s="2" t="s">
        <v>3044</v>
      </c>
    </row>
    <row r="1378">
      <c r="B1378" s="2" t="s">
        <v>3044</v>
      </c>
      <c r="C1378" s="2" t="s">
        <v>3044</v>
      </c>
    </row>
    <row r="1379">
      <c r="B1379" s="2" t="s">
        <v>3044</v>
      </c>
      <c r="C1379" s="2" t="s">
        <v>3044</v>
      </c>
    </row>
    <row r="1380">
      <c r="B1380" s="2" t="s">
        <v>3044</v>
      </c>
      <c r="C1380" s="2" t="s">
        <v>3044</v>
      </c>
    </row>
    <row r="1381">
      <c r="B1381" s="2" t="s">
        <v>3044</v>
      </c>
      <c r="C1381" s="2" t="s">
        <v>3044</v>
      </c>
    </row>
    <row r="1382">
      <c r="B1382" s="2" t="s">
        <v>3044</v>
      </c>
      <c r="C1382" s="2" t="s">
        <v>3044</v>
      </c>
    </row>
    <row r="1383">
      <c r="B1383" s="2" t="s">
        <v>3044</v>
      </c>
      <c r="C1383" s="2" t="s">
        <v>3044</v>
      </c>
    </row>
    <row r="1384">
      <c r="B1384" s="2" t="s">
        <v>3044</v>
      </c>
      <c r="C1384" s="2" t="s">
        <v>3044</v>
      </c>
    </row>
    <row r="1385">
      <c r="B1385" s="2" t="s">
        <v>3044</v>
      </c>
      <c r="C1385" s="2" t="s">
        <v>3044</v>
      </c>
    </row>
    <row r="1386">
      <c r="B1386" s="2" t="s">
        <v>3044</v>
      </c>
      <c r="C1386" s="2" t="s">
        <v>3044</v>
      </c>
    </row>
    <row r="1387">
      <c r="B1387" s="2" t="s">
        <v>3044</v>
      </c>
      <c r="C1387" s="2" t="s">
        <v>3044</v>
      </c>
    </row>
    <row r="1388">
      <c r="B1388" s="2" t="s">
        <v>3044</v>
      </c>
      <c r="C1388" s="2" t="s">
        <v>3044</v>
      </c>
    </row>
    <row r="1389">
      <c r="B1389" s="2" t="s">
        <v>3044</v>
      </c>
      <c r="C1389" s="2" t="s">
        <v>3044</v>
      </c>
    </row>
    <row r="1390">
      <c r="B1390" s="2" t="s">
        <v>3044</v>
      </c>
      <c r="C1390" s="2" t="s">
        <v>3044</v>
      </c>
    </row>
    <row r="1391">
      <c r="B1391" s="2" t="s">
        <v>3044</v>
      </c>
      <c r="C1391" s="2" t="s">
        <v>3044</v>
      </c>
    </row>
    <row r="1392">
      <c r="B1392" s="2" t="s">
        <v>3044</v>
      </c>
      <c r="C1392" s="2" t="s">
        <v>3044</v>
      </c>
    </row>
    <row r="1393">
      <c r="B1393" s="2" t="s">
        <v>3044</v>
      </c>
      <c r="C1393" s="2" t="s">
        <v>3044</v>
      </c>
    </row>
    <row r="1394">
      <c r="B1394" s="2" t="s">
        <v>3044</v>
      </c>
      <c r="C1394" s="2" t="s">
        <v>3044</v>
      </c>
    </row>
    <row r="1395">
      <c r="B1395" s="2" t="s">
        <v>3044</v>
      </c>
      <c r="C1395" s="2" t="s">
        <v>3044</v>
      </c>
    </row>
    <row r="1396">
      <c r="B1396" s="2" t="s">
        <v>3044</v>
      </c>
      <c r="C1396" s="2" t="s">
        <v>3044</v>
      </c>
    </row>
    <row r="1397">
      <c r="B1397" s="2" t="s">
        <v>3044</v>
      </c>
      <c r="C1397" s="2" t="s">
        <v>3044</v>
      </c>
    </row>
    <row r="1398">
      <c r="B1398" s="2" t="s">
        <v>3044</v>
      </c>
      <c r="C1398" s="2" t="s">
        <v>3044</v>
      </c>
    </row>
    <row r="1399">
      <c r="B1399" s="2" t="s">
        <v>3044</v>
      </c>
      <c r="C1399" s="2" t="s">
        <v>3044</v>
      </c>
    </row>
    <row r="1400">
      <c r="B1400" s="2" t="s">
        <v>3044</v>
      </c>
      <c r="C1400" s="2" t="s">
        <v>3044</v>
      </c>
    </row>
    <row r="1401">
      <c r="B1401" s="2" t="s">
        <v>3044</v>
      </c>
      <c r="C1401" s="2" t="s">
        <v>3044</v>
      </c>
    </row>
    <row r="1402">
      <c r="B1402" s="2" t="s">
        <v>3044</v>
      </c>
      <c r="C1402" s="2" t="s">
        <v>3044</v>
      </c>
    </row>
    <row r="1403">
      <c r="B1403" s="2" t="s">
        <v>3044</v>
      </c>
      <c r="C1403" s="2" t="s">
        <v>3044</v>
      </c>
    </row>
    <row r="1404">
      <c r="B1404" s="2" t="s">
        <v>3044</v>
      </c>
      <c r="C1404" s="2" t="s">
        <v>3044</v>
      </c>
    </row>
    <row r="1405">
      <c r="B1405" s="2" t="s">
        <v>3044</v>
      </c>
      <c r="C1405" s="2" t="s">
        <v>3044</v>
      </c>
    </row>
    <row r="1406">
      <c r="B1406" s="2" t="s">
        <v>3044</v>
      </c>
      <c r="C1406" s="2" t="s">
        <v>3044</v>
      </c>
    </row>
    <row r="1407">
      <c r="B1407" s="2" t="s">
        <v>3044</v>
      </c>
      <c r="C1407" s="2" t="s">
        <v>3044</v>
      </c>
    </row>
    <row r="1408">
      <c r="B1408" s="2" t="s">
        <v>3044</v>
      </c>
      <c r="C1408" s="2" t="s">
        <v>3044</v>
      </c>
    </row>
    <row r="1409">
      <c r="B1409" s="2" t="s">
        <v>3044</v>
      </c>
      <c r="C1409" s="2" t="s">
        <v>3044</v>
      </c>
    </row>
    <row r="1410">
      <c r="B1410" s="2" t="s">
        <v>3044</v>
      </c>
      <c r="C1410" s="2" t="s">
        <v>3044</v>
      </c>
    </row>
    <row r="1411">
      <c r="B1411" s="2" t="s">
        <v>3044</v>
      </c>
      <c r="C1411" s="2" t="s">
        <v>3044</v>
      </c>
    </row>
    <row r="1412">
      <c r="B1412" s="2" t="s">
        <v>3044</v>
      </c>
      <c r="C1412" s="2" t="s">
        <v>3044</v>
      </c>
    </row>
    <row r="1413">
      <c r="B1413" s="2" t="s">
        <v>3044</v>
      </c>
      <c r="C1413" s="2" t="s">
        <v>3044</v>
      </c>
    </row>
    <row r="1414">
      <c r="B1414" s="2" t="s">
        <v>3044</v>
      </c>
      <c r="C1414" s="2" t="s">
        <v>3044</v>
      </c>
    </row>
    <row r="1415">
      <c r="B1415" s="2" t="s">
        <v>3044</v>
      </c>
      <c r="C1415" s="2" t="s">
        <v>3044</v>
      </c>
    </row>
    <row r="1416">
      <c r="B1416" s="2" t="s">
        <v>3044</v>
      </c>
      <c r="C1416" s="2" t="s">
        <v>3044</v>
      </c>
    </row>
    <row r="1417">
      <c r="B1417" s="2" t="s">
        <v>3044</v>
      </c>
      <c r="C1417" s="2" t="s">
        <v>3044</v>
      </c>
    </row>
    <row r="1418">
      <c r="B1418" s="2" t="s">
        <v>3044</v>
      </c>
      <c r="C1418" s="2" t="s">
        <v>3044</v>
      </c>
    </row>
    <row r="1419">
      <c r="B1419" s="2" t="s">
        <v>3044</v>
      </c>
      <c r="C1419" s="2" t="s">
        <v>3044</v>
      </c>
    </row>
    <row r="1420">
      <c r="B1420" s="2" t="s">
        <v>3044</v>
      </c>
      <c r="C1420" s="2" t="s">
        <v>3044</v>
      </c>
    </row>
    <row r="1421">
      <c r="B1421" s="2" t="s">
        <v>3044</v>
      </c>
      <c r="C1421" s="2" t="s">
        <v>3044</v>
      </c>
    </row>
    <row r="1422">
      <c r="B1422" s="2" t="s">
        <v>3044</v>
      </c>
      <c r="C1422" s="2" t="s">
        <v>3044</v>
      </c>
    </row>
    <row r="1423">
      <c r="B1423" s="2" t="s">
        <v>3044</v>
      </c>
      <c r="C1423" s="2" t="s">
        <v>3044</v>
      </c>
    </row>
    <row r="1424">
      <c r="B1424" s="2" t="s">
        <v>3044</v>
      </c>
      <c r="C1424" s="2" t="s">
        <v>3044</v>
      </c>
    </row>
    <row r="1425">
      <c r="B1425" s="2" t="s">
        <v>3044</v>
      </c>
      <c r="C1425" s="2" t="s">
        <v>3044</v>
      </c>
    </row>
    <row r="1426">
      <c r="B1426" s="2" t="s">
        <v>3044</v>
      </c>
      <c r="C1426" s="2" t="s">
        <v>3044</v>
      </c>
    </row>
    <row r="1427">
      <c r="B1427" s="2" t="s">
        <v>3044</v>
      </c>
      <c r="C1427" s="2" t="s">
        <v>3044</v>
      </c>
    </row>
    <row r="1428">
      <c r="B1428" s="2" t="s">
        <v>3044</v>
      </c>
      <c r="C1428" s="2" t="s">
        <v>3044</v>
      </c>
    </row>
    <row r="1429">
      <c r="B1429" s="2" t="s">
        <v>3044</v>
      </c>
      <c r="C1429" s="2" t="s">
        <v>3044</v>
      </c>
    </row>
    <row r="1430">
      <c r="B1430" s="2" t="s">
        <v>3044</v>
      </c>
      <c r="C1430" s="2" t="s">
        <v>3044</v>
      </c>
    </row>
    <row r="1431">
      <c r="B1431" s="2" t="s">
        <v>3044</v>
      </c>
      <c r="C1431" s="2" t="s">
        <v>3044</v>
      </c>
    </row>
    <row r="1432">
      <c r="B1432" s="2" t="s">
        <v>3044</v>
      </c>
      <c r="C1432" s="2" t="s">
        <v>3044</v>
      </c>
    </row>
    <row r="1433">
      <c r="B1433" s="2" t="s">
        <v>3044</v>
      </c>
      <c r="C1433" s="2" t="s">
        <v>3044</v>
      </c>
    </row>
    <row r="1434">
      <c r="B1434" s="2" t="s">
        <v>3044</v>
      </c>
      <c r="C1434" s="2" t="s">
        <v>3044</v>
      </c>
    </row>
    <row r="1435">
      <c r="B1435" s="2" t="s">
        <v>3044</v>
      </c>
      <c r="C1435" s="2" t="s">
        <v>3044</v>
      </c>
    </row>
    <row r="1436">
      <c r="B1436" s="2" t="s">
        <v>3044</v>
      </c>
      <c r="C1436" s="2" t="s">
        <v>3044</v>
      </c>
    </row>
    <row r="1437">
      <c r="B1437" s="2" t="s">
        <v>3044</v>
      </c>
      <c r="C1437" s="2" t="s">
        <v>3044</v>
      </c>
    </row>
    <row r="1438">
      <c r="B1438" s="2" t="s">
        <v>3044</v>
      </c>
      <c r="C1438" s="2" t="s">
        <v>3044</v>
      </c>
    </row>
    <row r="1439">
      <c r="B1439" s="2" t="s">
        <v>3044</v>
      </c>
      <c r="C1439" s="2" t="s">
        <v>3044</v>
      </c>
    </row>
    <row r="1440">
      <c r="B1440" s="2" t="s">
        <v>3044</v>
      </c>
      <c r="C1440" s="2" t="s">
        <v>3044</v>
      </c>
    </row>
    <row r="1441">
      <c r="B1441" s="2" t="s">
        <v>3044</v>
      </c>
      <c r="C1441" s="2" t="s">
        <v>3044</v>
      </c>
    </row>
    <row r="1442">
      <c r="B1442" s="2" t="s">
        <v>3044</v>
      </c>
      <c r="C1442" s="2" t="s">
        <v>3044</v>
      </c>
    </row>
    <row r="1443">
      <c r="B1443" s="2" t="s">
        <v>3044</v>
      </c>
      <c r="C1443" s="2" t="s">
        <v>3044</v>
      </c>
    </row>
    <row r="1444">
      <c r="B1444" s="2" t="s">
        <v>3044</v>
      </c>
      <c r="C1444" s="2" t="s">
        <v>3044</v>
      </c>
    </row>
    <row r="1445">
      <c r="B1445" s="2" t="s">
        <v>3044</v>
      </c>
      <c r="C1445" s="2" t="s">
        <v>3044</v>
      </c>
    </row>
    <row r="1446">
      <c r="B1446" s="2" t="s">
        <v>3044</v>
      </c>
      <c r="C1446" s="2" t="s">
        <v>3044</v>
      </c>
    </row>
    <row r="1447">
      <c r="B1447" s="2" t="s">
        <v>3044</v>
      </c>
      <c r="C1447" s="2" t="s">
        <v>3044</v>
      </c>
    </row>
    <row r="1448">
      <c r="B1448" s="2" t="s">
        <v>3044</v>
      </c>
      <c r="C1448" s="2" t="s">
        <v>3044</v>
      </c>
    </row>
    <row r="1449">
      <c r="B1449" s="2" t="s">
        <v>3044</v>
      </c>
      <c r="C1449" s="2" t="s">
        <v>3044</v>
      </c>
    </row>
    <row r="1450">
      <c r="B1450" s="2" t="s">
        <v>3044</v>
      </c>
      <c r="C1450" s="2" t="s">
        <v>3044</v>
      </c>
    </row>
    <row r="1451">
      <c r="B1451" s="2" t="s">
        <v>3044</v>
      </c>
      <c r="C1451" s="2" t="s">
        <v>3044</v>
      </c>
    </row>
    <row r="1452">
      <c r="B1452" s="2" t="s">
        <v>3044</v>
      </c>
      <c r="C1452" s="2" t="s">
        <v>3044</v>
      </c>
    </row>
    <row r="1453">
      <c r="B1453" s="2" t="s">
        <v>3044</v>
      </c>
      <c r="C1453" s="2" t="s">
        <v>3044</v>
      </c>
    </row>
    <row r="1454">
      <c r="B1454" s="2" t="s">
        <v>3044</v>
      </c>
      <c r="C1454" s="2" t="s">
        <v>3044</v>
      </c>
    </row>
    <row r="1455">
      <c r="B1455" s="2" t="s">
        <v>3044</v>
      </c>
      <c r="C1455" s="2" t="s">
        <v>3044</v>
      </c>
    </row>
    <row r="1456">
      <c r="B1456" s="2" t="s">
        <v>3044</v>
      </c>
      <c r="C1456" s="2" t="s">
        <v>3044</v>
      </c>
    </row>
    <row r="1457">
      <c r="B1457" s="2" t="s">
        <v>3044</v>
      </c>
      <c r="C1457" s="2" t="s">
        <v>3044</v>
      </c>
    </row>
    <row r="1458">
      <c r="B1458" s="2" t="s">
        <v>3044</v>
      </c>
      <c r="C1458" s="2" t="s">
        <v>3044</v>
      </c>
    </row>
    <row r="1459">
      <c r="B1459" s="2" t="s">
        <v>3044</v>
      </c>
      <c r="C1459" s="2" t="s">
        <v>3044</v>
      </c>
    </row>
    <row r="1460">
      <c r="B1460" s="2" t="s">
        <v>3044</v>
      </c>
      <c r="C1460" s="2" t="s">
        <v>3044</v>
      </c>
    </row>
    <row r="1461">
      <c r="B1461" s="2" t="s">
        <v>3044</v>
      </c>
      <c r="C1461" s="2" t="s">
        <v>3044</v>
      </c>
    </row>
    <row r="1462">
      <c r="B1462" s="2" t="s">
        <v>3044</v>
      </c>
      <c r="C1462" s="2" t="s">
        <v>3044</v>
      </c>
    </row>
    <row r="1463">
      <c r="B1463" s="2" t="s">
        <v>3044</v>
      </c>
      <c r="C1463" s="2" t="s">
        <v>3044</v>
      </c>
    </row>
    <row r="1464">
      <c r="B1464" s="2" t="s">
        <v>3044</v>
      </c>
      <c r="C1464" s="2" t="s">
        <v>3044</v>
      </c>
    </row>
    <row r="1465">
      <c r="B1465" s="2" t="s">
        <v>3044</v>
      </c>
      <c r="C1465" s="2" t="s">
        <v>3044</v>
      </c>
    </row>
    <row r="1466">
      <c r="B1466" s="2" t="s">
        <v>3044</v>
      </c>
      <c r="C1466" s="2" t="s">
        <v>3044</v>
      </c>
    </row>
    <row r="1467">
      <c r="B1467" s="2" t="s">
        <v>3044</v>
      </c>
      <c r="C1467" s="2" t="s">
        <v>3044</v>
      </c>
    </row>
    <row r="1468">
      <c r="B1468" s="2" t="s">
        <v>3044</v>
      </c>
      <c r="C1468" s="2" t="s">
        <v>3044</v>
      </c>
    </row>
    <row r="1469">
      <c r="B1469" s="2" t="s">
        <v>3044</v>
      </c>
      <c r="C1469" s="2" t="s">
        <v>3044</v>
      </c>
    </row>
    <row r="1470">
      <c r="B1470" s="2" t="s">
        <v>3044</v>
      </c>
      <c r="C1470" s="2" t="s">
        <v>3044</v>
      </c>
    </row>
    <row r="1471">
      <c r="B1471" s="2" t="s">
        <v>3044</v>
      </c>
      <c r="C1471" s="2" t="s">
        <v>3044</v>
      </c>
    </row>
    <row r="1472">
      <c r="B1472" s="2" t="s">
        <v>3044</v>
      </c>
      <c r="C1472" s="2" t="s">
        <v>3044</v>
      </c>
    </row>
    <row r="1473">
      <c r="B1473" s="2" t="s">
        <v>3044</v>
      </c>
      <c r="C1473" s="2" t="s">
        <v>3044</v>
      </c>
    </row>
    <row r="1474">
      <c r="B1474" s="2" t="s">
        <v>3044</v>
      </c>
      <c r="C1474" s="2" t="s">
        <v>3044</v>
      </c>
    </row>
    <row r="1475">
      <c r="B1475" s="2" t="s">
        <v>3044</v>
      </c>
      <c r="C1475" s="2" t="s">
        <v>3044</v>
      </c>
    </row>
    <row r="1476">
      <c r="B1476" s="2" t="s">
        <v>3044</v>
      </c>
      <c r="C1476" s="2" t="s">
        <v>3044</v>
      </c>
    </row>
    <row r="1477">
      <c r="B1477" s="2" t="s">
        <v>3044</v>
      </c>
      <c r="C1477" s="2" t="s">
        <v>3044</v>
      </c>
    </row>
    <row r="1478">
      <c r="B1478" s="2" t="s">
        <v>3044</v>
      </c>
      <c r="C1478" s="2" t="s">
        <v>3044</v>
      </c>
    </row>
    <row r="1479">
      <c r="B1479" s="2" t="s">
        <v>3044</v>
      </c>
      <c r="C1479" s="2" t="s">
        <v>3044</v>
      </c>
    </row>
    <row r="1480">
      <c r="B1480" s="2" t="s">
        <v>3044</v>
      </c>
      <c r="C1480" s="2" t="s">
        <v>3044</v>
      </c>
    </row>
    <row r="1481">
      <c r="B1481" s="2" t="s">
        <v>3044</v>
      </c>
      <c r="C1481" s="2" t="s">
        <v>3044</v>
      </c>
    </row>
    <row r="1482">
      <c r="B1482" s="2" t="s">
        <v>3044</v>
      </c>
      <c r="C1482" s="2" t="s">
        <v>3044</v>
      </c>
    </row>
    <row r="1483">
      <c r="B1483" s="2" t="s">
        <v>3044</v>
      </c>
      <c r="C1483" s="2" t="s">
        <v>3044</v>
      </c>
    </row>
    <row r="1484">
      <c r="B1484" s="2" t="s">
        <v>3044</v>
      </c>
      <c r="C1484" s="2" t="s">
        <v>3044</v>
      </c>
    </row>
    <row r="1485">
      <c r="B1485" s="2" t="s">
        <v>3044</v>
      </c>
      <c r="C1485" s="2" t="s">
        <v>3044</v>
      </c>
    </row>
    <row r="1486">
      <c r="B1486" s="2" t="s">
        <v>3044</v>
      </c>
      <c r="C1486" s="2" t="s">
        <v>3044</v>
      </c>
    </row>
    <row r="1487">
      <c r="B1487" s="2" t="s">
        <v>3044</v>
      </c>
      <c r="C1487" s="2" t="s">
        <v>3044</v>
      </c>
    </row>
    <row r="1488">
      <c r="B1488" s="2" t="s">
        <v>3044</v>
      </c>
      <c r="C1488" s="2" t="s">
        <v>3044</v>
      </c>
    </row>
    <row r="1489">
      <c r="B1489" s="2" t="s">
        <v>3044</v>
      </c>
      <c r="C1489" s="2" t="s">
        <v>3044</v>
      </c>
    </row>
    <row r="1490">
      <c r="B1490" s="2" t="s">
        <v>3044</v>
      </c>
      <c r="C1490" s="2" t="s">
        <v>3044</v>
      </c>
    </row>
    <row r="1491">
      <c r="B1491" s="2" t="s">
        <v>3044</v>
      </c>
      <c r="C1491" s="2" t="s">
        <v>3044</v>
      </c>
    </row>
    <row r="1492">
      <c r="B1492" s="2" t="s">
        <v>3044</v>
      </c>
      <c r="C1492" s="2" t="s">
        <v>3044</v>
      </c>
    </row>
    <row r="1493">
      <c r="B1493" s="2" t="s">
        <v>3044</v>
      </c>
      <c r="C1493" s="2" t="s">
        <v>3044</v>
      </c>
    </row>
    <row r="1494">
      <c r="B1494" s="2" t="s">
        <v>3044</v>
      </c>
      <c r="C1494" s="2" t="s">
        <v>3044</v>
      </c>
    </row>
    <row r="1495">
      <c r="B1495" s="2" t="s">
        <v>3044</v>
      </c>
      <c r="C1495" s="2" t="s">
        <v>3044</v>
      </c>
    </row>
    <row r="1496">
      <c r="B1496" s="2" t="s">
        <v>3044</v>
      </c>
      <c r="C1496" s="2" t="s">
        <v>3044</v>
      </c>
    </row>
    <row r="1497">
      <c r="B1497" s="2" t="s">
        <v>3044</v>
      </c>
      <c r="C1497" s="2" t="s">
        <v>3044</v>
      </c>
    </row>
    <row r="1498">
      <c r="B1498" s="2" t="s">
        <v>3044</v>
      </c>
      <c r="C1498" s="2" t="s">
        <v>3044</v>
      </c>
    </row>
    <row r="1499">
      <c r="B1499" s="2" t="s">
        <v>3044</v>
      </c>
      <c r="C1499" s="2" t="s">
        <v>3044</v>
      </c>
    </row>
    <row r="1500">
      <c r="B1500" s="2" t="s">
        <v>3044</v>
      </c>
      <c r="C1500" s="2" t="s">
        <v>3044</v>
      </c>
    </row>
    <row r="1501">
      <c r="B1501" s="2" t="s">
        <v>3044</v>
      </c>
      <c r="C1501" s="2" t="s">
        <v>3044</v>
      </c>
    </row>
    <row r="1502">
      <c r="B1502" s="2" t="s">
        <v>3044</v>
      </c>
      <c r="C1502" s="2" t="s">
        <v>3044</v>
      </c>
    </row>
    <row r="1503">
      <c r="B1503" s="2" t="s">
        <v>3044</v>
      </c>
      <c r="C1503" s="2" t="s">
        <v>3044</v>
      </c>
    </row>
    <row r="1504">
      <c r="B1504" s="2" t="s">
        <v>3044</v>
      </c>
      <c r="C1504" s="2" t="s">
        <v>3044</v>
      </c>
    </row>
    <row r="1505">
      <c r="B1505" s="2" t="s">
        <v>3044</v>
      </c>
      <c r="C1505" s="2" t="s">
        <v>3044</v>
      </c>
    </row>
    <row r="1506">
      <c r="B1506" s="2" t="s">
        <v>3044</v>
      </c>
      <c r="C1506" s="2" t="s">
        <v>3044</v>
      </c>
    </row>
    <row r="1507">
      <c r="B1507" s="2" t="s">
        <v>3044</v>
      </c>
      <c r="C1507" s="2" t="s">
        <v>3044</v>
      </c>
    </row>
    <row r="1508">
      <c r="B1508" s="2" t="s">
        <v>3044</v>
      </c>
      <c r="C1508" s="2" t="s">
        <v>3044</v>
      </c>
    </row>
    <row r="1509">
      <c r="B1509" s="2" t="s">
        <v>3044</v>
      </c>
      <c r="C1509" s="2" t="s">
        <v>3044</v>
      </c>
    </row>
    <row r="1510">
      <c r="B1510" s="2" t="s">
        <v>3044</v>
      </c>
      <c r="C1510" s="2" t="s">
        <v>3044</v>
      </c>
    </row>
    <row r="1511">
      <c r="B1511" s="2" t="s">
        <v>3044</v>
      </c>
      <c r="C1511" s="2" t="s">
        <v>3044</v>
      </c>
    </row>
    <row r="1512">
      <c r="B1512" s="2" t="s">
        <v>3044</v>
      </c>
      <c r="C1512" s="2" t="s">
        <v>3044</v>
      </c>
    </row>
    <row r="1513">
      <c r="B1513" s="2" t="s">
        <v>3044</v>
      </c>
      <c r="C1513" s="2" t="s">
        <v>3044</v>
      </c>
    </row>
    <row r="1514">
      <c r="B1514" s="2" t="s">
        <v>3044</v>
      </c>
      <c r="C1514" s="2" t="s">
        <v>3044</v>
      </c>
    </row>
    <row r="1515">
      <c r="B1515" s="2" t="s">
        <v>3044</v>
      </c>
      <c r="C1515" s="2" t="s">
        <v>3044</v>
      </c>
    </row>
    <row r="1516">
      <c r="B1516" s="2" t="s">
        <v>3044</v>
      </c>
      <c r="C1516" s="2" t="s">
        <v>3044</v>
      </c>
    </row>
    <row r="1517">
      <c r="B1517" s="2" t="s">
        <v>3044</v>
      </c>
      <c r="C1517" s="2" t="s">
        <v>3044</v>
      </c>
    </row>
    <row r="1518">
      <c r="B1518" s="2" t="s">
        <v>3044</v>
      </c>
      <c r="C1518" s="2" t="s">
        <v>3044</v>
      </c>
    </row>
    <row r="1519">
      <c r="B1519" s="2" t="s">
        <v>3044</v>
      </c>
      <c r="C1519" s="2" t="s">
        <v>3044</v>
      </c>
    </row>
    <row r="1520">
      <c r="B1520" s="2" t="s">
        <v>3044</v>
      </c>
      <c r="C1520" s="2" t="s">
        <v>3044</v>
      </c>
    </row>
    <row r="1521">
      <c r="B1521" s="2" t="s">
        <v>3044</v>
      </c>
      <c r="C1521" s="2" t="s">
        <v>3044</v>
      </c>
    </row>
    <row r="1522">
      <c r="B1522" s="2" t="s">
        <v>3044</v>
      </c>
      <c r="C1522" s="2" t="s">
        <v>3044</v>
      </c>
    </row>
    <row r="1523">
      <c r="B1523" s="2" t="s">
        <v>3044</v>
      </c>
      <c r="C1523" s="2" t="s">
        <v>3044</v>
      </c>
    </row>
    <row r="1524">
      <c r="B1524" s="2" t="s">
        <v>3044</v>
      </c>
      <c r="C1524" s="2" t="s">
        <v>3044</v>
      </c>
    </row>
    <row r="1525">
      <c r="B1525" s="2" t="s">
        <v>3044</v>
      </c>
      <c r="C1525" s="2" t="s">
        <v>3044</v>
      </c>
    </row>
    <row r="1526">
      <c r="B1526" s="2" t="s">
        <v>3044</v>
      </c>
      <c r="C1526" s="2" t="s">
        <v>3044</v>
      </c>
    </row>
    <row r="1527">
      <c r="B1527" s="2" t="s">
        <v>3044</v>
      </c>
      <c r="C1527" s="2" t="s">
        <v>3044</v>
      </c>
    </row>
    <row r="1528">
      <c r="B1528" s="2" t="s">
        <v>3044</v>
      </c>
      <c r="C1528" s="2" t="s">
        <v>3044</v>
      </c>
    </row>
    <row r="1529">
      <c r="B1529" s="2" t="s">
        <v>3044</v>
      </c>
      <c r="C1529" s="2" t="s">
        <v>3044</v>
      </c>
    </row>
    <row r="1530">
      <c r="B1530" s="2" t="s">
        <v>3044</v>
      </c>
      <c r="C1530" s="2" t="s">
        <v>3044</v>
      </c>
    </row>
    <row r="1531">
      <c r="B1531" s="2" t="s">
        <v>3044</v>
      </c>
      <c r="C1531" s="2" t="s">
        <v>3044</v>
      </c>
    </row>
    <row r="1532">
      <c r="B1532" s="2" t="s">
        <v>3044</v>
      </c>
      <c r="C1532" s="2" t="s">
        <v>3044</v>
      </c>
    </row>
    <row r="1533">
      <c r="B1533" s="2" t="s">
        <v>3044</v>
      </c>
      <c r="C1533" s="2" t="s">
        <v>3044</v>
      </c>
    </row>
    <row r="1534">
      <c r="B1534" s="2" t="s">
        <v>3044</v>
      </c>
      <c r="C1534" s="2" t="s">
        <v>3044</v>
      </c>
    </row>
    <row r="1535">
      <c r="B1535" s="2" t="s">
        <v>3044</v>
      </c>
      <c r="C1535" s="2" t="s">
        <v>3044</v>
      </c>
    </row>
    <row r="1536">
      <c r="B1536" s="2" t="s">
        <v>3044</v>
      </c>
      <c r="C1536" s="2" t="s">
        <v>3044</v>
      </c>
    </row>
    <row r="1537">
      <c r="B1537" s="2" t="s">
        <v>3044</v>
      </c>
      <c r="C1537" s="2" t="s">
        <v>3044</v>
      </c>
    </row>
    <row r="1538">
      <c r="B1538" s="2" t="s">
        <v>3044</v>
      </c>
      <c r="C1538" s="2" t="s">
        <v>3044</v>
      </c>
    </row>
    <row r="1539">
      <c r="B1539" s="2" t="s">
        <v>3044</v>
      </c>
      <c r="C1539" s="2" t="s">
        <v>3044</v>
      </c>
    </row>
    <row r="1540">
      <c r="B1540" s="2" t="s">
        <v>3044</v>
      </c>
      <c r="C1540" s="2" t="s">
        <v>3044</v>
      </c>
    </row>
    <row r="1541">
      <c r="B1541" s="2" t="s">
        <v>3044</v>
      </c>
      <c r="C1541" s="2" t="s">
        <v>3044</v>
      </c>
    </row>
    <row r="1542">
      <c r="B1542" s="2" t="s">
        <v>3044</v>
      </c>
      <c r="C1542" s="2" t="s">
        <v>3044</v>
      </c>
    </row>
    <row r="1543">
      <c r="B1543" s="2" t="s">
        <v>3044</v>
      </c>
      <c r="C1543" s="2" t="s">
        <v>3044</v>
      </c>
    </row>
    <row r="1544">
      <c r="B1544" s="2" t="s">
        <v>3044</v>
      </c>
      <c r="C1544" s="2" t="s">
        <v>3044</v>
      </c>
    </row>
    <row r="1545">
      <c r="B1545" s="2" t="s">
        <v>3044</v>
      </c>
      <c r="C1545" s="2" t="s">
        <v>3044</v>
      </c>
    </row>
    <row r="1546">
      <c r="B1546" s="2" t="s">
        <v>3044</v>
      </c>
      <c r="C1546" s="2" t="s">
        <v>3044</v>
      </c>
    </row>
    <row r="1547">
      <c r="B1547" s="2" t="s">
        <v>3044</v>
      </c>
      <c r="C1547" s="2" t="s">
        <v>3044</v>
      </c>
    </row>
    <row r="1548">
      <c r="B1548" s="2" t="s">
        <v>3044</v>
      </c>
      <c r="C1548" s="2" t="s">
        <v>3044</v>
      </c>
    </row>
    <row r="1549">
      <c r="B1549" s="2" t="s">
        <v>3044</v>
      </c>
      <c r="C1549" s="2" t="s">
        <v>3044</v>
      </c>
    </row>
    <row r="1550">
      <c r="B1550" s="2" t="s">
        <v>3044</v>
      </c>
      <c r="C1550" s="2" t="s">
        <v>3044</v>
      </c>
    </row>
    <row r="1551">
      <c r="B1551" s="2" t="s">
        <v>3044</v>
      </c>
      <c r="C1551" s="2" t="s">
        <v>3044</v>
      </c>
    </row>
    <row r="1552">
      <c r="B1552" s="2" t="s">
        <v>3044</v>
      </c>
      <c r="C1552" s="2" t="s">
        <v>3044</v>
      </c>
    </row>
    <row r="1553">
      <c r="B1553" s="2" t="s">
        <v>3044</v>
      </c>
      <c r="C1553" s="2" t="s">
        <v>3044</v>
      </c>
    </row>
    <row r="1554">
      <c r="B1554" s="2" t="s">
        <v>3044</v>
      </c>
      <c r="C1554" s="2" t="s">
        <v>3044</v>
      </c>
    </row>
    <row r="1555">
      <c r="B1555" s="2" t="s">
        <v>3044</v>
      </c>
      <c r="C1555" s="2" t="s">
        <v>3044</v>
      </c>
    </row>
    <row r="1556">
      <c r="B1556" s="2" t="s">
        <v>3044</v>
      </c>
      <c r="C1556" s="2" t="s">
        <v>3044</v>
      </c>
    </row>
    <row r="1557">
      <c r="B1557" s="2" t="s">
        <v>3044</v>
      </c>
      <c r="C1557" s="2" t="s">
        <v>3044</v>
      </c>
    </row>
    <row r="1558">
      <c r="B1558" s="2" t="s">
        <v>3044</v>
      </c>
      <c r="C1558" s="2" t="s">
        <v>3044</v>
      </c>
    </row>
    <row r="1559">
      <c r="B1559" s="2" t="s">
        <v>3044</v>
      </c>
      <c r="C1559" s="2" t="s">
        <v>3044</v>
      </c>
    </row>
    <row r="1560">
      <c r="B1560" s="2" t="s">
        <v>3044</v>
      </c>
      <c r="C1560" s="2" t="s">
        <v>3044</v>
      </c>
    </row>
    <row r="1561">
      <c r="B1561" s="2" t="s">
        <v>3044</v>
      </c>
      <c r="C1561" s="2" t="s">
        <v>3044</v>
      </c>
    </row>
    <row r="1562">
      <c r="B1562" s="2" t="s">
        <v>3044</v>
      </c>
      <c r="C1562" s="2" t="s">
        <v>3044</v>
      </c>
    </row>
    <row r="1563">
      <c r="B1563" s="2" t="s">
        <v>3044</v>
      </c>
      <c r="C1563" s="2" t="s">
        <v>3044</v>
      </c>
    </row>
    <row r="1564">
      <c r="B1564" s="2" t="s">
        <v>3044</v>
      </c>
      <c r="C1564" s="2" t="s">
        <v>3044</v>
      </c>
    </row>
    <row r="1565">
      <c r="B1565" s="2" t="s">
        <v>3044</v>
      </c>
      <c r="C1565" s="2" t="s">
        <v>3044</v>
      </c>
    </row>
    <row r="1566">
      <c r="B1566" s="2" t="s">
        <v>3044</v>
      </c>
      <c r="C1566" s="2" t="s">
        <v>3044</v>
      </c>
    </row>
    <row r="1567">
      <c r="B1567" s="2" t="s">
        <v>3044</v>
      </c>
      <c r="C1567" s="2" t="s">
        <v>3044</v>
      </c>
    </row>
    <row r="1568">
      <c r="B1568" s="2" t="s">
        <v>3044</v>
      </c>
      <c r="C1568" s="2" t="s">
        <v>3044</v>
      </c>
    </row>
    <row r="1569">
      <c r="B1569" s="2" t="s">
        <v>3044</v>
      </c>
      <c r="C1569" s="2" t="s">
        <v>3044</v>
      </c>
    </row>
    <row r="1570">
      <c r="B1570" s="2" t="s">
        <v>3044</v>
      </c>
      <c r="C1570" s="2" t="s">
        <v>3044</v>
      </c>
    </row>
    <row r="1571">
      <c r="B1571" s="2" t="s">
        <v>3044</v>
      </c>
      <c r="C1571" s="2" t="s">
        <v>3044</v>
      </c>
    </row>
    <row r="1572">
      <c r="B1572" s="2" t="s">
        <v>3044</v>
      </c>
      <c r="C1572" s="2" t="s">
        <v>3044</v>
      </c>
    </row>
    <row r="1573">
      <c r="B1573" s="2" t="s">
        <v>3044</v>
      </c>
      <c r="C1573" s="2" t="s">
        <v>3044</v>
      </c>
    </row>
    <row r="1574">
      <c r="B1574" s="2" t="s">
        <v>3044</v>
      </c>
      <c r="C1574" s="2" t="s">
        <v>3044</v>
      </c>
    </row>
    <row r="1575">
      <c r="B1575" s="2" t="s">
        <v>3044</v>
      </c>
      <c r="C1575" s="2" t="s">
        <v>3044</v>
      </c>
    </row>
    <row r="1576">
      <c r="B1576" s="2" t="s">
        <v>3044</v>
      </c>
      <c r="C1576" s="2" t="s">
        <v>3044</v>
      </c>
    </row>
    <row r="1577">
      <c r="B1577" s="2" t="s">
        <v>3044</v>
      </c>
      <c r="C1577" s="2" t="s">
        <v>3044</v>
      </c>
    </row>
    <row r="1578">
      <c r="B1578" s="2" t="s">
        <v>3044</v>
      </c>
      <c r="C1578" s="2" t="s">
        <v>3044</v>
      </c>
    </row>
    <row r="1579">
      <c r="B1579" s="2" t="s">
        <v>3044</v>
      </c>
      <c r="C1579" s="2" t="s">
        <v>3044</v>
      </c>
    </row>
    <row r="1580">
      <c r="B1580" s="2" t="s">
        <v>3044</v>
      </c>
      <c r="C1580" s="2" t="s">
        <v>3044</v>
      </c>
    </row>
    <row r="1581">
      <c r="B1581" s="2" t="s">
        <v>3044</v>
      </c>
      <c r="C1581" s="2" t="s">
        <v>3044</v>
      </c>
    </row>
    <row r="1582">
      <c r="B1582" s="2" t="s">
        <v>3044</v>
      </c>
      <c r="C1582" s="2" t="s">
        <v>3044</v>
      </c>
    </row>
    <row r="1583">
      <c r="B1583" s="2" t="s">
        <v>3044</v>
      </c>
      <c r="C1583" s="2" t="s">
        <v>3044</v>
      </c>
    </row>
    <row r="1584">
      <c r="B1584" s="2" t="s">
        <v>3044</v>
      </c>
      <c r="C1584" s="2" t="s">
        <v>3044</v>
      </c>
    </row>
    <row r="1585">
      <c r="B1585" s="2" t="s">
        <v>3044</v>
      </c>
      <c r="C1585" s="2" t="s">
        <v>3044</v>
      </c>
    </row>
    <row r="1586">
      <c r="B1586" s="2" t="s">
        <v>3044</v>
      </c>
      <c r="C1586" s="2" t="s">
        <v>3044</v>
      </c>
    </row>
    <row r="1587">
      <c r="B1587" s="2" t="s">
        <v>3044</v>
      </c>
      <c r="C1587" s="2" t="s">
        <v>3044</v>
      </c>
    </row>
    <row r="1588">
      <c r="B1588" s="2" t="s">
        <v>3044</v>
      </c>
      <c r="C1588" s="2" t="s">
        <v>3044</v>
      </c>
    </row>
    <row r="1589">
      <c r="B1589" s="2" t="s">
        <v>3044</v>
      </c>
      <c r="C1589" s="2" t="s">
        <v>3044</v>
      </c>
    </row>
    <row r="1590">
      <c r="B1590" s="2" t="s">
        <v>3044</v>
      </c>
      <c r="C1590" s="2" t="s">
        <v>3044</v>
      </c>
    </row>
    <row r="1591">
      <c r="B1591" s="2" t="s">
        <v>3044</v>
      </c>
      <c r="C1591" s="2" t="s">
        <v>3044</v>
      </c>
    </row>
    <row r="1592">
      <c r="B1592" s="2" t="s">
        <v>3044</v>
      </c>
      <c r="C1592" s="2" t="s">
        <v>3044</v>
      </c>
    </row>
    <row r="1593">
      <c r="B1593" s="2" t="s">
        <v>3044</v>
      </c>
      <c r="C1593" s="2" t="s">
        <v>3044</v>
      </c>
    </row>
    <row r="1594">
      <c r="B1594" s="2" t="s">
        <v>3044</v>
      </c>
      <c r="C1594" s="2" t="s">
        <v>3044</v>
      </c>
    </row>
    <row r="1595">
      <c r="B1595" s="2" t="s">
        <v>3044</v>
      </c>
      <c r="C1595" s="2" t="s">
        <v>3044</v>
      </c>
    </row>
    <row r="1596">
      <c r="B1596" s="2" t="s">
        <v>3044</v>
      </c>
      <c r="C1596" s="2" t="s">
        <v>3044</v>
      </c>
    </row>
    <row r="1597">
      <c r="B1597" s="2" t="s">
        <v>3044</v>
      </c>
      <c r="C1597" s="2" t="s">
        <v>3044</v>
      </c>
    </row>
    <row r="1598">
      <c r="B1598" s="2" t="s">
        <v>3044</v>
      </c>
      <c r="C1598" s="2" t="s">
        <v>3044</v>
      </c>
    </row>
    <row r="1599">
      <c r="B1599" s="2" t="s">
        <v>3044</v>
      </c>
      <c r="C1599" s="2" t="s">
        <v>3044</v>
      </c>
    </row>
    <row r="1600">
      <c r="B1600" s="2" t="s">
        <v>3044</v>
      </c>
      <c r="C1600" s="2" t="s">
        <v>3044</v>
      </c>
    </row>
    <row r="1601">
      <c r="B1601" s="2" t="s">
        <v>3044</v>
      </c>
      <c r="C1601" s="2" t="s">
        <v>3044</v>
      </c>
    </row>
    <row r="1602">
      <c r="B1602" s="2" t="s">
        <v>3044</v>
      </c>
      <c r="C1602" s="2" t="s">
        <v>3044</v>
      </c>
    </row>
    <row r="1603">
      <c r="B1603" s="2" t="s">
        <v>3044</v>
      </c>
      <c r="C1603" s="2" t="s">
        <v>3044</v>
      </c>
    </row>
    <row r="1604">
      <c r="B1604" s="2" t="s">
        <v>3044</v>
      </c>
      <c r="C1604" s="2" t="s">
        <v>3044</v>
      </c>
    </row>
    <row r="1605">
      <c r="B1605" s="2" t="s">
        <v>3044</v>
      </c>
      <c r="C1605" s="2" t="s">
        <v>3044</v>
      </c>
    </row>
    <row r="1606">
      <c r="B1606" s="2" t="s">
        <v>3044</v>
      </c>
      <c r="C1606" s="2" t="s">
        <v>3044</v>
      </c>
    </row>
    <row r="1607">
      <c r="B1607" s="2" t="s">
        <v>3044</v>
      </c>
      <c r="C1607" s="2" t="s">
        <v>3044</v>
      </c>
    </row>
    <row r="1608">
      <c r="B1608" s="2" t="s">
        <v>3044</v>
      </c>
      <c r="C1608" s="2" t="s">
        <v>3044</v>
      </c>
    </row>
    <row r="1609">
      <c r="B1609" s="2" t="s">
        <v>3044</v>
      </c>
      <c r="C1609" s="2" t="s">
        <v>3044</v>
      </c>
    </row>
    <row r="1610">
      <c r="B1610" s="2" t="s">
        <v>3044</v>
      </c>
      <c r="C1610" s="2" t="s">
        <v>3044</v>
      </c>
    </row>
    <row r="1611">
      <c r="B1611" s="2" t="s">
        <v>3044</v>
      </c>
      <c r="C1611" s="2" t="s">
        <v>3044</v>
      </c>
    </row>
    <row r="1612">
      <c r="B1612" s="2" t="s">
        <v>3044</v>
      </c>
      <c r="C1612" s="2" t="s">
        <v>3044</v>
      </c>
    </row>
    <row r="1613">
      <c r="B1613" s="2" t="s">
        <v>3044</v>
      </c>
      <c r="C1613" s="2" t="s">
        <v>3044</v>
      </c>
    </row>
    <row r="1614">
      <c r="B1614" s="2" t="s">
        <v>3044</v>
      </c>
      <c r="C1614" s="2" t="s">
        <v>3044</v>
      </c>
    </row>
    <row r="1615">
      <c r="B1615" s="2" t="s">
        <v>3044</v>
      </c>
      <c r="C1615" s="2" t="s">
        <v>3044</v>
      </c>
    </row>
    <row r="1616">
      <c r="B1616" s="2" t="s">
        <v>3044</v>
      </c>
      <c r="C1616" s="2" t="s">
        <v>3044</v>
      </c>
    </row>
    <row r="1617">
      <c r="B1617" s="2" t="s">
        <v>3044</v>
      </c>
      <c r="C1617" s="2" t="s">
        <v>3044</v>
      </c>
    </row>
    <row r="1618">
      <c r="B1618" s="2" t="s">
        <v>3044</v>
      </c>
      <c r="C1618" s="2" t="s">
        <v>3044</v>
      </c>
    </row>
    <row r="1619">
      <c r="B1619" s="2" t="s">
        <v>3044</v>
      </c>
      <c r="C1619" s="2" t="s">
        <v>3044</v>
      </c>
    </row>
    <row r="1620">
      <c r="B1620" s="2" t="s">
        <v>3044</v>
      </c>
      <c r="C1620" s="2" t="s">
        <v>3044</v>
      </c>
    </row>
    <row r="1621">
      <c r="B1621" s="2" t="s">
        <v>3044</v>
      </c>
      <c r="C1621" s="2" t="s">
        <v>3044</v>
      </c>
    </row>
    <row r="1622">
      <c r="B1622" s="2" t="s">
        <v>3044</v>
      </c>
      <c r="C1622" s="2" t="s">
        <v>3044</v>
      </c>
    </row>
    <row r="1623">
      <c r="B1623" s="2" t="s">
        <v>3044</v>
      </c>
      <c r="C1623" s="2" t="s">
        <v>3044</v>
      </c>
    </row>
    <row r="1624">
      <c r="B1624" s="2" t="s">
        <v>3044</v>
      </c>
      <c r="C1624" s="2" t="s">
        <v>3044</v>
      </c>
    </row>
    <row r="1625">
      <c r="B1625" s="2" t="s">
        <v>3044</v>
      </c>
      <c r="C1625" s="2" t="s">
        <v>3044</v>
      </c>
    </row>
    <row r="1626">
      <c r="B1626" s="2" t="s">
        <v>3044</v>
      </c>
      <c r="C1626" s="2" t="s">
        <v>3044</v>
      </c>
    </row>
    <row r="1627">
      <c r="B1627" s="2" t="s">
        <v>3044</v>
      </c>
      <c r="C1627" s="2" t="s">
        <v>3044</v>
      </c>
    </row>
    <row r="1628">
      <c r="B1628" s="2" t="s">
        <v>3044</v>
      </c>
      <c r="C1628" s="2" t="s">
        <v>3044</v>
      </c>
    </row>
    <row r="1629">
      <c r="B1629" s="2" t="s">
        <v>3044</v>
      </c>
      <c r="C1629" s="2" t="s">
        <v>3044</v>
      </c>
    </row>
    <row r="1630">
      <c r="B1630" s="2" t="s">
        <v>3044</v>
      </c>
      <c r="C1630" s="2" t="s">
        <v>3044</v>
      </c>
    </row>
    <row r="1631">
      <c r="B1631" s="2" t="s">
        <v>3044</v>
      </c>
      <c r="C1631" s="2" t="s">
        <v>3044</v>
      </c>
    </row>
    <row r="1632">
      <c r="B1632" s="2" t="s">
        <v>3044</v>
      </c>
      <c r="C1632" s="2" t="s">
        <v>3044</v>
      </c>
    </row>
    <row r="1633">
      <c r="B1633" s="2" t="s">
        <v>3044</v>
      </c>
      <c r="C1633" s="2" t="s">
        <v>3044</v>
      </c>
    </row>
    <row r="1634">
      <c r="B1634" s="2" t="s">
        <v>3044</v>
      </c>
      <c r="C1634" s="2" t="s">
        <v>3044</v>
      </c>
    </row>
    <row r="1635">
      <c r="B1635" s="2" t="s">
        <v>3044</v>
      </c>
      <c r="C1635" s="2" t="s">
        <v>3044</v>
      </c>
    </row>
    <row r="1636">
      <c r="B1636" s="2" t="s">
        <v>3044</v>
      </c>
      <c r="C1636" s="2" t="s">
        <v>3044</v>
      </c>
    </row>
    <row r="1637">
      <c r="B1637" s="2" t="s">
        <v>3044</v>
      </c>
      <c r="C1637" s="2" t="s">
        <v>3044</v>
      </c>
    </row>
    <row r="1638">
      <c r="B1638" s="2" t="s">
        <v>3044</v>
      </c>
      <c r="C1638" s="2" t="s">
        <v>3044</v>
      </c>
    </row>
    <row r="1639">
      <c r="B1639" s="2" t="s">
        <v>3044</v>
      </c>
      <c r="C1639" s="2" t="s">
        <v>3044</v>
      </c>
    </row>
    <row r="1640">
      <c r="B1640" s="2" t="s">
        <v>3044</v>
      </c>
      <c r="C1640" s="2" t="s">
        <v>3044</v>
      </c>
    </row>
  </sheetData>
  <drawing r:id="rId1"/>
</worksheet>
</file>